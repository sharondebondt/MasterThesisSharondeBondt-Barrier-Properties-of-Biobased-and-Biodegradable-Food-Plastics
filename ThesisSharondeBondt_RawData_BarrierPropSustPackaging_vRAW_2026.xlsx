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wageningenur4.sharepoint.com/sites/FQDMFTwithDeniz-IliannaDrositi/Gedeelde documenten/Sharon de Bondt/Excel files/"/>
    </mc:Choice>
  </mc:AlternateContent>
  <xr:revisionPtr revIDLastSave="3857" documentId="13_ncr:1_{614FDC79-976C-465D-B001-10D3BBF42504}" xr6:coauthVersionLast="47" xr6:coauthVersionMax="47" xr10:uidLastSave="{10D8DA5F-0671-4DF6-B155-C98DC6701593}"/>
  <bookViews>
    <workbookView minimized="1" xWindow="1776" yWindow="1776" windowWidth="11520" windowHeight="7788" firstSheet="1" xr2:uid="{00000000-000D-0000-FFFF-FFFF00000000}"/>
  </bookViews>
  <sheets>
    <sheet name="Data" sheetId="1" r:id="rId1"/>
    <sheet name="Critical appraisal"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4" l="1"/>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alcChain>
</file>

<file path=xl/sharedStrings.xml><?xml version="1.0" encoding="utf-8"?>
<sst xmlns="http://schemas.openxmlformats.org/spreadsheetml/2006/main" count="3631" uniqueCount="736">
  <si>
    <t>Article_ID</t>
  </si>
  <si>
    <t>Authors</t>
  </si>
  <si>
    <t>Title</t>
  </si>
  <si>
    <t>Year</t>
  </si>
  <si>
    <t>Journal</t>
  </si>
  <si>
    <t>DOI</t>
  </si>
  <si>
    <t>Open_access</t>
  </si>
  <si>
    <t>Study_type</t>
  </si>
  <si>
    <t>Included_after_screening</t>
  </si>
  <si>
    <t>Quality_score</t>
  </si>
  <si>
    <t>Exclusion_reason</t>
  </si>
  <si>
    <t>Polymer_name</t>
  </si>
  <si>
    <t>Polymer_type</t>
  </si>
  <si>
    <t>Material_family</t>
  </si>
  <si>
    <t>Biobased</t>
  </si>
  <si>
    <t>Biodegradable</t>
  </si>
  <si>
    <t>Additives_present</t>
  </si>
  <si>
    <t>Additives_concentration_wt%</t>
  </si>
  <si>
    <t>Processing_method</t>
  </si>
  <si>
    <t>Film_thickness_µm</t>
  </si>
  <si>
    <t>Film_thickness_SD</t>
  </si>
  <si>
    <t>Film_thickness_replicates</t>
  </si>
  <si>
    <t>O2P_value</t>
  </si>
  <si>
    <t>O2P_SD</t>
  </si>
  <si>
    <t>O2P_unit</t>
  </si>
  <si>
    <t>O2P_standard</t>
  </si>
  <si>
    <t>O2P_temperature_°C</t>
  </si>
  <si>
    <t>O2P_RH_%</t>
  </si>
  <si>
    <t>OTR_value</t>
  </si>
  <si>
    <t>OTR_SD</t>
  </si>
  <si>
    <t>OTR_unit</t>
  </si>
  <si>
    <t>OTR_standard</t>
  </si>
  <si>
    <t>OTR_temperature_°C</t>
  </si>
  <si>
    <t>OTR_RH_%</t>
  </si>
  <si>
    <t>CO2P_value</t>
  </si>
  <si>
    <t>CO2P_SD</t>
  </si>
  <si>
    <t>CO2P_unit</t>
  </si>
  <si>
    <t>CO2P_standard</t>
  </si>
  <si>
    <t>CO2P_temperature_°C</t>
  </si>
  <si>
    <t>CO2P_RH_%</t>
  </si>
  <si>
    <t>CO2TR_value</t>
  </si>
  <si>
    <t>CO2TR_SD</t>
  </si>
  <si>
    <t>CO2TR_unit</t>
  </si>
  <si>
    <t>CO2TR_standard</t>
  </si>
  <si>
    <t>CO2TR_temperature_°C</t>
  </si>
  <si>
    <t>CO2TR_RH_%</t>
  </si>
  <si>
    <t>WVTR_value</t>
  </si>
  <si>
    <t>WVTR_SD</t>
  </si>
  <si>
    <t>WVTR_unit</t>
  </si>
  <si>
    <t>WVTR_standard</t>
  </si>
  <si>
    <t>WVTR_temperature_°C</t>
  </si>
  <si>
    <t>WVTR_RH_%</t>
  </si>
  <si>
    <t>WVP_value</t>
  </si>
  <si>
    <t>WVP_SD</t>
  </si>
  <si>
    <t>WVP_unit</t>
  </si>
  <si>
    <t>WVP_standard</t>
  </si>
  <si>
    <t>WVP_temperature_°C</t>
  </si>
  <si>
    <t>WVP_RH_%</t>
  </si>
  <si>
    <t>Replicates</t>
  </si>
  <si>
    <t>Reference_polymer</t>
  </si>
  <si>
    <t>Reference_thickness_µm</t>
  </si>
  <si>
    <t>Reference_thickness_SD</t>
  </si>
  <si>
    <t>Reference_thickness_replicates</t>
  </si>
  <si>
    <t>Reference_PO2_value</t>
  </si>
  <si>
    <t>Reference_PO2_unit</t>
  </si>
  <si>
    <t>Reference_OTR_value</t>
  </si>
  <si>
    <t>Reference_OTR_unit</t>
  </si>
  <si>
    <t>Reference_CO2TR_value</t>
  </si>
  <si>
    <t>Reference_CO2TR_unit</t>
  </si>
  <si>
    <t>Reference_WVTR_value</t>
  </si>
  <si>
    <t>Reference_WVTR_unit</t>
  </si>
  <si>
    <t>Reference WVP_value</t>
  </si>
  <si>
    <t>Reference_WVP_unit</t>
  </si>
  <si>
    <t>Comparison_type</t>
  </si>
  <si>
    <t>Relative_performance</t>
  </si>
  <si>
    <t>Application_scale</t>
  </si>
  <si>
    <t>Packaging_format</t>
  </si>
  <si>
    <t>Food_contact_tested</t>
  </si>
  <si>
    <t>Key_barrier_finding</t>
  </si>
  <si>
    <t>Reviewer_notes</t>
  </si>
  <si>
    <t>Montalvo-Paquini, C.; Piñeiro-García, A.; Palou, E.; Mani-López, E.; López-Malo, A.; Hernández-Figueroa, R.H.</t>
  </si>
  <si>
    <t>pH-Drive on the Design and Properties of Legume Protein-Based Films</t>
  </si>
  <si>
    <t>ACS Applied Polymer Materials</t>
  </si>
  <si>
    <t>10.1021/acsapm.5c03228</t>
  </si>
  <si>
    <t>Yes</t>
  </si>
  <si>
    <t>Experimental</t>
  </si>
  <si>
    <t>Broad bean protein concentrate (pH 7)</t>
  </si>
  <si>
    <t>Protein concentrate</t>
  </si>
  <si>
    <t>Protein</t>
  </si>
  <si>
    <t>Glycerol</t>
  </si>
  <si>
    <t>Casting</t>
  </si>
  <si>
    <r>
      <t>g·mm/kPa·h m</t>
    </r>
    <r>
      <rPr>
        <vertAlign val="superscript"/>
        <sz val="11"/>
        <color theme="1"/>
        <rFont val="Calibri"/>
        <family val="2"/>
        <scheme val="minor"/>
      </rPr>
      <t>2</t>
    </r>
  </si>
  <si>
    <t>ASTM E96</t>
  </si>
  <si>
    <t>PVC;HDPE</t>
  </si>
  <si>
    <t>5.19 × 10⁻¹⁷; 4.72 × 10⁻¹⁸</t>
  </si>
  <si>
    <t>g·mm / kPa·h·m²</t>
  </si>
  <si>
    <t>Literature benchmark</t>
  </si>
  <si>
    <t>Worse</t>
  </si>
  <si>
    <t>Lab</t>
  </si>
  <si>
    <t>Film</t>
  </si>
  <si>
    <t>No</t>
  </si>
  <si>
    <t>Adjusting pH during film formation significantly reduces WVP of legume protein films.</t>
  </si>
  <si>
    <t>WVP values estimated with automeris.io</t>
  </si>
  <si>
    <t>Broad bean protein concentrate (pH 8.5)</t>
  </si>
  <si>
    <t>Broad bean protein concentrate (pH 10)</t>
  </si>
  <si>
    <t>Lentil protein concentrate (pH 7)</t>
  </si>
  <si>
    <t>Lentil protein concentrate (pH 8.5)</t>
  </si>
  <si>
    <t>Lentil protein concentrate (pH 10)</t>
  </si>
  <si>
    <t>Peruvian bean protein concentrate (pH 7)</t>
  </si>
  <si>
    <t>Peruvian bean protein concentrate (pH 8.5)</t>
  </si>
  <si>
    <t>Peruvian bean protein concentrate (pH 10)</t>
  </si>
  <si>
    <t>Demchenko, H.; Knaapila, M.</t>
  </si>
  <si>
    <t>Bio-Based Coatings and Free-Standing Films from Starch-Based Pickering Emulsions</t>
  </si>
  <si>
    <t>European Journal of Lipid Science and Technology</t>
  </si>
  <si>
    <t>10.1002/ejlt.70091</t>
  </si>
  <si>
    <t>Test conditions (T, RH, thickness) for barrier properties not recorded</t>
  </si>
  <si>
    <t>Coltelli, M.-B.; Cartoni, F.; Panariello, L.; Aliotta, L.; Gigante, V.; Lazzeri, A.</t>
  </si>
  <si>
    <t>Assessing PLA/PBSA Films for Sustainable Packaging for Moist and Perishable Foods</t>
  </si>
  <si>
    <t>Polymers</t>
  </si>
  <si>
    <t>10.3390/polym17233093</t>
  </si>
  <si>
    <t>Tassew, N.A.; Andualem, T.L.; Reddy Prasad, R.P.; Endeshaw, M.A.; Ramesh, R.</t>
  </si>
  <si>
    <t>Avocado seed starch bioplastic film reinforced with enset cellulose for sustainable packaging</t>
  </si>
  <si>
    <t>Scientific Reports</t>
  </si>
  <si>
    <t>10.1038/s41598-025-24935-3</t>
  </si>
  <si>
    <t>Ncube, L.K.; Ude, A.U.; Ogunmuyiwa, E.N.; Beas, I.N.</t>
  </si>
  <si>
    <t>Development and characterisation of Polylactic acid / Bambara groundnut (Vigna subterranea (L.) Verdc) shells biocomposite for food packaging application</t>
  </si>
  <si>
    <t>Scientific African</t>
  </si>
  <si>
    <t>10.1016/j.sciaf.2025.e03090</t>
  </si>
  <si>
    <t>PLA</t>
  </si>
  <si>
    <t>Biopolyester</t>
  </si>
  <si>
    <r>
      <t>g.m</t>
    </r>
    <r>
      <rPr>
        <vertAlign val="superscript"/>
        <sz val="11"/>
        <color theme="1"/>
        <rFont val="Calibri"/>
        <family val="2"/>
        <scheme val="minor"/>
      </rPr>
      <t>-1</t>
    </r>
    <r>
      <rPr>
        <sz val="11"/>
        <color theme="1"/>
        <rFont val="Calibri"/>
        <family val="2"/>
        <scheme val="minor"/>
      </rPr>
      <t>.Pa</t>
    </r>
    <r>
      <rPr>
        <vertAlign val="superscript"/>
        <sz val="11"/>
        <color theme="1"/>
        <rFont val="Calibri"/>
        <family val="2"/>
        <scheme val="minor"/>
      </rPr>
      <t>-1</t>
    </r>
    <r>
      <rPr>
        <sz val="11"/>
        <color theme="1"/>
        <rFont val="Calibri"/>
        <family val="2"/>
        <scheme val="minor"/>
      </rPr>
      <t>.s</t>
    </r>
    <r>
      <rPr>
        <vertAlign val="superscript"/>
        <sz val="11"/>
        <color theme="1"/>
        <rFont val="Calibri"/>
        <family val="2"/>
        <scheme val="minor"/>
      </rPr>
      <t>-1</t>
    </r>
  </si>
  <si>
    <t>PE;PP</t>
  </si>
  <si>
    <r>
      <t>g.m</t>
    </r>
    <r>
      <rPr>
        <vertAlign val="superscript"/>
        <sz val="11"/>
        <color theme="1"/>
        <rFont val="Calibri"/>
        <family val="2"/>
        <scheme val="minor"/>
      </rPr>
      <t>-1</t>
    </r>
    <r>
      <rPr>
        <sz val="11"/>
        <color theme="1"/>
        <rFont val="Calibri"/>
        <family val="2"/>
        <scheme val="minor"/>
      </rPr>
      <t>.day</t>
    </r>
    <r>
      <rPr>
        <vertAlign val="superscript"/>
        <sz val="11"/>
        <color theme="1"/>
        <rFont val="Calibri"/>
        <family val="2"/>
        <scheme val="minor"/>
      </rPr>
      <t>-1</t>
    </r>
    <r>
      <rPr>
        <sz val="11"/>
        <color theme="1"/>
        <rFont val="Calibri"/>
        <family val="2"/>
        <scheme val="minor"/>
      </rPr>
      <t>.Pa</t>
    </r>
    <r>
      <rPr>
        <vertAlign val="superscript"/>
        <sz val="11"/>
        <color theme="1"/>
        <rFont val="Calibri"/>
        <family val="2"/>
        <scheme val="minor"/>
      </rPr>
      <t>-1</t>
    </r>
  </si>
  <si>
    <t>Better</t>
  </si>
  <si>
    <r>
      <t>Low BGS content improves water vapor barrier properties</t>
    </r>
    <r>
      <rPr>
        <sz val="11"/>
        <color theme="1"/>
        <rFont val="Calibri"/>
        <family val="2"/>
        <scheme val="minor"/>
      </rPr>
      <t xml:space="preserve">: Adding </t>
    </r>
    <r>
      <rPr>
        <b/>
        <sz val="11"/>
        <color theme="1"/>
        <rFont val="Calibri"/>
        <family val="2"/>
        <scheme val="minor"/>
      </rPr>
      <t>1–5 wt% BGS</t>
    </r>
    <r>
      <rPr>
        <sz val="11"/>
        <color theme="1"/>
        <rFont val="Calibri"/>
        <family val="2"/>
        <scheme val="minor"/>
      </rPr>
      <t xml:space="preserve"> to PLA </t>
    </r>
    <r>
      <rPr>
        <b/>
        <sz val="11"/>
        <color theme="1"/>
        <rFont val="Calibri"/>
        <family val="2"/>
        <scheme val="minor"/>
      </rPr>
      <t>reduces WVP</t>
    </r>
    <r>
      <rPr>
        <sz val="11"/>
        <color theme="1"/>
        <rFont val="Calibri"/>
        <family val="2"/>
        <scheme val="minor"/>
      </rPr>
      <t xml:space="preserve"> compared to neat PLA. High BGS content worsens WVP due to morpholigical changes.</t>
    </r>
  </si>
  <si>
    <t>Chandrasekar, C.M.; Carullo, D.; Saitta, F.; Bellesia, T.; Caneva, E.; Baschieri, C.; Signorelli, M.; Barbiroli, A.G.; Fessas, D.; Farris, S.; Romano, D.</t>
  </si>
  <si>
    <t>Lipase-mediated bi-phasic modification of citrus pectin (MCP) and expedition of its packaging film characteristics</t>
  </si>
  <si>
    <t>International Journal of Biological Macromolecules</t>
  </si>
  <si>
    <t>10.1016/j.ijbiomac.2025.148727</t>
  </si>
  <si>
    <t>Citrus Pectin</t>
  </si>
  <si>
    <t>Pectin</t>
  </si>
  <si>
    <t>Polysaccharide</t>
  </si>
  <si>
    <t xml:space="preserve">Glycerol </t>
  </si>
  <si>
    <t>0.23 ± 0.07 cm³/(m²·24 h) at 20% RH and 21% O₂; 1.15 ± 0.04 cm³/(m²·24 h) at 20% RH and 100% O₂; 1.34 ± 0.16 cm³/(m²·24 h) at 40% RH and 21% O₂; 5.77 ± 1.14 cm³/(m²·24 h) at 40% RH and 100% O₂.</t>
  </si>
  <si>
    <r>
      <t>cm</t>
    </r>
    <r>
      <rPr>
        <vertAlign val="superscript"/>
        <sz val="11"/>
        <color theme="1"/>
        <rFont val="Calibri"/>
        <family val="2"/>
        <scheme val="minor"/>
      </rPr>
      <t>3</t>
    </r>
    <r>
      <rPr>
        <sz val="11"/>
        <color theme="1"/>
        <rFont val="Calibri"/>
        <family val="2"/>
        <scheme val="minor"/>
      </rPr>
      <t xml:space="preserve"> m</t>
    </r>
    <r>
      <rPr>
        <vertAlign val="superscript"/>
        <sz val="11"/>
        <color theme="1"/>
        <rFont val="Calibri"/>
        <family val="2"/>
        <scheme val="minor"/>
      </rPr>
      <t>−2</t>
    </r>
    <r>
      <rPr>
        <sz val="11"/>
        <color theme="1"/>
        <rFont val="Calibri"/>
        <family val="2"/>
        <scheme val="minor"/>
      </rPr>
      <t> day</t>
    </r>
    <r>
      <rPr>
        <vertAlign val="superscript"/>
        <sz val="11"/>
        <color theme="1"/>
        <rFont val="Calibri"/>
        <family val="2"/>
        <scheme val="minor"/>
      </rPr>
      <t>−1</t>
    </r>
  </si>
  <si>
    <t>ASTM F2476; ASTM F2622</t>
  </si>
  <si>
    <r>
      <t>g m</t>
    </r>
    <r>
      <rPr>
        <vertAlign val="superscript"/>
        <sz val="11"/>
        <color theme="1"/>
        <rFont val="Calibri"/>
        <family val="2"/>
        <scheme val="minor"/>
      </rPr>
      <t>−2</t>
    </r>
    <r>
      <rPr>
        <sz val="11"/>
        <color theme="1"/>
        <rFont val="Calibri"/>
        <family val="2"/>
        <scheme val="minor"/>
      </rPr>
      <t> day</t>
    </r>
    <r>
      <rPr>
        <vertAlign val="superscript"/>
        <sz val="11"/>
        <color theme="1"/>
        <rFont val="Calibri"/>
        <family val="2"/>
        <scheme val="minor"/>
      </rPr>
      <t>−1</t>
    </r>
  </si>
  <si>
    <t>ASTM F2622</t>
  </si>
  <si>
    <t>Grafting stearic acid into pectin films improves barrier properties</t>
  </si>
  <si>
    <t>Modified Citrus Pectin</t>
  </si>
  <si>
    <t>0.19 ± 0.05 cm³/(m²·24 h) at 20% RH and 21% O₂; 0.94 ± 0.04 cm³/(m²·24 h) at 20% RH and 100% O₂; 0.96 ± 0.11 cm³/(m²·24 h) at 40% RH and 21% O₂; 4.58 ± 1.14 cm³/(m²·24 h) at 40% RH and 100% O₂.</t>
  </si>
  <si>
    <t>Baddigam, K.R.; Chee, B.S.; Guilloud, E.; Venkatesh, C.; Koninckx, H.; Windey, K.; Fournet, M.B.; Hedenqvist, M.; Svagan, A.J.</t>
  </si>
  <si>
    <t>High oxygen barrier packaging materials from protein-rich single-celled organisms</t>
  </si>
  <si>
    <t>Communications Chemistry</t>
  </si>
  <si>
    <t>10.1038/s42004-025-01720-x</t>
  </si>
  <si>
    <t>Not a polymeric material</t>
  </si>
  <si>
    <t>Moody, F.; Claypole, A.; Woods, J.; Clifford, B.; Liu, Q.; Hardwick, C.; Phillips, C.; Deganello, D.</t>
  </si>
  <si>
    <t>Development of a pectin-based oxygen barrier coating for food packaging applications</t>
  </si>
  <si>
    <t>Future Foods</t>
  </si>
  <si>
    <t>10.1016/j.fufo.2025.100766</t>
  </si>
  <si>
    <t>Multilayer, composite or active packaging material</t>
  </si>
  <si>
    <t>Siracusa, C.; Manfroni, M.; Coatti, A.; Quartinello, F.; Soccio, M.; Lotti, N.; Guebitz, G.M.; Pellis, A.</t>
  </si>
  <si>
    <t>Mechanistic study of enzymatic hydrolysis of poly(butylene succinate)/poly(pentamethylene 2,5-furanoate)-based blend and block copolymer</t>
  </si>
  <si>
    <t>Polymer Degradation and Stability</t>
  </si>
  <si>
    <t>10.1016/j.polymdegradstab.2025.111631</t>
  </si>
  <si>
    <t>Dhatt, P.S.; Hu, A.; Hu, C.; Huynh, V.; Dai, S.Y.; Yuan, J.S.</t>
  </si>
  <si>
    <t>Biomimetic layered, ecological, advanced, multi-functional film for sustainable packaging</t>
  </si>
  <si>
    <t>Nature Communications</t>
  </si>
  <si>
    <t>10.1038/s41467-025-61693-2</t>
  </si>
  <si>
    <t>Pacheco-Romeralo, M.; Hernández-García, E.; Martínez de Ilarduya, A.; Janani, R.; Sammon, C.; Torres-Giner, S.</t>
  </si>
  <si>
    <t>Synthesis and characterization of copolyamide 1010/410 with varying putrescine contents for meat packaging applications</t>
  </si>
  <si>
    <t>Polymer Chemistry</t>
  </si>
  <si>
    <t>10.1039/d5py00766f</t>
  </si>
  <si>
    <t>Barros, A.C.O.D.; Silva, I.D.L.; Simões, A.N.; Pereira, J.F.Q.; Brito, A.M.S.S.; Vinhas, G.M.</t>
  </si>
  <si>
    <t>Production and Characterization of Bacterial Cellulose by Komagataeibacter hansenii UCP1619 Using the Fruit of Cereus jamacaru DC as an Alternative Medium</t>
  </si>
  <si>
    <t>Journal of the Brazilian Chemical Society</t>
  </si>
  <si>
    <t>10.21577/0103-5053.20250120</t>
  </si>
  <si>
    <t>Sun, T.; Ren, S.; Hu, J.; Zhang, J.; Liu, L.; Du, J.; Wang, X.; Deng, Y.; Yun, X.; Dong, T.</t>
  </si>
  <si>
    <t>Copolymerized and blended poly(L-lactic acid)-based films with potential for dairy packaging: Soil degradation behavior</t>
  </si>
  <si>
    <t>Industrial Crops and Products</t>
  </si>
  <si>
    <t>10.1016/j.indcrop.2025.121583</t>
  </si>
  <si>
    <t>QS &lt; 0.8</t>
  </si>
  <si>
    <t>Extrusion</t>
  </si>
  <si>
    <t>GB/T 26253</t>
  </si>
  <si>
    <t>Pilot</t>
  </si>
  <si>
    <t>Bulatović, V.O.; Kovač, M.; Kučić Grgić, D.K.; Mandić, V.; Jozinović, A.</t>
  </si>
  <si>
    <t>Designing Sustainable Packaging Materials: Citric Acid-Modified TPS/PLA Blends with Enhanced Functional and Eco-Performance</t>
  </si>
  <si>
    <t>10.3390/polym17192571</t>
  </si>
  <si>
    <t>Magouz, O.; Fayed, E.; Radhi, K.S.; Althobaiti, F.; Taha, A.A.; Kamel, R.M.; El-Nawasany, L.I.; Abdin, M.; Abdelkarim, D.O.; Hamed, Y.S.; Younis, M.</t>
  </si>
  <si>
    <t>Eco-Friendly Innovation: Biodegradable and Oil-Resistant Bags From Lotus halophilus Extract, Polyvinyl Alcohol, and Guar Gum for Sustainable Food Packaging</t>
  </si>
  <si>
    <t>Food Science and Nutrition</t>
  </si>
  <si>
    <t>10.1002/fsn3.71017</t>
  </si>
  <si>
    <t>Bhatia, S.; Khan, T.S.; Alhadhrami, A.S.; Chinnam, S.; Shah, Y.A.; Philip, A.K.; Koca, E.; Aydemir, L.Y.; Al-Harrasi, A.</t>
  </si>
  <si>
    <t>Development of novel ecofriendly sodium alginate-gelrite gellan gum composite films: Effects of glycerol and sorbitol</t>
  </si>
  <si>
    <t>Journal of Vinyl and Additive Technology</t>
  </si>
  <si>
    <t>10.1002/vnl.22187</t>
  </si>
  <si>
    <t>Gómez-Contreras, P.; Cháfer, M.; Chiralt, A.; González Martínez, C.</t>
  </si>
  <si>
    <t>Beer Bagasse as Filler for Starch-Based Biocomposite Films for Food Packaging Applications</t>
  </si>
  <si>
    <t>Biomass (Switzerland)</t>
  </si>
  <si>
    <t>10.3390/biomass5030046</t>
  </si>
  <si>
    <t>Macieja, S.; Mizielińska, M.; El Fray, M.; Bartkowiak, A.</t>
  </si>
  <si>
    <t>Novel Poly(butylene succinate-dilinoleic succinate) Films in Packaging Systems for Fresh Cut Chicory</t>
  </si>
  <si>
    <t>Coatings</t>
  </si>
  <si>
    <t>10.3390/coatings15091095</t>
  </si>
  <si>
    <t>PBS</t>
  </si>
  <si>
    <r>
      <t>g/m</t>
    </r>
    <r>
      <rPr>
        <vertAlign val="superscript"/>
        <sz val="11"/>
        <color theme="1"/>
        <rFont val="Calibri"/>
        <family val="2"/>
        <scheme val="minor"/>
      </rPr>
      <t>2</t>
    </r>
    <r>
      <rPr>
        <sz val="11"/>
        <color theme="1"/>
        <rFont val="Calibri"/>
        <family val="2"/>
        <scheme val="minor"/>
      </rPr>
      <t>·day</t>
    </r>
  </si>
  <si>
    <t>ISO 2528</t>
  </si>
  <si>
    <t>OPP</t>
  </si>
  <si>
    <t>Direct in same study</t>
  </si>
  <si>
    <t>OPP is far less permeable than PBS, but DLS reduces WVTR</t>
  </si>
  <si>
    <t>PBS-DLS</t>
  </si>
  <si>
    <t>Muñoz-Shugulí, C.; Morán, D.; Velásquez, E.; López-Vilariño, J.M.; López de Dicastillo, C.</t>
  </si>
  <si>
    <t>Effect of Degradation During Multiple Primary Mechanical Recycling Processes on the Physical Properties and Biodegradation of Commercial PLA-Based Water Bottles</t>
  </si>
  <si>
    <t>10.3390/polym17182542</t>
  </si>
  <si>
    <t>Sepúlveda-Carter, J.; Faba, S.; Rodríguez, M.S.; Arrieta, M.P.</t>
  </si>
  <si>
    <t>Reprocessing of Simulated Industrial PLA Waste for Food Contact Applications</t>
  </si>
  <si>
    <t>10.3390/polym17182439</t>
  </si>
  <si>
    <t>Compression molding</t>
  </si>
  <si>
    <t>Not specified</t>
  </si>
  <si>
    <r>
      <t>g/m</t>
    </r>
    <r>
      <rPr>
        <vertAlign val="superscript"/>
        <sz val="11"/>
        <color theme="1"/>
        <rFont val="Calibri"/>
        <family val="2"/>
        <scheme val="minor"/>
      </rPr>
      <t>2</t>
    </r>
    <r>
      <rPr>
        <sz val="11"/>
        <color theme="1"/>
        <rFont val="Calibri"/>
        <family val="2"/>
        <scheme val="minor"/>
      </rPr>
      <t>·Day</t>
    </r>
  </si>
  <si>
    <t>UNE 53097</t>
  </si>
  <si>
    <t>no</t>
  </si>
  <si>
    <t>In particular, the minimal increase in WVTR observed in PLA-RP suggests that the reprocessing cycle does not produce a high amount of shorter polymer chains able to increase the polymer chain mobility and facilitate the diffusion of moisture throughout the film, thus preserving the water barrier’s functional integrity</t>
  </si>
  <si>
    <t>reprocessed PLA</t>
  </si>
  <si>
    <t>Sabzevari, S.; Farrokhzad, H.; Poorkhalil, A.</t>
  </si>
  <si>
    <t>Synthesis and characterization of a hydrogel film based on chitosan/carboxymethyl cellulose for food packaging applications</t>
  </si>
  <si>
    <t>Carbohydrate Polymer Technologies and Applications</t>
  </si>
  <si>
    <t>10.1016/j.carpta.2025.100983</t>
  </si>
  <si>
    <t>Carboxymethylcellulose</t>
  </si>
  <si>
    <t>Cellulose</t>
  </si>
  <si>
    <t>?</t>
  </si>
  <si>
    <t>CMC is hydrophillic, CS has lower WVP due to crystallinity, CA crosslinking densified network up to 18%.</t>
  </si>
  <si>
    <t>Chitosan</t>
  </si>
  <si>
    <t>Chitosan, Cellulose</t>
  </si>
  <si>
    <t>Glycerin</t>
  </si>
  <si>
    <t>Zamanidehyaghoubi, G.; Shahidi, F.; Edalatian Dovom, M.R.; Mohebbi, M.; Roshanak, S.</t>
  </si>
  <si>
    <t>Investigating the effect of three different types and concentrations of plasticizers on physico-mechanical properties of pullulan food-packaging films</t>
  </si>
  <si>
    <t>Food Packaging and Shelf Life</t>
  </si>
  <si>
    <t>10.1016/j.fpsl.2025.101590</t>
  </si>
  <si>
    <t>Pullulan</t>
  </si>
  <si>
    <t>(g/m.s.Pa)</t>
  </si>
  <si>
    <t>The barrier performance of pullulan films was strongly governed by plasticizer type and concentration. Low plasticizer levels (5 % w/w) induced an antiplasticization effect, resulting in denser polymer networks and significantly reduced water vapour and oxygen permeability, with fructose-plasticized films showing the best barrier properties. Increasing plasticizer concentration (10 % w/w) led to higher WVP and O₂P due to increased chain mobility, free volume, and film thickness</t>
  </si>
  <si>
    <t>Glycerol (7,5 %w/w)</t>
  </si>
  <si>
    <t>Sorbitol</t>
  </si>
  <si>
    <t>Sorbitol (7,5 %w/w)</t>
  </si>
  <si>
    <t>Fructose</t>
  </si>
  <si>
    <t>Fructose (7,5 %w/w)</t>
  </si>
  <si>
    <t>Bernabé Vírseda, I.; de la Orden, M.U.; Martínez Urreaga, J.</t>
  </si>
  <si>
    <t>Effects of chitosan thin barrier layers on the oxygen permeability and optical properties of poly(lactic acid) and poly(3-hydroxybutyrate-co-3-hydroxyvalerate) multilayers</t>
  </si>
  <si>
    <t>10.1016/j.carpta.2025.100918</t>
  </si>
  <si>
    <t>Gil-Guillén, I.; Gonçalves, I.; Ferreira, P.; González Martínez, C.; Chiralt, A.</t>
  </si>
  <si>
    <t>Biodegradable Antioxidant Composites with Almond Skin Powder</t>
  </si>
  <si>
    <t>10.3390/polym17162201</t>
  </si>
  <si>
    <t>ASTM D3985</t>
  </si>
  <si>
    <t>g/Pa s m</t>
  </si>
  <si>
    <t>Almond skin powder acts as an effective oxygen barrier enhancer in both PLA and PVA films, while its impact on water vapor permeability is matrix-dependent, worsening water barrier properties in PLA but slightly improving them in PVA at low filler levels.</t>
  </si>
  <si>
    <t>PVA</t>
  </si>
  <si>
    <t>Jakubska, J.; Hudecki, A.; Kluska, D.; Grzybek, P.; Gołombek, K.; Pakieła, W.; Spałek, H.; Włodarczyk, P.; Kolano – Burian, A.; Dudek, G.</t>
  </si>
  <si>
    <t>Innovative Multilayer Biodegradable Films of Chitosan and PCL Fibers for Food Packaging</t>
  </si>
  <si>
    <t>Foods</t>
  </si>
  <si>
    <t>10.3390/foods14142470</t>
  </si>
  <si>
    <t>Gennaro, M.; Büyüktaş, D.; Carullo, D.; Pinto, A.; Dallavalle, S.; Farris, S.</t>
  </si>
  <si>
    <t>UV-Shielding Biopolymer Coatings Loaded with Bioactive Compounds for Food Packaging Applications</t>
  </si>
  <si>
    <t>10.3390/coatings15070741</t>
  </si>
  <si>
    <t>Athanasopoulou, E.; Katsiroumpa, A.; Gardeli, C.; Tsironi, T.</t>
  </si>
  <si>
    <t>Comparative study of packaging materials developed from fish and legume protein concentrates</t>
  </si>
  <si>
    <t>10.1016/j.fufo.2025.100563</t>
  </si>
  <si>
    <t>Gelatin</t>
  </si>
  <si>
    <r>
      <t>g</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t>
    </r>
    <r>
      <rPr>
        <b/>
        <sz val="11"/>
        <color theme="1"/>
        <rFont val="Calibri"/>
        <family val="2"/>
        <scheme val="minor"/>
      </rPr>
      <t>s</t>
    </r>
    <r>
      <rPr>
        <b/>
        <vertAlign val="superscript"/>
        <sz val="11"/>
        <color theme="1"/>
        <rFont val="Calibri"/>
        <family val="2"/>
        <scheme val="minor"/>
      </rPr>
      <t>−1</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t>
    </r>
    <r>
      <rPr>
        <b/>
        <sz val="11"/>
        <color theme="1"/>
        <rFont val="Calibri"/>
        <family val="2"/>
        <scheme val="minor"/>
      </rPr>
      <t>m</t>
    </r>
    <r>
      <rPr>
        <b/>
        <vertAlign val="superscript"/>
        <sz val="11"/>
        <color theme="1"/>
        <rFont val="Calibri"/>
        <family val="2"/>
        <scheme val="minor"/>
      </rPr>
      <t>−2</t>
    </r>
  </si>
  <si>
    <r>
      <t>10</t>
    </r>
    <r>
      <rPr>
        <b/>
        <vertAlign val="superscript"/>
        <sz val="11"/>
        <color theme="1"/>
        <rFont val="Calibri"/>
        <family val="2"/>
        <scheme val="minor"/>
      </rPr>
      <t>−8</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g</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t>
    </r>
    <r>
      <rPr>
        <b/>
        <sz val="11"/>
        <color theme="1"/>
        <rFont val="Calibri"/>
        <family val="2"/>
        <scheme val="minor"/>
      </rPr>
      <t>m</t>
    </r>
    <r>
      <rPr>
        <b/>
        <vertAlign val="superscript"/>
        <sz val="11"/>
        <color theme="1"/>
        <rFont val="Calibri"/>
        <family val="2"/>
        <scheme val="minor"/>
      </rPr>
      <t>−1</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t>
    </r>
    <r>
      <rPr>
        <b/>
        <sz val="11"/>
        <color theme="1"/>
        <rFont val="Calibri"/>
        <family val="2"/>
        <scheme val="minor"/>
      </rPr>
      <t>s-</t>
    </r>
    <r>
      <rPr>
        <b/>
        <vertAlign val="superscript"/>
        <sz val="11"/>
        <color theme="1"/>
        <rFont val="Calibri"/>
        <family val="2"/>
        <scheme val="minor"/>
      </rPr>
      <t>1</t>
    </r>
    <r>
      <rPr>
        <b/>
        <sz val="11"/>
        <color theme="1"/>
        <rFont val="Calibri"/>
        <family val="2"/>
        <scheme val="minor"/>
      </rPr>
      <t>×Pa</t>
    </r>
    <r>
      <rPr>
        <b/>
        <vertAlign val="superscript"/>
        <sz val="11"/>
        <color theme="1"/>
        <rFont val="Calibri"/>
        <family val="2"/>
        <scheme val="minor"/>
      </rPr>
      <t>−1</t>
    </r>
  </si>
  <si>
    <t>LDPE</t>
  </si>
  <si>
    <r>
      <t>g × m</t>
    </r>
    <r>
      <rPr>
        <vertAlign val="superscript"/>
        <sz val="11"/>
        <color theme="1"/>
        <rFont val="Calibri"/>
        <family val="2"/>
        <scheme val="minor"/>
      </rPr>
      <t>−1</t>
    </r>
    <r>
      <rPr>
        <sz val="11"/>
        <color theme="1"/>
        <rFont val="Calibri"/>
        <family val="2"/>
        <scheme val="minor"/>
      </rPr>
      <t xml:space="preserve"> × s-</t>
    </r>
    <r>
      <rPr>
        <vertAlign val="superscript"/>
        <sz val="11"/>
        <color theme="1"/>
        <rFont val="Calibri"/>
        <family val="2"/>
        <scheme val="minor"/>
      </rPr>
      <t>1</t>
    </r>
    <r>
      <rPr>
        <sz val="11"/>
        <color theme="1"/>
        <rFont val="Calibri"/>
        <family val="2"/>
        <scheme val="minor"/>
      </rPr>
      <t>×Pa</t>
    </r>
    <r>
      <rPr>
        <vertAlign val="superscript"/>
        <sz val="11"/>
        <color theme="1"/>
        <rFont val="Calibri"/>
        <family val="2"/>
        <scheme val="minor"/>
      </rPr>
      <t>−1</t>
    </r>
  </si>
  <si>
    <t>Pectin-based films showed the best water vapor barrier performance, while protein-containing films—especially lentil protein–pectin composites—had significantly poorer water vapor barrier properties.</t>
  </si>
  <si>
    <t>Seabream protein concentrate + Gelatin</t>
  </si>
  <si>
    <t>Lentil protein concentrate + Pectin</t>
  </si>
  <si>
    <t>Camarena-Bononad, P.; Freitas, P.A.V.; Chiralt, A.; Vargas, M.</t>
  </si>
  <si>
    <t>Use of Cellulose Fibres from Posidonia oceanica to Obtain Chitosan Biocomposites and Poly(lactic Acid) Laminates</t>
  </si>
  <si>
    <t>Polysaccharides</t>
  </si>
  <si>
    <t>10.3390/polysaccharides6020027</t>
  </si>
  <si>
    <t>Liu, Y.; Guo, L.; Hu, X.; Zhou, M.</t>
  </si>
  <si>
    <t>Sensor-Integrated Inverse Design of Sustainable Food Packaging Materials via Generative Adversarial Networks</t>
  </si>
  <si>
    <t>Sensors</t>
  </si>
  <si>
    <t>10.3390/s25113320</t>
  </si>
  <si>
    <t>Zacheski, J.B.A.; Rojas, C.E.B.; Gerhardt, R.; Cappellari, N.P.; Silva de Farias, B.S.; Christ-Ribeiro, A.C.; Sant'anna Cadaval Júnior, T.R.; Pinto, L.A.</t>
  </si>
  <si>
    <t>Chitosan-based films enriched with anthocyanin compounds for potential use as food packaging</t>
  </si>
  <si>
    <t>10.1016/j.ijbiomac.2025.144867</t>
  </si>
  <si>
    <t>Arroyo-Esquivel, L.; Jiménez, V.M.; Vásquez, F.; Esquivel, P.</t>
  </si>
  <si>
    <t>Plasticizers improved flexibility, homogeneity, and color stability in pitahaya (Hylocereus sp.) peel-based biopolymer films aimed at food packaging</t>
  </si>
  <si>
    <t>10.1016/j.indcrop.2025.120757</t>
  </si>
  <si>
    <t>Joe, A.-C.; Tănase, M.; Calin, C.; Sirbu, E.-E.; Banu, I.; Bomboş, D.; Cuc, S.</t>
  </si>
  <si>
    <t>Pyrolyzed Biomass Filler for PLA-Based Food Packaging</t>
  </si>
  <si>
    <t>10.3390/polym17101327</t>
  </si>
  <si>
    <t>Ocampo-Gómez, Y.A.; Rico-Rodriguez, F.; González-Cuello, R.; Hernández-Fernández, J.; Ortega-Toro, R.</t>
  </si>
  <si>
    <t>Effect of the Addition of Banana Stem Lignin (Musa acuminata ssp. balbisiana var. Dominico-Harton) on the Physicochemical Properties of Biodegradable Composites Based on Methylhydroxyethylcellulose</t>
  </si>
  <si>
    <t>Journal of Composites Science</t>
  </si>
  <si>
    <t>10.3390/jcs9050244</t>
  </si>
  <si>
    <t>Methyl Hydroxyethyl Cellulose</t>
  </si>
  <si>
    <r>
      <t>g mm/kPa-h-m</t>
    </r>
    <r>
      <rPr>
        <vertAlign val="superscript"/>
        <sz val="11"/>
        <color theme="1"/>
        <rFont val="Calibri"/>
        <family val="2"/>
        <scheme val="minor"/>
      </rPr>
      <t>2</t>
    </r>
  </si>
  <si>
    <t>Incorporation of lignin increases film thickness and water vapour permeability, indicating a deterioration of the water vapour barrier compared to lignin-free (MHEC-based) control films.</t>
  </si>
  <si>
    <t>de Lima Silva, I.D.; Caetano, V.F.; de Andrade, M.F.; de Moraes Filho, L.E.P.T.; de Almeida, Y.M.B.; Simões, A.; Brito, A.M.S.S.; Vinhas, G.M.</t>
  </si>
  <si>
    <t>Evaluation of the physical–chemical properties of the blend of arrowroot starch and cactus mucilage</t>
  </si>
  <si>
    <t>Polymer Engineering and Science</t>
  </si>
  <si>
    <t>10.1002/pen.27124</t>
  </si>
  <si>
    <t>Starch</t>
  </si>
  <si>
    <t>Srarch</t>
  </si>
  <si>
    <r>
      <t>g s</t>
    </r>
    <r>
      <rPr>
        <vertAlign val="superscript"/>
        <sz val="11"/>
        <color theme="1"/>
        <rFont val="Calibri"/>
        <family val="2"/>
        <scheme val="minor"/>
      </rPr>
      <t>−1</t>
    </r>
    <r>
      <rPr>
        <sz val="11"/>
        <color theme="1"/>
        <rFont val="Calibri"/>
        <family val="2"/>
        <scheme val="minor"/>
      </rPr>
      <t> m</t>
    </r>
    <r>
      <rPr>
        <vertAlign val="superscript"/>
        <sz val="11"/>
        <color theme="1"/>
        <rFont val="Calibri"/>
        <family val="2"/>
        <scheme val="minor"/>
      </rPr>
      <t>−2</t>
    </r>
  </si>
  <si>
    <r>
      <t>g s</t>
    </r>
    <r>
      <rPr>
        <vertAlign val="superscript"/>
        <sz val="11"/>
        <color theme="1"/>
        <rFont val="Calibri"/>
        <family val="2"/>
        <scheme val="minor"/>
      </rPr>
      <t>−1</t>
    </r>
    <r>
      <rPr>
        <sz val="11"/>
        <color theme="1"/>
        <rFont val="Calibri"/>
        <family val="2"/>
        <scheme val="minor"/>
      </rPr>
      <t> m</t>
    </r>
    <r>
      <rPr>
        <vertAlign val="superscript"/>
        <sz val="11"/>
        <color theme="1"/>
        <rFont val="Calibri"/>
        <family val="2"/>
        <scheme val="minor"/>
      </rPr>
      <t>−1</t>
    </r>
    <r>
      <rPr>
        <sz val="11"/>
        <color theme="1"/>
        <rFont val="Calibri"/>
        <family val="2"/>
        <scheme val="minor"/>
      </rPr>
      <t> Pa</t>
    </r>
    <r>
      <rPr>
        <vertAlign val="superscript"/>
        <sz val="11"/>
        <color theme="1"/>
        <rFont val="Calibri"/>
        <family val="2"/>
        <scheme val="minor"/>
      </rPr>
      <t>−1</t>
    </r>
  </si>
  <si>
    <t>Incorporating mucilage in starch films increases WVP</t>
  </si>
  <si>
    <t>Karaoğul, E.; Sark, G.; Öğütlü, A.S.</t>
  </si>
  <si>
    <t>Bio-Hybrid Films from Chirich Tuber Starch: A Sustainable Approach with Machine Learning-Driven Optimization</t>
  </si>
  <si>
    <t>Sustainability (Switzerland)</t>
  </si>
  <si>
    <t>10.3390/su17051935</t>
  </si>
  <si>
    <t>Liu, I.-T.; Li, C.-Y.; Liao, Y.-C.</t>
  </si>
  <si>
    <t>Sustainable multi-purpose bacterial cellulose composite for food packaging via facile successive infiltration</t>
  </si>
  <si>
    <t>10.1016/j.carpta.2025.100703</t>
  </si>
  <si>
    <t>Marianelli, A.; Casu Pereira de Sousa, B.A.; Macaluso, M.; Pieracci, Y.; Palla, F.; Verdini, P.G.; Guidi, E.; Coltelli, M.-B.; Zinnai, A.</t>
  </si>
  <si>
    <t>Analysis and evaluation of compostable and conventional films for packaging bakery goods in modified atmospheres with the use of Microcontroller Unit (MCU) and digital sensors</t>
  </si>
  <si>
    <t>10.1016/j.fpsl.2025.101459</t>
  </si>
  <si>
    <t>Petaloti, A.-I.; Paraskevopoulou, A.; Achilias, D.S.</t>
  </si>
  <si>
    <t>Preparation and Characterization of Biocomposite Films with Enhanced Oxygen Barrier and Antioxidant Properties Based on Polylactide and Extracts from Coffee Silverskin</t>
  </si>
  <si>
    <t>Molecules</t>
  </si>
  <si>
    <t>10.3390/molecules30061383</t>
  </si>
  <si>
    <t>Manfroni, M.; Coatti, A.; Soccio, M.; Siracusa, V.; Boanini, E.; Salatelli, E.; Lotti, N.</t>
  </si>
  <si>
    <t>Eco-design of biobased poly(butylene succinate-b-pentamethylene 2,5-furanoate) copolymers with optimized mechanical, thermal and barrier properties for flexible food-packaging</t>
  </si>
  <si>
    <t>European Polymer Journal</t>
  </si>
  <si>
    <t>10.1016/j.eurpolymj.2025.113728</t>
  </si>
  <si>
    <r>
      <t>cm</t>
    </r>
    <r>
      <rPr>
        <vertAlign val="superscript"/>
        <sz val="11"/>
        <color theme="1"/>
        <rFont val="Calibri"/>
        <family val="2"/>
        <scheme val="minor"/>
      </rPr>
      <t>3</t>
    </r>
    <r>
      <rPr>
        <sz val="11"/>
        <color theme="1"/>
        <rFont val="Calibri"/>
        <family val="2"/>
        <scheme val="minor"/>
      </rPr>
      <t xml:space="preserve"> cm/m</t>
    </r>
    <r>
      <rPr>
        <vertAlign val="superscript"/>
        <sz val="11"/>
        <color theme="1"/>
        <rFont val="Calibri"/>
        <family val="2"/>
        <scheme val="minor"/>
      </rPr>
      <t>2</t>
    </r>
    <r>
      <rPr>
        <sz val="11"/>
        <color theme="1"/>
        <rFont val="Calibri"/>
        <family val="2"/>
        <scheme val="minor"/>
      </rPr>
      <t xml:space="preserve"> d atm</t>
    </r>
  </si>
  <si>
    <t>ASTM D1434</t>
  </si>
  <si>
    <t>PP; HDPE; LDPE; EVOH; PET; EVOH, NYLON 6</t>
  </si>
  <si>
    <t>4.71; 5.92; 20.27; 21.22; 27.90; 60.56; 198.17</t>
  </si>
  <si>
    <t>g/(m2·day)</t>
  </si>
  <si>
    <r>
      <t>PBS has moderate barrier properties</t>
    </r>
    <r>
      <rPr>
        <sz val="11"/>
        <color theme="1"/>
        <rFont val="Calibri"/>
        <family val="2"/>
        <scheme val="minor"/>
      </rPr>
      <t>, better than common polyolefins, but much worse than PPeF.</t>
    </r>
  </si>
  <si>
    <t>Reference values estimated with automeris.io</t>
  </si>
  <si>
    <t>PPef</t>
  </si>
  <si>
    <t>FDCA derivative</t>
  </si>
  <si>
    <t>Dodange, S.; Shekarchizadeh, H.; Kadivar, M.</t>
  </si>
  <si>
    <t>Designing and characterization of bilayer films based on bitter vetch seed protein and polylactic acid for enhanced food packaging</t>
  </si>
  <si>
    <t>Heliyon</t>
  </si>
  <si>
    <t>10.1016/j.heliyon.2024.e41430</t>
  </si>
  <si>
    <t>Pk, M.E.H.; Islam, M.M.; Akter, R.; Nesa, F.; Rahman, M.M.; Paul, T.; Mustafi, S.; Karim, M.R.; Rahman, S.; Alodhayb, A.N.; Vasquez-Guardado, E.S.; Albrithen, H.</t>
  </si>
  <si>
    <t>Carboxymethyl Chitosan-based Biodegradable Films Preparation and Prospects for Food Preservation</t>
  </si>
  <si>
    <t>ChemistrySelect</t>
  </si>
  <si>
    <t>10.1002/slct.202404675</t>
  </si>
  <si>
    <t>Novianto, T.D.; Rahayoe, S.; Sedayu, B.B.</t>
  </si>
  <si>
    <t>Enhancing the Properties of Biodegradable Food Packaging Films Derived from Agar and Porang-Glucomannan (Amorphophallus oncophyllus) Blends</t>
  </si>
  <si>
    <t>Journal of Renewable Materials</t>
  </si>
  <si>
    <t>10.32604/jrm.2024.057313</t>
  </si>
  <si>
    <t>Fadhallah, E.G.; Zuidar, A.S.; Hidayati, S.; Haidawati; Dameswary, A.H.; Ramadhani, A.T.</t>
  </si>
  <si>
    <t>Development of Sustainable Bioplastic Composite Films from Cocoa Pod Husk Waste Cellulose and Kappa-Carrageenan</t>
  </si>
  <si>
    <t>Caraka Tani: Journal of Sustainable Agriculture</t>
  </si>
  <si>
    <t>10.20961/carakatani.v40i1.92035</t>
  </si>
  <si>
    <t>Abdalrazeq, M.; Aref, D.; Mariniello, L.; Giosafatto, C.V.L.</t>
  </si>
  <si>
    <t>Microbial Transglutaminase-Mediated Modification of Heat-Denatured Whey Proteins for the Preparation of Bio-Based Materials</t>
  </si>
  <si>
    <t>10.3390/coatings15010066</t>
  </si>
  <si>
    <t>Whey</t>
  </si>
  <si>
    <r>
      <t>cm</t>
    </r>
    <r>
      <rPr>
        <vertAlign val="superscript"/>
        <sz val="11"/>
        <color theme="1"/>
        <rFont val="Calibri"/>
        <family val="2"/>
        <scheme val="minor"/>
      </rPr>
      <t>3</t>
    </r>
    <r>
      <rPr>
        <sz val="11"/>
        <color theme="1"/>
        <rFont val="Calibri"/>
        <family val="2"/>
        <scheme val="minor"/>
      </rPr>
      <t xml:space="preserve"> mm m</t>
    </r>
    <r>
      <rPr>
        <vertAlign val="superscript"/>
        <sz val="11"/>
        <color theme="1"/>
        <rFont val="Calibri"/>
        <family val="2"/>
        <scheme val="minor"/>
      </rPr>
      <t>−2</t>
    </r>
    <r>
      <rPr>
        <sz val="11"/>
        <color theme="1"/>
        <rFont val="Calibri"/>
        <family val="2"/>
        <scheme val="minor"/>
      </rPr>
      <t xml:space="preserve"> day</t>
    </r>
    <r>
      <rPr>
        <vertAlign val="superscript"/>
        <sz val="11"/>
        <color theme="1"/>
        <rFont val="Calibri"/>
        <family val="2"/>
        <scheme val="minor"/>
      </rPr>
      <t>−1</t>
    </r>
    <r>
      <rPr>
        <sz val="11"/>
        <color theme="1"/>
        <rFont val="Calibri"/>
        <family val="2"/>
        <scheme val="minor"/>
      </rPr>
      <t xml:space="preserve"> kPa</t>
    </r>
    <r>
      <rPr>
        <vertAlign val="superscript"/>
        <sz val="11"/>
        <color theme="1"/>
        <rFont val="Calibri"/>
        <family val="2"/>
        <scheme val="minor"/>
      </rPr>
      <t>−1</t>
    </r>
  </si>
  <si>
    <t>ASTM F2476</t>
  </si>
  <si>
    <t>ASTM F1249</t>
  </si>
  <si>
    <t>CO2P &gt; O2P attributed to higher solubility of CO2 in protein; High WVP due to hydrophilic polar groups in protein; mTG crosslinking significantly improved O₂ and CO₂ barrier properties of WP films, while water vapor permeability was unaffected due to the hydrophilic protein matrix</t>
  </si>
  <si>
    <t>Alfiya, P.V.; Jayashree, E.; Anees, K.; P.; S.</t>
  </si>
  <si>
    <t>Optimization and Characterization of Turmeric Oleoresin Impregnated Biodegradable Packaging Film</t>
  </si>
  <si>
    <t>Packaging Technology and Science</t>
  </si>
  <si>
    <t>10.1002/pts.70051</t>
  </si>
  <si>
    <t>Paudel, S.; Janaswamy, S.</t>
  </si>
  <si>
    <t>Biodegradable films based on alfalfa cellulosic residue and carrageenan blends for sustainable food packaging</t>
  </si>
  <si>
    <t>Sustainable Food Technology</t>
  </si>
  <si>
    <t>10.1039/d5fb00872g</t>
  </si>
  <si>
    <t>Sidhu, R.K.; Riar, C.S.; Singh, S.</t>
  </si>
  <si>
    <t>Eco-friendly biofilms from chemically modified Indian teff (Eragrostis tef) starch for quality maintenance and shelf-life improvement of green grapes</t>
  </si>
  <si>
    <t>10.1039/d5fb00606f</t>
  </si>
  <si>
    <t>Sourav, C.; Abhilash, A.; Mohan, C.O.; Sabu, S.; Sunooj, K.V.</t>
  </si>
  <si>
    <t>Prospects of Biodegradable Packaging in the Seafood Industry: A Review</t>
  </si>
  <si>
    <t>Asian Fisheries Science</t>
  </si>
  <si>
    <t>10.33997/j.afs.2025.38.1.005</t>
  </si>
  <si>
    <t>Lee, S.C.; Han Lyn, H.L.; Nur Hanani, Z.A.</t>
  </si>
  <si>
    <t>Effect of Homogenization Rates on the Properties and Stability of Fish Gelatin Films with Cinnamon Essential Oil</t>
  </si>
  <si>
    <t>10.32604/jrm.2024.02024-0006</t>
  </si>
  <si>
    <t>Glycerol (30 w/w%)</t>
  </si>
  <si>
    <t>g m−1 Pa−1 s−1</t>
  </si>
  <si>
    <t xml:space="preserve">
g m−1 Pa−1 s−1</t>
  </si>
  <si>
    <t>Miller, K.; Reichert, C.L.; Schmid, M.; Loeffler, M.</t>
  </si>
  <si>
    <t>Impact of Citric Acid on the Structure, Barrier, and Tensile Properties of Esterified/Cross-Linked Potato Peel-Based Films and Coatings</t>
  </si>
  <si>
    <t>10.3390/polym16243506</t>
  </si>
  <si>
    <t>Moll, E.; Chiralt, A.</t>
  </si>
  <si>
    <t>Improving Thermo-Sealing of Poly(3-hydroxybutyrate-co-3-hydroxyvalerate) by Blending with Polycaprolactone</t>
  </si>
  <si>
    <t>10.3390/polym16233255</t>
  </si>
  <si>
    <t>Jiang, S.; Zhang, J.; Zhang, M.; Qian, F.; Mu, G.</t>
  </si>
  <si>
    <t>Characteristics of whey protein concentrate/egg white protein composite film modified by transglutaminase and its application on cherry tomatoes</t>
  </si>
  <si>
    <t>Journal of Food Science</t>
  </si>
  <si>
    <t>10.1111/1750-3841.17506</t>
  </si>
  <si>
    <t>Bianchi, E.; Papadopoulos, L.; Soccio, M.; Siracusa, V.; Gazzano, M.; Robert, T.; Bikiaris, D.N.; Lotti, N.</t>
  </si>
  <si>
    <t>Mechanical properties, gas permeability and biodegradation mechanism of biobased poly(ester amide)s from 2,5-furandicarboxylic acid and amido diols for sustainable food packaging</t>
  </si>
  <si>
    <t>10.1016/j.polymdegradstab.2024.111049</t>
  </si>
  <si>
    <t>PDF</t>
  </si>
  <si>
    <r>
      <t>(cm</t>
    </r>
    <r>
      <rPr>
        <vertAlign val="superscript"/>
        <sz val="11"/>
        <color theme="1"/>
        <rFont val="Calibri"/>
        <family val="2"/>
        <scheme val="minor"/>
      </rPr>
      <t>3</t>
    </r>
    <r>
      <rPr>
        <sz val="11"/>
        <color theme="1"/>
        <rFont val="Calibri"/>
        <family val="2"/>
        <scheme val="minor"/>
      </rPr>
      <t xml:space="preserve"> cm) / (m</t>
    </r>
    <r>
      <rPr>
        <vertAlign val="superscript"/>
        <sz val="11"/>
        <color theme="1"/>
        <rFont val="Calibri"/>
        <family val="2"/>
        <scheme val="minor"/>
      </rPr>
      <t>2</t>
    </r>
    <r>
      <rPr>
        <sz val="11"/>
        <color theme="1"/>
        <rFont val="Calibri"/>
        <family val="2"/>
        <scheme val="minor"/>
      </rPr>
      <t xml:space="preserve"> day atm)</t>
    </r>
  </si>
  <si>
    <t>PET</t>
  </si>
  <si>
    <r>
      <t>(cm</t>
    </r>
    <r>
      <rPr>
        <vertAlign val="superscript"/>
        <sz val="11"/>
        <color theme="1"/>
        <rFont val="Calibri"/>
        <family val="2"/>
        <scheme val="minor"/>
      </rPr>
      <t>3</t>
    </r>
    <r>
      <rPr>
        <sz val="11"/>
        <color theme="1"/>
        <rFont val="Calibri"/>
        <family val="2"/>
        <scheme val="minor"/>
      </rPr>
      <t xml:space="preserve"> cm) / (m</t>
    </r>
    <r>
      <rPr>
        <vertAlign val="superscript"/>
        <sz val="11"/>
        <color theme="1"/>
        <rFont val="Calibri"/>
        <family val="2"/>
        <scheme val="minor"/>
      </rPr>
      <t>2</t>
    </r>
    <r>
      <rPr>
        <sz val="11"/>
        <color theme="1"/>
        <rFont val="Calibri"/>
        <family val="2"/>
        <scheme val="minor"/>
      </rPr>
      <t xml:space="preserve"> day atm).</t>
    </r>
  </si>
  <si>
    <t>(cm3 cm) / (m2 day atm).</t>
  </si>
  <si>
    <t>Comparable</t>
  </si>
  <si>
    <t>PEA copolymers with higher amide content (PEA 35/65) showed greatly improved gas barrier properties, with O₂-TR reduced by 61% and CO₂-TR by 70%, comparable to PET/Nylon 6, stable under high humidity and temperature, due to increased hydrogen bonding and reduced free volume.</t>
  </si>
  <si>
    <t>PEA 90/10</t>
  </si>
  <si>
    <t>PEA 65/35</t>
  </si>
  <si>
    <t>PEA 35/65</t>
  </si>
  <si>
    <t>Szymański, M.; Pawlik, M.; Dobrucka, R.</t>
  </si>
  <si>
    <t>Development of a blue innovative antioxidant, biodegradable packaging material with Clitoria ternatea L. flos</t>
  </si>
  <si>
    <t>Food Bioscience</t>
  </si>
  <si>
    <t>10.1016/j.fbio.2024.105047</t>
  </si>
  <si>
    <t>Pech-Cohuo, S.C.; Dzul-Cervantes, M.A.D.A.; Pérez-Pacheco, E.; Rosado, J.A.C.; Chim-Chi, Y.A.; Ríos-Soberanis, C.R.; Cuevas-Carballo, Z.B.; Uc-Cayetano, E.G.; Can-Herrera, L.A.; Ortiz-Fernández, A.; Collí-Pacheco, J.P.; Mina-Hernández, J.H.; Pérez‑Padilla, Y.</t>
  </si>
  <si>
    <t>Effect of clays incorporation on properties of thermoplastic starch/clay composite bio-based polymer blends</t>
  </si>
  <si>
    <t>10.1038/s41598-024-69092-1</t>
  </si>
  <si>
    <t xml:space="preserve">Glycerin </t>
  </si>
  <si>
    <t>Incorporating bentonite clay into starch-based bioplastics significantly reduces water vapor permeability by creating a denser matrix that acts as a physical barrier, thereby enhancing the material’s moisture barrier properties</t>
  </si>
  <si>
    <t>Regmi, S.; Janaswamy, S.</t>
  </si>
  <si>
    <t>Biodegradable films from soyhull cellulosic residue with UV protection and antioxidant properties improve the shelf-life of post-harvested raspberries</t>
  </si>
  <si>
    <t>Food Chemistry</t>
  </si>
  <si>
    <t>10.1016/j.foodchem.2024.140672</t>
  </si>
  <si>
    <t>Ratna, R.; Mutia, M.; Darwin, D.; Munawar, A.A.; Fitriani, F.; Handayani, L.</t>
  </si>
  <si>
    <t>Utilization of tofu liquid waste for the manufacture of bioplastic food packaging</t>
  </si>
  <si>
    <t>Case Studies in Chemical and Environmental Engineering</t>
  </si>
  <si>
    <t>10.1016/j.cscee.2024.100830</t>
  </si>
  <si>
    <t>Hussain, S.A.; Yadav, M.P.; Sharma, B.K.; Qi, P.X.; Jin, T.Z.</t>
  </si>
  <si>
    <t>Biodegradable Food Packaging Films Using a Combination of Hemicellulose and Cellulose Derivatives †</t>
  </si>
  <si>
    <t>10.3390/polym16223171</t>
  </si>
  <si>
    <t>Hemicellulose B, methylcellulose</t>
  </si>
  <si>
    <r>
      <t>cc/m</t>
    </r>
    <r>
      <rPr>
        <vertAlign val="superscript"/>
        <sz val="11"/>
        <color theme="1"/>
        <rFont val="Calibri"/>
        <family val="2"/>
        <scheme val="minor"/>
      </rPr>
      <t>2</t>
    </r>
    <r>
      <rPr>
        <sz val="11"/>
        <color theme="1"/>
        <rFont val="Calibri"/>
        <family val="2"/>
        <scheme val="minor"/>
      </rPr>
      <t>/day</t>
    </r>
  </si>
  <si>
    <r>
      <t>g/m</t>
    </r>
    <r>
      <rPr>
        <vertAlign val="superscript"/>
        <sz val="11"/>
        <color theme="1"/>
        <rFont val="Calibri"/>
        <family val="2"/>
        <scheme val="minor"/>
      </rPr>
      <t>2</t>
    </r>
    <r>
      <rPr>
        <sz val="11"/>
        <color theme="1"/>
        <rFont val="Calibri"/>
        <family val="2"/>
        <scheme val="minor"/>
      </rPr>
      <t>/day</t>
    </r>
  </si>
  <si>
    <t>Glycerol (15%)</t>
  </si>
  <si>
    <t>WVTR, thickness and OTR values estimated with automeris.io</t>
  </si>
  <si>
    <t>Glycerol (20%)</t>
  </si>
  <si>
    <t>PEG 1000 (15%)</t>
  </si>
  <si>
    <t>PEG 1000 (20%)</t>
  </si>
  <si>
    <t>Hemicellulose B, carboxymethyl cellulose</t>
  </si>
  <si>
    <t>Diah, S.B.M.; Sayid Abdullah, S.H.Y.S.; Yew, Y.B.; Ireana Yusra, I.Y.A.; A Rahman, N.I.A.; Hafizulhaq, F.; Alias, N.N.</t>
  </si>
  <si>
    <t>Impact of Starch-Based Bioplastic Film Reinforced with Alkaline Treated Lemongrass Fiber and Lemongrass Essential Oil on the Barrier and Mechanical Properties</t>
  </si>
  <si>
    <t>Journal of Advanced Research in Applied Mechanics</t>
  </si>
  <si>
    <t>10.37934/ARAM.123.1.120134</t>
  </si>
  <si>
    <t>Ursachi, V.-F.; Oroian, M.; Spinei, M.</t>
  </si>
  <si>
    <t>Development and characterization of biodegradable films based on cellulose derivatives and citrus pectin: A comparative study</t>
  </si>
  <si>
    <t>10.1016/j.indcrop.2024.119052</t>
  </si>
  <si>
    <t>Figueroa-Lopez, K.J.; Villabona-Ortíz, Á.; Ortega-Toro, R.</t>
  </si>
  <si>
    <t>Sustainable Starch-Based Films from Cereals and Tubers: A Comparative Study on Cherry Tomato Preservation</t>
  </si>
  <si>
    <t>10.3390/polym16202913</t>
  </si>
  <si>
    <t>Rojas-Candelas, L.E.; Duque-Buitrago, L.F.; Díaz-Ramírez, M.; González-Vázquez, M.; Arredondo-Tamayo, B.; Mendez, J.V.; Renteria-Ortega, M.; Quiroz-Estrada, K.</t>
  </si>
  <si>
    <t>Development of Pericarp-Based Coatings from Corn Nixtamalization Residue for Stone Fruits: Applications for Peach and Tejocote</t>
  </si>
  <si>
    <t>10.3390/coatings14101296</t>
  </si>
  <si>
    <t>Bianchi, E.; Soccio, M.; Siracusa, V.; Gazzano, M.; Thiyagarajan, S.; Lotti, N.</t>
  </si>
  <si>
    <t>Poly(alkylene 2,4-furanoate)s: The potential of structural isomerism for outstanding sustainable food packaging and unexpected evidence of self-healing microstructure</t>
  </si>
  <si>
    <t>Reactive and Functional Polymers</t>
  </si>
  <si>
    <t>10.1016/j.reactfunctpolym.2024.106010</t>
  </si>
  <si>
    <t>2,4-PTF</t>
  </si>
  <si>
    <r>
      <t>(cm</t>
    </r>
    <r>
      <rPr>
        <b/>
        <vertAlign val="superscript"/>
        <sz val="11"/>
        <color theme="1"/>
        <rFont val="Calibri"/>
        <family val="2"/>
        <scheme val="minor"/>
      </rPr>
      <t>3</t>
    </r>
    <r>
      <rPr>
        <sz val="11"/>
        <color theme="1"/>
        <rFont val="Calibri"/>
        <family val="2"/>
        <scheme val="minor"/>
      </rPr>
      <t xml:space="preserve"> cm)/(m</t>
    </r>
    <r>
      <rPr>
        <b/>
        <vertAlign val="superscript"/>
        <sz val="11"/>
        <color theme="1"/>
        <rFont val="Calibri"/>
        <family val="2"/>
        <scheme val="minor"/>
      </rPr>
      <t>2</t>
    </r>
    <r>
      <rPr>
        <sz val="11"/>
        <color theme="1"/>
        <rFont val="Calibri"/>
        <family val="2"/>
        <scheme val="minor"/>
      </rPr>
      <t xml:space="preserve"> day atm)</t>
    </r>
  </si>
  <si>
    <t>2,4-PBF</t>
  </si>
  <si>
    <t>2,4-PPef</t>
  </si>
  <si>
    <t>2,4-PHF</t>
  </si>
  <si>
    <t>Maitha, I.M.; Okoth, M.W.; Njue, L.G.; Mbuge, D.O.</t>
  </si>
  <si>
    <t>Development of eco-friendly food packaging bio-film from cassava starch plasticized with coconut oil</t>
  </si>
  <si>
    <t>East African Journal of Science, Technology and Innovation</t>
  </si>
  <si>
    <t>10.37425/68e3hv02</t>
  </si>
  <si>
    <t>Glyverol (10%); Coconut oil (10%)</t>
  </si>
  <si>
    <r>
      <t>g m</t>
    </r>
    <r>
      <rPr>
        <sz val="6"/>
        <color theme="1"/>
        <rFont val="Arial"/>
        <family val="2"/>
      </rPr>
      <t>-1</t>
    </r>
    <r>
      <rPr>
        <sz val="9"/>
        <color theme="1"/>
        <rFont val="Arial"/>
        <family val="2"/>
      </rPr>
      <t>s</t>
    </r>
    <r>
      <rPr>
        <sz val="6"/>
        <color theme="1"/>
        <rFont val="Arial"/>
        <family val="2"/>
      </rPr>
      <t>-1</t>
    </r>
    <r>
      <rPr>
        <sz val="9"/>
        <color theme="1"/>
        <rFont val="Arial"/>
        <family val="2"/>
      </rPr>
      <t>Pa</t>
    </r>
    <r>
      <rPr>
        <sz val="6"/>
        <color theme="1"/>
        <rFont val="Arial"/>
        <family val="2"/>
      </rPr>
      <t>-1</t>
    </r>
  </si>
  <si>
    <t>He, W.-J.; Xu, Q.-D.; Chen, N.; Zeng, W.-C.</t>
  </si>
  <si>
    <t>Establishing a biodegradable film with gluten and tea polyphenols: Structure, properties, and function</t>
  </si>
  <si>
    <t>LWT</t>
  </si>
  <si>
    <t>10.1016/j.lwt.2024.116693</t>
  </si>
  <si>
    <t>Tosuwan, P.; Leese, H.S.; Chuck, C.J.</t>
  </si>
  <si>
    <t>Developing Hydrophobic Alginate-Amine Derivatives as a Coating for Food Packaging</t>
  </si>
  <si>
    <t>10.1021/acsapm.4c01816</t>
  </si>
  <si>
    <t>Mroczkowska, M.; Culliton, D.; Germaine, K.J.; Hegde, M.; Tobin, E.F.; Neves, A.C.</t>
  </si>
  <si>
    <t>Valorisation of Tomato Waste as a Source of Cutin for Hydrophobic Surface Coatings to Protect Starch- and Gelatine-Blend Bioplastics</t>
  </si>
  <si>
    <t>10.3390/biomass4030055</t>
  </si>
  <si>
    <t>Starch, Gelatin</t>
  </si>
  <si>
    <t>Polysaccharide; Protein</t>
  </si>
  <si>
    <r>
      <t>g/m</t>
    </r>
    <r>
      <rPr>
        <vertAlign val="superscript"/>
        <sz val="11"/>
        <color theme="1"/>
        <rFont val="Calibri"/>
        <family val="2"/>
        <scheme val="minor"/>
      </rPr>
      <t>2</t>
    </r>
    <r>
      <rPr>
        <sz val="11"/>
        <color theme="1"/>
        <rFont val="Calibri"/>
        <family val="2"/>
        <scheme val="minor"/>
      </rPr>
      <t>day</t>
    </r>
  </si>
  <si>
    <t>Bhowmik, S.; Agyei, D.; Ali, A.</t>
  </si>
  <si>
    <t>Biodegradable chitosan hydrogel film incorporated with polyvinyl alcohol, chitooligosaccharides, and gallic acid for potential application in food packaging</t>
  </si>
  <si>
    <t>10.1007/s10570-024-06080-8</t>
  </si>
  <si>
    <t>Hernández-Varela, J.D.; Chanona Pérez, J.J.; Foruzanmehr, R.; Medina, D.I.</t>
  </si>
  <si>
    <t>Assessing the reinforcement effect by response surface methodology of holocellulose from spent coffee grounds on biopolymeric films as food packaging materials</t>
  </si>
  <si>
    <t>Biopolymers</t>
  </si>
  <si>
    <t>10.1002/bip.23585</t>
  </si>
  <si>
    <t>Barmpaki, A.A.; Paul, U.C.; Nardi, M.; Athanassiou, A.</t>
  </si>
  <si>
    <t>Eco-friendly Blends of Polylactic Acid and Polyhydroxybutyrate Enhanced with Epoxidized Soybean Oil Methyl Ester for Food-Packaging Applications</t>
  </si>
  <si>
    <t>10.1021/acsapm.4c01341</t>
  </si>
  <si>
    <t>Samaniego-Aguilar, K.; Sánchez-Safont, E.; Pisa-Ripoll, I.; Torres-Giner, S.; Flores, Y.; Lagaron, J.M.; Cabedo, L.; Gamez-Perez, J.</t>
  </si>
  <si>
    <t>Performance Enhancement of Biopolyester Blends by Reactive Compatibilization with Maleic Anhydride-Grafted Poly(butylene succinate-co-adipate)</t>
  </si>
  <si>
    <t>10.3390/polym16162325</t>
  </si>
  <si>
    <t>PHBV</t>
  </si>
  <si>
    <r>
      <t>m</t>
    </r>
    <r>
      <rPr>
        <vertAlign val="superscript"/>
        <sz val="11"/>
        <color theme="1"/>
        <rFont val="Calibri"/>
        <family val="2"/>
        <scheme val="minor"/>
      </rPr>
      <t>3</t>
    </r>
    <r>
      <rPr>
        <sz val="11"/>
        <color theme="1"/>
        <rFont val="Calibri"/>
        <family val="2"/>
        <scheme val="minor"/>
      </rPr>
      <t>·m/Pa·s·m</t>
    </r>
    <r>
      <rPr>
        <vertAlign val="superscript"/>
        <sz val="11"/>
        <color theme="1"/>
        <rFont val="Calibri"/>
        <family val="2"/>
        <scheme val="minor"/>
      </rPr>
      <t>2</t>
    </r>
  </si>
  <si>
    <r>
      <t>kg·m/Pa·s·m</t>
    </r>
    <r>
      <rPr>
        <vertAlign val="superscript"/>
        <sz val="11"/>
        <color theme="1"/>
        <rFont val="Calibri"/>
        <family val="2"/>
        <scheme val="minor"/>
      </rPr>
      <t>2</t>
    </r>
  </si>
  <si>
    <t>3,27E-19; 4,26E-19</t>
  </si>
  <si>
    <r>
      <t>m</t>
    </r>
    <r>
      <rPr>
        <vertAlign val="superscript"/>
        <sz val="11"/>
        <color theme="1"/>
        <rFont val="Calibri"/>
        <family val="2"/>
        <scheme val="minor"/>
      </rPr>
      <t>3</t>
    </r>
    <r>
      <rPr>
        <sz val="11"/>
        <color theme="1"/>
        <rFont val="Calibri"/>
        <family val="2"/>
        <scheme val="minor"/>
      </rPr>
      <t>·m/m</t>
    </r>
    <r>
      <rPr>
        <vertAlign val="superscript"/>
        <sz val="11"/>
        <color theme="1"/>
        <rFont val="Calibri"/>
        <family val="2"/>
        <scheme val="minor"/>
      </rPr>
      <t>2</t>
    </r>
    <r>
      <rPr>
        <sz val="11"/>
        <color theme="1"/>
        <rFont val="Calibri"/>
        <family val="2"/>
        <scheme val="minor"/>
      </rPr>
      <t>·s·Pa</t>
    </r>
  </si>
  <si>
    <r>
      <t>kg·m/m</t>
    </r>
    <r>
      <rPr>
        <vertAlign val="superscript"/>
        <sz val="11"/>
        <color theme="1"/>
        <rFont val="Calibri"/>
        <family val="2"/>
        <scheme val="minor"/>
      </rPr>
      <t>2</t>
    </r>
    <r>
      <rPr>
        <sz val="11"/>
        <color theme="1"/>
        <rFont val="Calibri"/>
        <family val="2"/>
        <scheme val="minor"/>
      </rPr>
      <t>·Pa·s</t>
    </r>
  </si>
  <si>
    <t>PHBV showed the best barrier (lowest WVP and OP), PBSA the worst; PHBV/PBSA blends had intermediate permeability that increased with PBSA content, while compatibilization with PBSA-g-MAH reduced water vapor, aroma, and oxygen permeability (best performance at 85:15 blend).</t>
  </si>
  <si>
    <t>PBSA</t>
  </si>
  <si>
    <t>Guidotti, G.; Palumbo, A.; Soccio, M.; Gazzano, M.; Salatelli, E.; Siracusa, V.; Lotti, N.</t>
  </si>
  <si>
    <t>Fully Bio-Based Blends of Poly (Pentamethylene Furanoate) and Poly (Hexamethylene Furanoate) for Sustainable and Flexible Packaging</t>
  </si>
  <si>
    <t>10.3390/polym16162342</t>
  </si>
  <si>
    <t>PHF</t>
  </si>
  <si>
    <t>Compression moulding</t>
  </si>
  <si>
    <r>
      <rPr>
        <sz val="11"/>
        <color rgb="FF000000"/>
        <rFont val="Calibri"/>
        <family val="2"/>
      </rPr>
      <t>cm</t>
    </r>
    <r>
      <rPr>
        <vertAlign val="superscript"/>
        <sz val="11"/>
        <color rgb="FF000000"/>
        <rFont val="Calibri"/>
        <family val="2"/>
      </rPr>
      <t>3</t>
    </r>
    <r>
      <rPr>
        <sz val="11"/>
        <color rgb="FF000000"/>
        <rFont val="Calibri"/>
        <family val="2"/>
      </rPr>
      <t xml:space="preserve"> cm m</t>
    </r>
    <r>
      <rPr>
        <vertAlign val="superscript"/>
        <sz val="11"/>
        <color rgb="FF000000"/>
        <rFont val="Calibri"/>
        <family val="2"/>
      </rPr>
      <t>−2</t>
    </r>
    <r>
      <rPr>
        <sz val="11"/>
        <color rgb="FF000000"/>
        <rFont val="Calibri"/>
        <family val="2"/>
      </rPr>
      <t xml:space="preserve"> d</t>
    </r>
    <r>
      <rPr>
        <vertAlign val="superscript"/>
        <sz val="11"/>
        <color rgb="FF000000"/>
        <rFont val="Calibri"/>
        <family val="2"/>
      </rPr>
      <t>−1</t>
    </r>
    <r>
      <rPr>
        <sz val="11"/>
        <color rgb="FF000000"/>
        <rFont val="Calibri"/>
        <family val="2"/>
      </rPr>
      <t xml:space="preserve"> atm</t>
    </r>
    <r>
      <rPr>
        <vertAlign val="superscript"/>
        <sz val="11"/>
        <color rgb="FF000000"/>
        <rFont val="Calibri"/>
        <family val="2"/>
      </rPr>
      <t>−1</t>
    </r>
  </si>
  <si>
    <t>PP; HDPE; LDPE; PET</t>
  </si>
  <si>
    <t>8,94; 8,50; 20,75; 0,34</t>
  </si>
  <si>
    <t>34,40; 53,91; 79,88; 1,32</t>
  </si>
  <si>
    <t>PPeF showed the lowest O₂ and CO₂ GTR (best gas barrier), PHF the highest (worst), while PHF/PPeF blends had GTR similar to PHF; all materials exhibited gas barrier comparable to or better than PET and polyolefins.</t>
  </si>
  <si>
    <t>PPeF</t>
  </si>
  <si>
    <t>Mwita, C.S.; Muhammad, R.; Nettey-Oppong, E.E.; Enkhbayar, D.; Ali, A.; Ahn, J.; Kim, S.-W.; Seok, Y.-S.; Choi, S.H.</t>
  </si>
  <si>
    <t>Chitosan Extracted from the Biomass of Tenebrio molitor Larvae as a Sustainable Packaging Film</t>
  </si>
  <si>
    <t>Materials</t>
  </si>
  <si>
    <t>10.3390/ma17153670</t>
  </si>
  <si>
    <t>Citric acid crosslinked mealworm chitosan</t>
  </si>
  <si>
    <t>g / s * m^2</t>
  </si>
  <si>
    <t>g/S·m·Pa</t>
  </si>
  <si>
    <t>CAMC films reduced WVP (−28.7%) and WVTR (−10.2%) compared to MC, indicating improved moisture barrier and higher surface hydrophobicity.</t>
  </si>
  <si>
    <t>Ghosh, R.; Zhao, X.; Vodovotz, Y.</t>
  </si>
  <si>
    <t>Addition of Coffee Waste-Derived Plasticizer Improves Processability and Barrier Properties of Poly(3-hydroxybutyrate-co-3-hydroxyvalerate)-Natural Rubber Bioplastic</t>
  </si>
  <si>
    <t>10.3390/polym16152164</t>
  </si>
  <si>
    <t>Wahlström, N.; Hedenqvist, M.; Vilaplana, F.</t>
  </si>
  <si>
    <t>Citric acid tailors the mechanical and barrier properties of arabinoxylan-gluten crosslinked glycoprotein films</t>
  </si>
  <si>
    <t>Food Hydrocolloids</t>
  </si>
  <si>
    <t>10.1016/j.foodhyd.2024.110012</t>
  </si>
  <si>
    <t>Alves, L.T.D.O.; Fronza, P.; Gonçalves, I.; da Silva, W.A.; Oliveira, L.S.; Franca, A.S.</t>
  </si>
  <si>
    <t>Development of Polymeric Films Based on Sunflower Seed Proteins and Locust Bean Gum</t>
  </si>
  <si>
    <t>10.3390/polym16131905</t>
  </si>
  <si>
    <t>Benítez, J.J.; Florido-Moreno, P.; Porras-Vázquez, J.M.; Tedeschi, G.; Athanassiou, A.; Heredia-Guerrero, J.A.; Guzman-Puyol, S.</t>
  </si>
  <si>
    <t>Transparent, plasticized cellulose-glycerol bioplastics for food packaging applications</t>
  </si>
  <si>
    <t>10.1016/j.ijbiomac.2024.132956</t>
  </si>
  <si>
    <t>ASTM F3136</t>
  </si>
  <si>
    <t>RT</t>
  </si>
  <si>
    <t>WVTR: 3; OTR: 10</t>
  </si>
  <si>
    <t>WVTR estimated with automeris.io</t>
  </si>
  <si>
    <t>Glycerol (10 w/w%)</t>
  </si>
  <si>
    <t>Glycerol (20 w/w%)</t>
  </si>
  <si>
    <t>Glycerol (40 w/w%)</t>
  </si>
  <si>
    <t>Glycerol (50 w/w%)</t>
  </si>
  <si>
    <t>Merino, D.; Paul, U.C.; Athanassiou, A.</t>
  </si>
  <si>
    <t>Blending of polysaccharide-based carrot pomace with vegetable proteins for biocomposites with optimized performance for food packaging applications</t>
  </si>
  <si>
    <t>10.1016/j.foodhyd.2024.109903</t>
  </si>
  <si>
    <t>Aragón-Gutierrez, A.; Muñoz-Gimena, P.F.; Gallur, M.; Gavara, R.; López, D.; Hernańdez-Muñoz, P.</t>
  </si>
  <si>
    <t>Melt-Extruded Home Compostable Films Based On Blends Of Thermoplastic Gliadins And Poly(ε-Caprolactone) Intended For Food Packaging Applications</t>
  </si>
  <si>
    <t>Journal of Polymers and the Environment</t>
  </si>
  <si>
    <t>10.1007/s10924-023-03163-8</t>
  </si>
  <si>
    <t>PCL</t>
  </si>
  <si>
    <r>
      <t>(m</t>
    </r>
    <r>
      <rPr>
        <vertAlign val="superscript"/>
        <sz val="11"/>
        <color theme="1"/>
        <rFont val="Calibri"/>
        <family val="2"/>
        <scheme val="minor"/>
      </rPr>
      <t>3</t>
    </r>
    <r>
      <rPr>
        <sz val="11"/>
        <color theme="1"/>
        <rFont val="Calibri"/>
        <family val="2"/>
        <scheme val="minor"/>
      </rPr>
      <t xml:space="preserve"> m)/ (m</t>
    </r>
    <r>
      <rPr>
        <vertAlign val="superscript"/>
        <sz val="11"/>
        <color theme="1"/>
        <rFont val="Calibri"/>
        <family val="2"/>
        <scheme val="minor"/>
      </rPr>
      <t>2</t>
    </r>
    <r>
      <rPr>
        <sz val="11"/>
        <color theme="1"/>
        <rFont val="Calibri"/>
        <family val="2"/>
        <scheme val="minor"/>
      </rPr>
      <t xml:space="preserve"> s Pa)</t>
    </r>
  </si>
  <si>
    <r>
      <t>g mm)/(m</t>
    </r>
    <r>
      <rPr>
        <vertAlign val="superscript"/>
        <sz val="11"/>
        <color theme="1"/>
        <rFont val="Calibri"/>
        <family val="2"/>
        <scheme val="minor"/>
      </rPr>
      <t>2</t>
    </r>
    <r>
      <rPr>
        <sz val="11"/>
        <color theme="1"/>
        <rFont val="Calibri"/>
        <family val="2"/>
        <scheme val="minor"/>
      </rPr>
      <t xml:space="preserve"> day mmHg</t>
    </r>
  </si>
  <si>
    <t>pilot</t>
  </si>
  <si>
    <t>PO2 estimated with automeris.io</t>
  </si>
  <si>
    <t>ASTM F1927</t>
  </si>
  <si>
    <t>PCL-TPG30</t>
  </si>
  <si>
    <t>Gliadins (30 w/w%)</t>
  </si>
  <si>
    <t>PCL-TPG50</t>
  </si>
  <si>
    <t>Gliadins (50 w/w%)</t>
  </si>
  <si>
    <t>Sutay, D.; Yaĝci, S.; Yurtdaş, E.; Toptaş, M.</t>
  </si>
  <si>
    <t>Multiproduct biorefinery from defatted olive mill waste: preparation of hemicellulose-based biodegradable films and instant controlled pressure drop (DIC)-assisted isolation of value-added products</t>
  </si>
  <si>
    <t>Biomass Conversion and Biorefinery</t>
  </si>
  <si>
    <t>10.1007/s13399-023-03739-3</t>
  </si>
  <si>
    <t>Hemicellulose</t>
  </si>
  <si>
    <r>
      <t>g mm m</t>
    </r>
    <r>
      <rPr>
        <vertAlign val="superscript"/>
        <sz val="11"/>
        <color theme="1"/>
        <rFont val="Calibri"/>
        <family val="2"/>
        <scheme val="minor"/>
      </rPr>
      <t>−2</t>
    </r>
    <r>
      <rPr>
        <sz val="11"/>
        <color theme="1"/>
        <rFont val="Calibri"/>
        <family val="2"/>
        <scheme val="minor"/>
      </rPr>
      <t> h</t>
    </r>
    <r>
      <rPr>
        <vertAlign val="superscript"/>
        <sz val="11"/>
        <color theme="1"/>
        <rFont val="Calibri"/>
        <family val="2"/>
        <scheme val="minor"/>
      </rPr>
      <t>−1</t>
    </r>
    <r>
      <rPr>
        <sz val="11"/>
        <color theme="1"/>
        <rFont val="Calibri"/>
        <family val="2"/>
        <scheme val="minor"/>
      </rPr>
      <t> kPa</t>
    </r>
    <r>
      <rPr>
        <vertAlign val="superscript"/>
        <sz val="11"/>
        <color theme="1"/>
        <rFont val="Calibri"/>
        <family val="2"/>
        <scheme val="minor"/>
      </rPr>
      <t>−1</t>
    </r>
  </si>
  <si>
    <r>
      <t>mm m</t>
    </r>
    <r>
      <rPr>
        <vertAlign val="superscript"/>
        <sz val="11"/>
        <color theme="1"/>
        <rFont val="Calibri"/>
        <family val="2"/>
        <scheme val="minor"/>
      </rPr>
      <t>−2</t>
    </r>
    <r>
      <rPr>
        <sz val="11"/>
        <color theme="1"/>
        <rFont val="Calibri"/>
        <family val="2"/>
        <scheme val="minor"/>
      </rPr>
      <t> h</t>
    </r>
    <r>
      <rPr>
        <vertAlign val="superscript"/>
        <sz val="11"/>
        <color theme="1"/>
        <rFont val="Calibri"/>
        <family val="2"/>
        <scheme val="minor"/>
      </rPr>
      <t>−1</t>
    </r>
    <r>
      <rPr>
        <sz val="11"/>
        <color theme="1"/>
        <rFont val="Calibri"/>
        <family val="2"/>
        <scheme val="minor"/>
      </rPr>
      <t> kPa</t>
    </r>
    <r>
      <rPr>
        <vertAlign val="superscript"/>
        <sz val="11"/>
        <color theme="1"/>
        <rFont val="Calibri"/>
        <family val="2"/>
        <scheme val="minor"/>
      </rPr>
      <t>−1</t>
    </r>
  </si>
  <si>
    <t>lab</t>
  </si>
  <si>
    <t>Glycerol (HC-Gly) reduced FWS but increased WVP the most (+62.5%), Sorbitol and Xylitol slightly increased WVP (+16–17%); HC-Xyl showed the highest tensile strength, correlating with its lower WVP</t>
  </si>
  <si>
    <t>Xylitol</t>
  </si>
  <si>
    <t>Petaloti, A.-I.; Achilias, D.S.</t>
  </si>
  <si>
    <t>The Development of Sustainable Biocomposite Materials Based on Poly(lactic acid) and Silverskin, a Coffee Industry By-Product, for Food Packaging Applications</t>
  </si>
  <si>
    <t>10.3390/su16125075</t>
  </si>
  <si>
    <r>
      <t>cm</t>
    </r>
    <r>
      <rPr>
        <vertAlign val="superscript"/>
        <sz val="11"/>
        <color theme="1"/>
        <rFont val="Calibri"/>
        <family val="2"/>
        <scheme val="minor"/>
      </rPr>
      <t>3</t>
    </r>
    <r>
      <rPr>
        <sz val="11"/>
        <color theme="1"/>
        <rFont val="Calibri"/>
        <family val="2"/>
        <scheme val="minor"/>
      </rPr>
      <t>/(m</t>
    </r>
    <r>
      <rPr>
        <vertAlign val="superscript"/>
        <sz val="11"/>
        <color theme="1"/>
        <rFont val="Calibri"/>
        <family val="2"/>
        <scheme val="minor"/>
      </rPr>
      <t>2</t>
    </r>
    <r>
      <rPr>
        <sz val="11"/>
        <color theme="1"/>
        <rFont val="Calibri"/>
        <family val="2"/>
        <scheme val="minor"/>
      </rPr>
      <t>∙d∙0.1 Mpa)</t>
    </r>
  </si>
  <si>
    <r>
      <t>g/m</t>
    </r>
    <r>
      <rPr>
        <vertAlign val="superscript"/>
        <sz val="11"/>
        <color theme="1"/>
        <rFont val="Calibri"/>
        <family val="2"/>
        <scheme val="minor"/>
      </rPr>
      <t>2</t>
    </r>
    <r>
      <rPr>
        <sz val="11"/>
        <color theme="1"/>
        <rFont val="Calibri"/>
        <family val="2"/>
        <scheme val="minor"/>
      </rPr>
      <t>∙d</t>
    </r>
  </si>
  <si>
    <r>
      <t>10</t>
    </r>
    <r>
      <rPr>
        <vertAlign val="superscript"/>
        <sz val="11"/>
        <color theme="1"/>
        <rFont val="Calibri"/>
        <family val="2"/>
        <scheme val="minor"/>
      </rPr>
      <t>−7</t>
    </r>
    <r>
      <rPr>
        <sz val="11"/>
        <color theme="1"/>
        <rFont val="Calibri"/>
        <family val="2"/>
        <scheme val="minor"/>
      </rPr>
      <t>∙g/(m∙d∙Pa</t>
    </r>
  </si>
  <si>
    <t>Incorporation of untreated particles reduced WVTR by up to 15.4%, while modified particles increased WVTR at higher concentrations; oxygen permeability was largely unaffected by any filler.</t>
  </si>
  <si>
    <t>Alahmed, A.; Şimşek, S.</t>
  </si>
  <si>
    <t>Improving Biodegradable Films from Corn Bran Arabinoxylan for Hydrophobic Material and Green Food Packaging</t>
  </si>
  <si>
    <t>10.3390/foods13121914</t>
  </si>
  <si>
    <t>Arabinoxylan (from dry milled corn bran)</t>
  </si>
  <si>
    <r>
      <t>g h</t>
    </r>
    <r>
      <rPr>
        <vertAlign val="superscript"/>
        <sz val="11"/>
        <color theme="1"/>
        <rFont val="Calibri"/>
        <family val="2"/>
        <scheme val="minor"/>
      </rPr>
      <t>−1</t>
    </r>
    <r>
      <rPr>
        <sz val="11"/>
        <color theme="1"/>
        <rFont val="Calibri"/>
        <family val="2"/>
        <scheme val="minor"/>
      </rPr>
      <t xml:space="preserve"> m</t>
    </r>
    <r>
      <rPr>
        <vertAlign val="superscript"/>
        <sz val="11"/>
        <color theme="1"/>
        <rFont val="Calibri"/>
        <family val="2"/>
        <scheme val="minor"/>
      </rPr>
      <t>−2</t>
    </r>
  </si>
  <si>
    <t>50-60</t>
  </si>
  <si>
    <r>
      <t>g/s m</t>
    </r>
    <r>
      <rPr>
        <vertAlign val="superscript"/>
        <sz val="11"/>
        <color theme="1"/>
        <rFont val="Calibri"/>
        <family val="2"/>
        <scheme val="minor"/>
      </rPr>
      <t>2</t>
    </r>
    <r>
      <rPr>
        <sz val="11"/>
        <color theme="1"/>
        <rFont val="Calibri"/>
        <family val="2"/>
        <scheme val="minor"/>
      </rPr>
      <t xml:space="preserve"> Pa</t>
    </r>
  </si>
  <si>
    <t>Arabinoxylan (from wet milled corn bran)</t>
  </si>
  <si>
    <t>Arabinoxylan (from dried distiller's grains with solubles)</t>
  </si>
  <si>
    <t>Cheng, H.N.; Biswas, A.; Kuzniar, G.; Kim, S.; Liu, Z.; He, Z.</t>
  </si>
  <si>
    <t>Blends of Carboxymethyl Cellulose and Cottonseed Protein as Biodegradable Films</t>
  </si>
  <si>
    <t>10.3390/polym16111554</t>
  </si>
  <si>
    <t>Ranote, S.; Kowalczuk, M.; Guzenko, N.; Duale, K.; Chaber, P.; Musioł, M.; Jankowski, A.; Marcinkowski, A.; Kurcok, P.; Chauhan, G.S.; Chauhan, S.; Kumar, K.</t>
  </si>
  <si>
    <t>Towards scalable and degradable bioplastic films from Moringa oleifera gum/poly(vinyl alcohol) as packaging material</t>
  </si>
  <si>
    <t>10.1016/j.ijbiomac.2024.132219</t>
  </si>
  <si>
    <t>Shahir, F.A.; Ahmadi, Z.; Darvishi, S.M.R.</t>
  </si>
  <si>
    <t>Sustainable packaging: A comparative study on thermoplastic whey protein films with biodegradable plasticizers</t>
  </si>
  <si>
    <t>Express Polymer Letters</t>
  </si>
  <si>
    <t>10.3144/expresspolymlett.2024.44</t>
  </si>
  <si>
    <t>Dilkushi, H.A.S.; Jayarathna, S.; Manipura, A.; Chamara, H.K.B.S.; Edirisinghe, D.; Vidanarachchi, J.K.; Priyashantha, H.</t>
  </si>
  <si>
    <t>Development and characterization of biocomposite films using banana pseudostem, cassava starch and poly(vinyl alcohol): A sustainable packaging alternative</t>
  </si>
  <si>
    <t>10.1016/j.carpta.2024.100472</t>
  </si>
  <si>
    <t>Rahmadiawan, D.; Abral, H.; Chayri Iby, I.; Kim, H.-J.; Ryu, K.-H.; Kwack, H.-W.; Railis, M.; Sugiarti, E.; Novi Muslimin, A.; Handayani, D.; Dwinatrana, K.; Shi, S.-C.; Zainul, R.; Nabawi, R.</t>
  </si>
  <si>
    <t>Effect of post-heat treatment on the UV transmittance, hydrophobicity, and tensile properties of PVA/Uncaria gambir extract blend films</t>
  </si>
  <si>
    <t>10.1016/j.heliyon.2024.e30748</t>
  </si>
  <si>
    <t>Shorey, R.; Mekonnen, T.H.</t>
  </si>
  <si>
    <t>Oleic acid decorated kraft lignin as a hydrophobic and functional filler of cellulose acetate films</t>
  </si>
  <si>
    <t>10.1016/j.ijbiomac.2024.131672</t>
  </si>
  <si>
    <t>Jamali, A.R.; Shaikh, A.A.; Dad Chandio, A.</t>
  </si>
  <si>
    <t>Preparation and characterisation of polyvinyl alcohol/glycerol blend thin films for sustainable flexibility</t>
  </si>
  <si>
    <t>Materials Research Express</t>
  </si>
  <si>
    <t>10.1088/2053-1591/ad4100</t>
  </si>
  <si>
    <t>Jahangiri, F.; Mohanty, A.K.; Pal, A.K.; Shankar, S.; Rodriguez-Uribe, A.; Clemmer, R.; Gregori, S.; Misra, M.</t>
  </si>
  <si>
    <t>PHBV coating on biodegradable plastic sheet: Effect of coating on morphological, mechanical and barrier properties</t>
  </si>
  <si>
    <t>Progress in Organic Coatings</t>
  </si>
  <si>
    <t>10.1016/j.porgcoat.2024.108270</t>
  </si>
  <si>
    <t>PBAT</t>
  </si>
  <si>
    <r>
      <t>g.mil/m</t>
    </r>
    <r>
      <rPr>
        <vertAlign val="superscript"/>
        <sz val="11"/>
        <color theme="1"/>
        <rFont val="Calibri"/>
        <family val="2"/>
        <scheme val="minor"/>
      </rPr>
      <t>2</t>
    </r>
    <r>
      <rPr>
        <sz val="11"/>
        <color theme="1"/>
        <rFont val="Calibri"/>
        <family val="2"/>
        <scheme val="minor"/>
      </rPr>
      <t>day kPa</t>
    </r>
  </si>
  <si>
    <t>Laksanawati, T.A.; Khirzin, M.H.; Amaniyah, M.; Meidayanti, K.; Deva, B.D.</t>
  </si>
  <si>
    <t>Physicochemical Properties and Biodegradability of Biofilm Based on Taro Starch and Duck Bone Gelatin</t>
  </si>
  <si>
    <t>Molekul</t>
  </si>
  <si>
    <t>10.20884/1.jm.2024.19.1.7628</t>
  </si>
  <si>
    <t>cm3/m2.dkPa</t>
  </si>
  <si>
    <t>Zolfaghari, S.; Soltaninejad, A.; Valentine Okoro, O.V.; Shavandi, A.; Denayer, J.F.M.; Sadeghi, M.; Karimi, K.</t>
  </si>
  <si>
    <t>Starch biocomposites preparation by incorporating organosolv lignins from potato crop residues</t>
  </si>
  <si>
    <t>10.1016/j.ijbiomac.2023.129140</t>
  </si>
  <si>
    <t>Kim, M.; Kang, J.-H.</t>
  </si>
  <si>
    <t>Effects of benzalkonium chloride as a cationic surfactant on the physicochemical properties of adlay millet starch films</t>
  </si>
  <si>
    <t>Food Science and Biotechnology</t>
  </si>
  <si>
    <t>10.1007/s10068-023-01383-1</t>
  </si>
  <si>
    <r>
      <t>g m</t>
    </r>
    <r>
      <rPr>
        <vertAlign val="superscript"/>
        <sz val="11"/>
        <color theme="1"/>
        <rFont val="Calibri"/>
        <family val="2"/>
        <scheme val="minor"/>
      </rPr>
      <t>−1</t>
    </r>
    <r>
      <rPr>
        <sz val="11"/>
        <color theme="1"/>
        <rFont val="Calibri"/>
        <family val="2"/>
        <scheme val="minor"/>
      </rPr>
      <t> s</t>
    </r>
    <r>
      <rPr>
        <vertAlign val="superscript"/>
        <sz val="11"/>
        <color theme="1"/>
        <rFont val="Calibri"/>
        <family val="2"/>
        <scheme val="minor"/>
      </rPr>
      <t>−1</t>
    </r>
    <r>
      <rPr>
        <sz val="11"/>
        <color theme="1"/>
        <rFont val="Calibri"/>
        <family val="2"/>
        <scheme val="minor"/>
      </rPr>
      <t> Pa</t>
    </r>
    <r>
      <rPr>
        <vertAlign val="superscript"/>
        <sz val="11"/>
        <color theme="1"/>
        <rFont val="Calibri"/>
        <family val="2"/>
        <scheme val="minor"/>
      </rPr>
      <t>−1</t>
    </r>
  </si>
  <si>
    <t>Increasing BC concentration (0–0.75%) in AS films slightly reduced MC, WS, and WVP, improving water resistance due to enhanced hydrophobic interactions and hydrogen bonding with starch.</t>
  </si>
  <si>
    <t>Sorbitol; Benzalkonium chloride</t>
  </si>
  <si>
    <t>40; 0.23%</t>
  </si>
  <si>
    <t>40; 0.5%</t>
  </si>
  <si>
    <t>40; 0.75%</t>
  </si>
  <si>
    <t>Material group</t>
  </si>
  <si>
    <t>1. Are the aim and research questions clear?</t>
  </si>
  <si>
    <t>Comment_1</t>
  </si>
  <si>
    <t>2. Are the materials and film preparation sufficiently described?</t>
  </si>
  <si>
    <t>Comment_2</t>
  </si>
  <si>
    <t>3. Are barrier measurements conducted using validated and standardized methods?</t>
  </si>
  <si>
    <t>Comment_3</t>
  </si>
  <si>
    <t>4. Are appropriate controls or reference materials included?</t>
  </si>
  <si>
    <t>Comment_4</t>
  </si>
  <si>
    <t>5. Are barrier properties validated through replicates?</t>
  </si>
  <si>
    <t>Comment_5</t>
  </si>
  <si>
    <t>6. Are data reported fully and transparently in a suitable form?</t>
  </si>
  <si>
    <t>Comment_6</t>
  </si>
  <si>
    <t>7. Are explanations and conclusions appropriate and supported by the data and contextualized appropriately?</t>
  </si>
  <si>
    <t>Comment_7</t>
  </si>
  <si>
    <t>QS</t>
  </si>
  <si>
    <t>Included_after_QA</t>
  </si>
  <si>
    <t>Considering previous studies, the present work investigates how pH influences the physicochemical characteristics of legume protein-based films. Specifically, the effect of three pH levels (7.0, 8.5, and 10.0) was evaluated in films prepared from broad beans, Peruvian beans, and lentils. By isolating pH as the primary variable, this study enables a controlled assessment of its impact on key functional and structural properties, including thickness, mechanical behavior, solubility, barrier capacity, and thermal stability. The outcomes aim to advance understanding of pH-driven modifications in legume protein matrices and support the development of more effective and sustainable biobased films for food packaging applications.</t>
  </si>
  <si>
    <t>All comparisons are internal. pH=7 is the baseline comparison.</t>
  </si>
  <si>
    <t>&gt;3 for barrier properties, and 10 different locations per film for thickness</t>
  </si>
  <si>
    <t>Vlues are shown in bar chart without complete values</t>
  </si>
  <si>
    <t>Conclusions supported, limitations acknowledged, and comparability discussed</t>
  </si>
  <si>
    <t>yes</t>
  </si>
  <si>
    <t>In this study, the preliminary focus is on fabricating improved packaging to meet fundamental requirements of packaging through investigating the biocomposites for mechanical, barrier and thermal properties.</t>
  </si>
  <si>
    <t>PLA without bambara groundnuts as control</t>
  </si>
  <si>
    <t>&gt;3 replicates for barrier properties, thickness not specified</t>
  </si>
  <si>
    <t>In text, including standard deviations</t>
  </si>
  <si>
    <t xml:space="preserve">Conclusions supported by literature, comparability discussed. </t>
  </si>
  <si>
    <t>The main objective of this work is to modify citrus pectin with stearic acid using commercially available lipase in a biphasic reaction medium. Moreover, this study aims to develop MCP-based packaging films.</t>
  </si>
  <si>
    <t>How thickness is measured is missing.</t>
  </si>
  <si>
    <t>Unmodified pectin films as control.</t>
  </si>
  <si>
    <t>Table including standard deviations</t>
  </si>
  <si>
    <t>Conclusions supported but limitations or comparability not discussed</t>
  </si>
  <si>
    <t>Aim and research questions are not explicitly mentioned.</t>
  </si>
  <si>
    <t>Overall parameters are well described, but how thickness is measured is missing.</t>
  </si>
  <si>
    <t>Neat PLLA is the control</t>
  </si>
  <si>
    <t xml:space="preserve">Limited support by literature, also comparability not discussed. </t>
  </si>
  <si>
    <t>OPP and neat PBS are used as control</t>
  </si>
  <si>
    <t>Replicates for Physicochemical tests and thickness are &gt;3 and clearly stated</t>
  </si>
  <si>
    <t>Limited discussion.</t>
  </si>
  <si>
    <t>The main goal of this research is to study the possibility to reintroduce PLA from the industrial trimming process (discarded defective PLA parts and/or plastics edges, burrs and scraps produced during manufacturing) into the food packaging sector.</t>
  </si>
  <si>
    <t>Neat PLA as control</t>
  </si>
  <si>
    <t>(1) to synthesize environmentally friendly and stable CMC–CA–CS composite hydrogel films using varying weight percentages of citric acid; (2) determine the influence of citric acid on the crosslinking density; (3) investigate the effect of crosslinking density on water stability and hydrophobicity using WVP, contact angle, solubility, and swelling analyses, as well as mechanical properties evaluation; and (4) select an optimized formulation and perform additional characterization (XRD, DSC, TGA) to comprehensively evaluate the properties of the resulting hydrogel film.</t>
  </si>
  <si>
    <t>Neat Chitosan, neat cellulose and commercial PP for food storage tests</t>
  </si>
  <si>
    <t>Barrier properties are measured 5 times, thickness is measured 5 times per film at different spots</t>
  </si>
  <si>
    <t>Graph with values, but SD not readable</t>
  </si>
  <si>
    <t>Conclusions supported by literature, comparability not discussed</t>
  </si>
  <si>
    <r>
      <t xml:space="preserve"> In view of this, this study aimed to assess the effect of glycerol, sorbitol and fructose at different concentrations on pullulan films’ physico-mechanical characteristics. This study aimed to evaluate the effect of plasticizer type (glycerol, sorbitol and fructose) and concentration (5, 7.5 and 10 % w/w) on pullulan films’ thickness, moisture content (MC), tensile strength (TS), elongation at break (EAB), folding endurance (FE), water vapor permeability (WVP), oxygen permeability (O</t>
    </r>
    <r>
      <rPr>
        <vertAlign val="subscript"/>
        <sz val="11"/>
        <color theme="1"/>
        <rFont val="Calibri"/>
        <family val="2"/>
        <scheme val="minor"/>
      </rPr>
      <t>2</t>
    </r>
    <r>
      <rPr>
        <sz val="11"/>
        <color theme="1"/>
        <rFont val="Calibri"/>
        <family val="2"/>
        <scheme val="minor"/>
      </rPr>
      <t>P), oil resistance (OiR), ultra violet and visible light transmittance (Tr</t>
    </r>
    <r>
      <rPr>
        <vertAlign val="subscript"/>
        <sz val="11"/>
        <color theme="1"/>
        <rFont val="Calibri"/>
        <family val="2"/>
        <scheme val="minor"/>
      </rPr>
      <t>280</t>
    </r>
    <r>
      <rPr>
        <sz val="11"/>
        <color theme="1"/>
        <rFont val="Calibri"/>
        <family val="2"/>
        <scheme val="minor"/>
      </rPr>
      <t xml:space="preserve"> and Tr</t>
    </r>
    <r>
      <rPr>
        <vertAlign val="subscript"/>
        <sz val="11"/>
        <color theme="1"/>
        <rFont val="Calibri"/>
        <family val="2"/>
        <scheme val="minor"/>
      </rPr>
      <t>660</t>
    </r>
    <r>
      <rPr>
        <sz val="11"/>
        <color theme="1"/>
        <rFont val="Calibri"/>
        <family val="2"/>
        <scheme val="minor"/>
      </rPr>
      <t>), disintegration time (DT), weight loss (WL), microstructure and thermal properties</t>
    </r>
  </si>
  <si>
    <t>No ASTM or ISO mentioned</t>
  </si>
  <si>
    <t>Unplastisized pullulan films</t>
  </si>
  <si>
    <t>&gt;3 for barrier properties, and 3 different locations per film for thickness</t>
  </si>
  <si>
    <t>The aim of this study was to produce PVA and PLA composite films with defatted almond skin (AS) powder to lower the cost of food packaging materials while providing the films with antioxidant capacity. The biocomposite films were obtained by melt blending and compression moulding with different ratios of AS (0, 5%, 10%, and 15%) and characterised as to their functional (mechanical, barrier, and optical) properties as packaging materials as well as to their microstructure and thermal behaviour. Likewise, their antioxidant capacity and their ability to prevent the oxidation of sunflower oil (as an unsaturated fat model) were analysed.</t>
  </si>
  <si>
    <t>PLA and PVA as control</t>
  </si>
  <si>
    <t>Τhe objective of the present study is to evaluate the potential of fish and pulse tissues to . be used as alternative raw materials for food packaging.This study investigates the isolation process of biopolymers from legumes (lentil) products and fish (gilthead seabream) waste, with the aim of producing composite films.</t>
  </si>
  <si>
    <t>Neat pectin and gelatin as control</t>
  </si>
  <si>
    <t>Therefore, the main objective is to study the effect of the addition of lignin from banana (Musa Aab S. var Dominico-Harton) on the physicochemical properties of biodegradable MHEC films</t>
  </si>
  <si>
    <t>Methyl Hydroxyethyl Cellulose with glycerol as control</t>
  </si>
  <si>
    <t>Conclusions supported,  but limitations or comparability not discussed</t>
  </si>
  <si>
    <t>The aim of this study was to create a novel biopolymer blend with enhanced properties for potential use in food packaging.</t>
  </si>
  <si>
    <t>Overall parameters are well described, except for some instruments and how thickness is measured is missing.</t>
  </si>
  <si>
    <t>100% arrowroot starch (ST/MU—100/0) and 100% mucilage (ST/MU—0/100) serve as neat controls</t>
  </si>
  <si>
    <t>In this research, we explored the combination of the favourable thermo-mechanical properties of PBS with the excellent barrier properties and elastic behavior of PPeF, both polymers being fully biobased, to create a single-layer material suitable for use in flexible food packaging</t>
  </si>
  <si>
    <t>Well described, thickness is not measured, because of compression moulding</t>
  </si>
  <si>
    <t>Neat PBS and PPeF as controls</t>
  </si>
  <si>
    <t>&gt;3 replicates for barrier properties, thickness not measured because of compression moulding</t>
  </si>
  <si>
    <t>Table including standard deviations, but not for thickness</t>
  </si>
  <si>
    <t>Whey protein</t>
  </si>
  <si>
    <t>Therefore, this study, for the first time, investigated the effect of the crosslinking mediated by mTG on WPs-based hydrocolloid materials prepared via the casting method under pH 12, since by treating the solutions under these conditions, more transparent, flexible, and homogeneous films could be obtained</t>
  </si>
  <si>
    <t>Non modified whey protein is used as control</t>
  </si>
  <si>
    <t>Limited explanations by literature, limited comparison to literature</t>
  </si>
  <si>
    <t>Aim vaguely mentioned in introduction, more specific in abstract. The aim of this work was to evaluate the functional properties of a family of poly(ester amide)s (PEAs) for flexible food packaging applications.</t>
  </si>
  <si>
    <t>Unmodified PDF als control</t>
  </si>
  <si>
    <t xml:space="preserve">Not specified for barrier properties and thickness not measured because of compression molding </t>
  </si>
  <si>
    <t>In this study, thermoplastic starch bioplastics were developed using starch isolated from huaya seeds and reinforced with bentonite clays extracted and purified from Tepakán, Calkiní, Campeche, Mexico. These bioplastics were characterized to evaluate their mechanical, thermal, and barrier properties, aiming to explore their potential application in food packaging.</t>
  </si>
  <si>
    <t>Starch without clay</t>
  </si>
  <si>
    <t>&gt;3 for barrier properties, and 5 different locations per film for thickness</t>
  </si>
  <si>
    <t>Therefore, the purpose of the present work was to use the dimethyl ester of 2,4-FDCA to synthesize, compression mold and characterize poly(propylene 2,4-furanoate) (2,4-PPF) from 1,3-propanediol, poly(pentamethylene 2,4-furanoate) (2,4-PPeF) from 1,5-pentanediol and poly(hexamethylene 2,4-furanoate) (2,4-PHF) from 1,6-hexanediol.</t>
  </si>
  <si>
    <t>Well described, but hard to read and thickness is not measured, because of compression moulding</t>
  </si>
  <si>
    <t>Comparator unclear</t>
  </si>
  <si>
    <t>Table, but without standard deviation</t>
  </si>
  <si>
    <t>The present study aimed at developing and testing bio-based films that can preserve the quality of food products, reduce their contamination during storage, and increase their marketability and attractiveness. --&gt; Not very clear or focused</t>
  </si>
  <si>
    <t>Aluminium is used as control, which is not a polymer</t>
  </si>
  <si>
    <t>Text and graph, but no standard deviation</t>
  </si>
  <si>
    <t>The objective of the study was to improve the mechanical properties, specifically toughness, and barrier properties against water, limonene vapors, and oxygen of PHBV/PBSA blends through reactive extrusion (REx) using PBSA grafted with maleic anhydride (PBSA-g-MAH)</t>
  </si>
  <si>
    <t>Well described,  thickness is not measured, because of extrusion</t>
  </si>
  <si>
    <t>Neat PHBV and PBSA</t>
  </si>
  <si>
    <t xml:space="preserve">the aim of the present study is the realization of bio-based polymeric blends, characterized by suitable mechanical and gas barrier properties for food packaging application. Not sharply formulated, broad. </t>
  </si>
  <si>
    <t>Neat PHF and PPeF</t>
  </si>
  <si>
    <t>Bar chart without values</t>
  </si>
  <si>
    <t>This study explores the influence of incorporating glycerol for plasticization and citric acid for cross-linking on the performance of chitosan-based films fabricated for use as food packaging material to enhance the shelf life of bananas. The specific aims of this study are to introduce new means of food packaging and to demonstrate that citric acid-incorporated chitosan films are a sustainable alternative for food packaging in terms of improved water resistance, enhanced barrier properties, and extended shelf life of bananas.</t>
  </si>
  <si>
    <t>Neat chitosan</t>
  </si>
  <si>
    <t>In this work, cellulose bioplastics prepared from TFA:TFAA solutions have been plasticized by the incorporation of glycerol in a broad range of concentrations. Not explixit, broad.</t>
  </si>
  <si>
    <t>Cellulose without glycerol</t>
  </si>
  <si>
    <t>Graph without values</t>
  </si>
  <si>
    <t>Therefore, the overall objective of this research was to prepare and ascertain the performance of compostable films based on PCL blended with 30 wt. % and 50 wt. % of thermoplastic gliadins</t>
  </si>
  <si>
    <t>Neat PCL</t>
  </si>
  <si>
    <t>Not specified for barrier properties and thickness not measured because of extrusion</t>
  </si>
  <si>
    <t>For oxygen graph without values. wvp table with standard deviation</t>
  </si>
  <si>
    <t>The main objective of this work was to valorize OMW as a biomass feedstock for the production of value-added bioproducts</t>
  </si>
  <si>
    <t>Neat hemicellulose without additive</t>
  </si>
  <si>
    <t>The aim of this study was to investigate how the inclusion of coffee silverskin (ss) as an additive/reinforcement affects the characteristics of PLA-based composite films.</t>
  </si>
  <si>
    <t>Neat PLA</t>
  </si>
  <si>
    <t>barrier properties not specified, 6 locations for thickness measurements</t>
  </si>
  <si>
    <t>Table without standard deviations</t>
  </si>
  <si>
    <t>Limited discussion and comparison to literature</t>
  </si>
  <si>
    <t>Arabinoxylan</t>
  </si>
  <si>
    <t>The aims of this study were to use AX extraction to produce biodegradable film materials, to establish how the AX films interact with water and soil (aerobic biodegradation), and to evaluate if these properties are associated with the AX characteristics.</t>
  </si>
  <si>
    <t>unmodified arabinoxylan</t>
  </si>
  <si>
    <t xml:space="preserve"> In this research, the effect of adding gelatin from duck bone waste to taro starch film on color, oxygen permeability, heavy metal content (Pb and Cd), and film biodegradability in compost and barren soils was studied</t>
  </si>
  <si>
    <t>neat starch</t>
  </si>
  <si>
    <t>not specified</t>
  </si>
  <si>
    <t>Therefore, the aims of the present study were to develop starch films using AS validated as a good source for film-forming material in a previous study (Kang and Song, 2019) with BC and to examine the effects of BC as a cationic surfactant on the changes in the physicochemical properties of AS-BC films.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</si>
</sst>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Calibri"/>
      <family val="2"/>
      <scheme val="minor"/>
    </font>
    <font>
      <b/>
      <sz val="11"/>
      <color rgb="FFFFFFFF"/>
      <name val="Calibri"/>
      <family val="2"/>
    </font>
    <font>
      <vertAlign val="superscript"/>
      <sz val="11"/>
      <color theme="1"/>
      <name val="Calibri"/>
      <family val="2"/>
      <scheme val="minor"/>
    </font>
    <font>
      <b/>
      <sz val="11"/>
      <color theme="1"/>
      <name val="Calibri"/>
      <family val="2"/>
      <scheme val="minor"/>
    </font>
    <font>
      <sz val="11"/>
      <color rgb="FF000000"/>
      <name val="Calibri"/>
      <family val="2"/>
    </font>
    <font>
      <b/>
      <vertAlign val="superscript"/>
      <sz val="11"/>
      <color theme="1"/>
      <name val="Calibri"/>
      <family val="2"/>
      <scheme val="minor"/>
    </font>
    <font>
      <sz val="6"/>
      <color theme="1"/>
      <name val="Arial"/>
      <family val="2"/>
    </font>
    <font>
      <sz val="9"/>
      <color theme="1"/>
      <name val="Arial"/>
      <family val="2"/>
    </font>
    <font>
      <vertAlign val="superscript"/>
      <sz val="11"/>
      <color rgb="FF000000"/>
      <name val="Calibri"/>
      <family val="2"/>
    </font>
    <font>
      <sz val="8"/>
      <name val="Calibri"/>
      <family val="2"/>
      <scheme val="minor"/>
    </font>
    <font>
      <vertAlign val="subscrip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1F4E79"/>
      </patternFill>
    </fill>
    <fill>
      <patternFill patternType="solid">
        <fgColor theme="6" tint="0.79998168889431442"/>
        <bgColor theme="6" tint="0.79998168889431442"/>
      </patternFill>
    </fill>
    <fill>
      <patternFill patternType="solid">
        <fgColor theme="6" tint="0.59999389629810485"/>
        <bgColor theme="6" tint="0.59999389629810485"/>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9" fontId="11" fillId="0" borderId="0" applyFont="0" applyFill="0" applyBorder="0" applyAlignment="0" applyProtection="0"/>
  </cellStyleXfs>
  <cellXfs count="24">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2" fontId="0" fillId="0" borderId="0" xfId="0" applyNumberFormat="1" applyAlignment="1">
      <alignment vertical="top" wrapText="1"/>
    </xf>
    <xf numFmtId="164" fontId="0" fillId="0" borderId="0" xfId="0" applyNumberFormat="1" applyAlignment="1">
      <alignment vertical="top" wrapText="1"/>
    </xf>
    <xf numFmtId="0" fontId="0" fillId="0" borderId="0" xfId="0" applyAlignment="1">
      <alignment wrapText="1"/>
    </xf>
    <xf numFmtId="1" fontId="0" fillId="0" borderId="0" xfId="0" applyNumberFormat="1" applyAlignment="1">
      <alignment vertical="top" wrapText="1"/>
    </xf>
    <xf numFmtId="0" fontId="3" fillId="0" borderId="0" xfId="0" applyFont="1"/>
    <xf numFmtId="0" fontId="4" fillId="0" borderId="0" xfId="0" applyFont="1" applyAlignment="1">
      <alignment vertical="top" wrapText="1"/>
    </xf>
    <xf numFmtId="0" fontId="7" fillId="0" borderId="0" xfId="0" applyFont="1"/>
    <xf numFmtId="0" fontId="0" fillId="0" borderId="0" xfId="0" applyAlignment="1">
      <alignment horizontal="left" vertical="top" wrapText="1"/>
    </xf>
    <xf numFmtId="11" fontId="0" fillId="0" borderId="0" xfId="0" applyNumberFormat="1" applyAlignment="1">
      <alignment vertical="top" wrapText="1"/>
    </xf>
    <xf numFmtId="1" fontId="0" fillId="3" borderId="2" xfId="0" applyNumberFormat="1" applyFill="1" applyBorder="1" applyAlignment="1">
      <alignment horizontal="left" vertical="top" wrapText="1"/>
    </xf>
    <xf numFmtId="2" fontId="0" fillId="4" borderId="3" xfId="0" applyNumberFormat="1" applyFill="1" applyBorder="1" applyAlignment="1">
      <alignment horizontal="left" vertical="top" wrapText="1"/>
    </xf>
    <xf numFmtId="0" fontId="3" fillId="0" borderId="0" xfId="0" applyFont="1" applyAlignment="1">
      <alignment wrapText="1"/>
    </xf>
    <xf numFmtId="0" fontId="7" fillId="0" borderId="0" xfId="0" applyFont="1" applyAlignment="1">
      <alignment wrapText="1"/>
    </xf>
    <xf numFmtId="2" fontId="1" fillId="2" borderId="1" xfId="0" applyNumberFormat="1" applyFont="1" applyFill="1" applyBorder="1" applyAlignment="1">
      <alignment vertical="top" wrapText="1"/>
    </xf>
    <xf numFmtId="2" fontId="0" fillId="0" borderId="0" xfId="0" applyNumberFormat="1"/>
    <xf numFmtId="9" fontId="1" fillId="2" borderId="1" xfId="1" applyFont="1" applyFill="1" applyBorder="1" applyAlignment="1">
      <alignment vertical="top" wrapText="1"/>
    </xf>
    <xf numFmtId="9" fontId="0" fillId="0" borderId="0" xfId="1" applyFont="1" applyAlignment="1">
      <alignment vertical="top" wrapText="1"/>
    </xf>
    <xf numFmtId="9" fontId="0" fillId="0" borderId="0" xfId="1" applyFont="1"/>
    <xf numFmtId="9" fontId="0" fillId="0" borderId="0" xfId="1" applyFont="1" applyAlignment="1">
      <alignment wrapText="1"/>
    </xf>
    <xf numFmtId="11" fontId="0" fillId="0" borderId="0" xfId="0" applyNumberFormat="1" applyAlignment="1">
      <alignment wrapText="1"/>
    </xf>
    <xf numFmtId="0" fontId="4" fillId="0" borderId="0" xfId="0" applyFont="1" applyAlignment="1">
      <alignment wrapText="1"/>
    </xf>
  </cellXfs>
  <cellStyles count="2">
    <cellStyle name="Procent" xfId="1" builtinId="5"/>
    <cellStyle name="Standaard" xfId="0" builtinId="0"/>
  </cellStyles>
  <dxfs count="36">
    <dxf>
      <alignment horizontal="left" vertical="top" textRotation="0" wrapText="1" indent="0" justifyLastLine="0" shrinkToFit="0" readingOrder="0"/>
    </dxf>
    <dxf>
      <numFmt numFmtId="2" formatCode="0.00"/>
      <fill>
        <patternFill patternType="solid">
          <fgColor theme="6" tint="0.59999389629810485"/>
          <bgColor theme="6" tint="0.59999389629810485"/>
        </patternFill>
      </fill>
      <alignment horizontal="left" vertical="top" textRotation="0" wrapText="1" indent="0" justifyLastLine="0" shrinkToFit="0" readingOrder="0"/>
      <border diagonalUp="0" diagonalDown="0" outline="0">
        <left/>
        <right style="thin">
          <color theme="0"/>
        </right>
        <top style="thin">
          <color theme="0"/>
        </top>
        <bottom style="thin">
          <color theme="0"/>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 formatCode="0"/>
      <fill>
        <patternFill patternType="solid">
          <fgColor theme="6" tint="0.79998168889431442"/>
          <bgColor theme="6" tint="0.79998168889431442"/>
        </patternFill>
      </fill>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numFmt numFmtId="1" formatCode="0"/>
      <fill>
        <patternFill patternType="solid">
          <fgColor theme="6" tint="0.79998168889431442"/>
          <bgColor theme="6" tint="0.79998168889431442"/>
        </patternFill>
      </fill>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 formatCode="0"/>
      <fill>
        <patternFill patternType="solid">
          <fgColor theme="6" tint="0.79998168889431442"/>
          <bgColor theme="6" tint="0.79998168889431442"/>
        </patternFill>
      </fill>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bottom style="thin">
          <color rgb="FFD9D9D9"/>
        </bottom>
      </border>
    </dxf>
    <dxf>
      <border outline="0">
        <top style="thin">
          <color rgb="FFD9D9D9"/>
        </top>
        <bottom style="thin">
          <color theme="0"/>
        </bottom>
      </border>
    </dxf>
    <dxf>
      <alignment horizontal="left" vertical="top" textRotation="0" wrapText="1" indent="0" justifyLastLine="0" shrinkToFit="0" readingOrder="0"/>
    </dxf>
    <dxf>
      <alignment horizontal="left" vertical="top" textRotation="0" wrapText="1" indent="0" justifyLastLine="0" shrinkToFit="0" readingOrder="0"/>
    </dxf>
    <dxf>
      <numFmt numFmtId="2" formatCode="0.00"/>
      <alignment horizontal="general" vertical="top" textRotation="0" wrapText="1" indent="0" justifyLastLine="0" shrinkToFit="0" readingOrder="0"/>
    </dxf>
    <dxf>
      <numFmt numFmtId="2" formatCode="0.00"/>
      <alignment horizontal="general" vertical="top" textRotation="0" wrapText="1" indent="0" justifyLastLine="0" shrinkToFit="0" readingOrder="0"/>
    </dxf>
    <dxf>
      <numFmt numFmtId="2" formatCode="0.00"/>
      <alignment horizontal="general" vertical="top" textRotation="0" wrapText="1" indent="0" justifyLastLine="0" shrinkToFit="0" readingOrder="0"/>
    </dxf>
    <dxf>
      <numFmt numFmtId="2" formatCode="0.00"/>
      <alignment horizontal="general" vertical="top" textRotation="0" wrapText="1" indent="0" justifyLastLine="0" shrinkToFit="0" readingOrder="0"/>
    </dxf>
    <dxf>
      <numFmt numFmtId="2" formatCode="0.00"/>
      <alignment horizontal="general" vertical="top" textRotation="0" wrapText="1" indent="0" justifyLastLine="0" shrinkToFit="0" readingOrder="0"/>
    </dxf>
    <dxf>
      <numFmt numFmtId="2" formatCode="0.00"/>
      <alignment horizontal="general" vertical="top" textRotation="0" wrapText="1" indent="0" justifyLastLine="0" shrinkToFit="0" readingOrder="0"/>
    </dxf>
    <dxf>
      <numFmt numFmtId="2" formatCode="0.00"/>
      <alignment horizontal="general" vertical="top" textRotation="0" wrapText="1" indent="0" justifyLastLine="0" shrinkToFit="0" readingOrder="0"/>
    </dxf>
    <dxf>
      <numFmt numFmtId="2" formatCode="0.00"/>
      <alignment horizontal="general" vertical="top" textRotation="0" wrapText="1" indent="0" justifyLastLine="0" shrinkToFit="0" readingOrder="0"/>
    </dxf>
    <dxf>
      <numFmt numFmtId="2" formatCode="0.00"/>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rrierReviewData" displayName="BarrierReviewData" ref="A1:CB587">
  <autoFilter ref="A1:CB587" xr:uid="{00000000-0009-0000-0100-000001000000}">
    <filterColumn colId="8">
      <filters>
        <filter val="Yes"/>
      </filters>
    </filterColumn>
    <filterColumn colId="59">
      <customFilters>
        <customFilter operator="notEqual" val=" "/>
      </customFilters>
    </filterColumn>
  </autoFilter>
  <sortState xmlns:xlrd2="http://schemas.microsoft.com/office/spreadsheetml/2017/richdata2" ref="A2:CB587">
    <sortCondition ref="A1:A587"/>
  </sortState>
  <tableColumns count="80">
    <tableColumn id="1" xr3:uid="{00000000-0010-0000-0000-000001000000}" name="Article_ID"/>
    <tableColumn id="2" xr3:uid="{00000000-0010-0000-0000-000002000000}" name="Authors"/>
    <tableColumn id="38" xr3:uid="{BB8C52F9-EFB5-4864-8190-CF8BB8152404}" name="Title"/>
    <tableColumn id="3" xr3:uid="{00000000-0010-0000-0000-000003000000}" name="Year"/>
    <tableColumn id="4" xr3:uid="{00000000-0010-0000-0000-000004000000}" name="Journal"/>
    <tableColumn id="5" xr3:uid="{00000000-0010-0000-0000-000005000000}" name="DOI"/>
    <tableColumn id="6" xr3:uid="{00000000-0010-0000-0000-000006000000}" name="Open_access"/>
    <tableColumn id="7" xr3:uid="{00000000-0010-0000-0000-000007000000}" name="Study_type"/>
    <tableColumn id="8" xr3:uid="{00000000-0010-0000-0000-000008000000}" name="Included_after_screening"/>
    <tableColumn id="9" xr3:uid="{00000000-0010-0000-0000-000009000000}" name="Quality_score"/>
    <tableColumn id="10" xr3:uid="{00000000-0010-0000-0000-00000A000000}" name="Exclusion_reason"/>
    <tableColumn id="11" xr3:uid="{00000000-0010-0000-0000-00000B000000}" name="Polymer_name"/>
    <tableColumn id="90" xr3:uid="{C5585578-AAA3-4B52-8A3C-C4BA1D5B0A93}" name="Polymer_type"/>
    <tableColumn id="12" xr3:uid="{00000000-0010-0000-0000-00000C000000}" name="Material_family"/>
    <tableColumn id="87" xr3:uid="{EB1B8C3E-4B67-496E-A087-5CF284B34A13}" name="Biobased"/>
    <tableColumn id="15" xr3:uid="{00000000-0010-0000-0000-00000F000000}" name="Biodegradable"/>
    <tableColumn id="20" xr3:uid="{00000000-0010-0000-0000-000014000000}" name="Additives_present"/>
    <tableColumn id="88" xr3:uid="{1F5B5E60-58D5-4D35-A649-81C537805F3F}" name="Additives_concentration_wt%"/>
    <tableColumn id="21" xr3:uid="{00000000-0010-0000-0000-000015000000}" name="Processing_method"/>
    <tableColumn id="22" xr3:uid="{00000000-0010-0000-0000-000016000000}" name="Film_thickness_µm"/>
    <tableColumn id="86" xr3:uid="{210F1D65-B87A-4597-A367-55840D57CFD6}" name="Film_thickness_SD" dataDxfId="35"/>
    <tableColumn id="85" xr3:uid="{B61F8102-22DF-4692-AB24-DB22FC1059FC}" name="Film_thickness_replicates" dataDxfId="34"/>
    <tableColumn id="25" xr3:uid="{00000000-0010-0000-0000-000019000000}" name="O2P_value"/>
    <tableColumn id="80" xr3:uid="{65B7246F-FD8C-4D60-984A-0097022FF367}" name="O2P_SD" dataDxfId="33"/>
    <tableColumn id="26" xr3:uid="{00000000-0010-0000-0000-00001A000000}" name="O2P_unit"/>
    <tableColumn id="78" xr3:uid="{93AB43E3-A46D-44F5-A38A-83E48F6A118C}" name="O2P_standard"/>
    <tableColumn id="73" xr3:uid="{A1E27E4D-5FA8-4EFE-B96A-DEE7864FDF36}" name="O2P_temperature_°C"/>
    <tableColumn id="72" xr3:uid="{3AE0C4D8-22E8-4228-A102-620B01B95E56}" name="O2P_RH_%"/>
    <tableColumn id="27" xr3:uid="{00000000-0010-0000-0000-00001B000000}" name="OTR_value"/>
    <tableColumn id="81" xr3:uid="{9E93BD36-4409-46C5-9140-46DB91287127}" name="OTR_SD" dataDxfId="32"/>
    <tableColumn id="66" xr3:uid="{F1FE8251-FDBF-451C-A26E-769F29F25E46}" name="OTR_unit" dataDxfId="31"/>
    <tableColumn id="28" xr3:uid="{00000000-0010-0000-0000-00001C000000}" name="OTR_standard"/>
    <tableColumn id="70" xr3:uid="{FE8ABE06-B82D-41DB-AB8D-088B9AA00A56}" name="OTR_temperature_°C"/>
    <tableColumn id="71" xr3:uid="{56E8A49C-56BF-48C0-8C70-AB0124DEEC02}" name="OTR_RH_%"/>
    <tableColumn id="29" xr3:uid="{00000000-0010-0000-0000-00001D000000}" name="CO2P_value"/>
    <tableColumn id="82" xr3:uid="{895A6009-A960-4084-8C21-2359BFB7F95D}" name="CO2P_SD" dataDxfId="30"/>
    <tableColumn id="30" xr3:uid="{00000000-0010-0000-0000-00001E000000}" name="CO2P_unit"/>
    <tableColumn id="67" xr3:uid="{B5611224-230D-46B2-A393-FB9E79ECDA91}" name="CO2P_standard"/>
    <tableColumn id="74" xr3:uid="{03FCAA6A-95D5-4B89-9FF4-53201618CD54}" name="CO2P_temperature_°C"/>
    <tableColumn id="75" xr3:uid="{F7A3CCCA-A8C6-465C-811C-E2BC6B56B809}" name="CO2P_RH_%"/>
    <tableColumn id="54" xr3:uid="{A6692802-4F7A-430F-AA24-F3B3EFD955E0}" name="CO2TR_value"/>
    <tableColumn id="55" xr3:uid="{AA475ECB-1257-47F3-81B6-1B313C8C90FE}" name="CO2TR_SD"/>
    <tableColumn id="56" xr3:uid="{3F786AF9-4DA1-4CEE-AFCB-6E2FCB609906}" name="CO2TR_unit"/>
    <tableColumn id="79" xr3:uid="{BC7C19E4-DB7F-4806-8A0C-5A183C04122B}" name="CO2TR_standard"/>
    <tableColumn id="57" xr3:uid="{A907CA68-D034-4245-B332-130203BCBA1C}" name="CO2TR_temperature_°C"/>
    <tableColumn id="61" xr3:uid="{48C82972-6F30-41A4-81D0-9D98944DBC4E}" name="CO2TR_RH_%"/>
    <tableColumn id="31" xr3:uid="{00000000-0010-0000-0000-00001F000000}" name="WVTR_value"/>
    <tableColumn id="83" xr3:uid="{DBFCB71D-1DB5-417A-841B-6A4054A2FD99}" name="WVTR_SD" dataDxfId="29"/>
    <tableColumn id="32" xr3:uid="{00000000-0010-0000-0000-000020000000}" name="WVTR_unit"/>
    <tableColumn id="69" xr3:uid="{DFEDD501-F23D-4072-B450-6666F96A7EB0}" name="WVTR_standard"/>
    <tableColumn id="76" xr3:uid="{7EFEECF6-E354-4D24-A554-F957DBB2995B}" name="WVTR_temperature_°C"/>
    <tableColumn id="77" xr3:uid="{3F217090-5F68-4A25-B476-1A150C315916}" name="WVTR_RH_%"/>
    <tableColumn id="33" xr3:uid="{00000000-0010-0000-0000-000021000000}" name="WVP_value"/>
    <tableColumn id="84" xr3:uid="{02AB6EAA-A36C-42CF-9BA2-99F5E546D9BD}" name="WVP_SD" dataDxfId="28"/>
    <tableColumn id="34" xr3:uid="{00000000-0010-0000-0000-000022000000}" name="WVP_unit"/>
    <tableColumn id="35" xr3:uid="{00000000-0010-0000-0000-000023000000}" name="WVP_standard"/>
    <tableColumn id="36" xr3:uid="{00000000-0010-0000-0000-000024000000}" name="WVP_temperature_°C"/>
    <tableColumn id="37" xr3:uid="{00000000-0010-0000-0000-000025000000}" name="WVP_RH_%"/>
    <tableColumn id="51" xr3:uid="{0C43781F-A99B-41C2-8A40-53B00D39C5A7}" name="Replicates" dataDxfId="27"/>
    <tableColumn id="39" xr3:uid="{00000000-0010-0000-0000-000027000000}" name="Reference_polymer"/>
    <tableColumn id="46" xr3:uid="{C43DADA2-AF04-420A-B25C-7DD92A0B75F9}" name="Reference_thickness_µm"/>
    <tableColumn id="47" xr3:uid="{CA4902AA-66C0-4326-9722-C51AFC02A569}" name="Reference_thickness_SD"/>
    <tableColumn id="52" xr3:uid="{1E015B5C-F8B8-4483-A712-98F443097D62}" name="Reference_thickness_replicates"/>
    <tableColumn id="14" xr3:uid="{7B15B04A-5C6F-4446-9FED-38BE59E81A65}" name="Reference_PO2_value"/>
    <tableColumn id="48" xr3:uid="{32D1DE78-8BE6-49A7-A333-E346D3CD16BA}" name="Reference_PO2_unit"/>
    <tableColumn id="40" xr3:uid="{00000000-0010-0000-0000-000028000000}" name="Reference_OTR_value"/>
    <tableColumn id="41" xr3:uid="{00000000-0010-0000-0000-000029000000}" name="Reference_OTR_unit"/>
    <tableColumn id="62" xr3:uid="{33B1D0FA-EEAF-4CD6-AB1D-50B0886DFB94}" name="Reference_CO2TR_value"/>
    <tableColumn id="53" xr3:uid="{B06C26DA-8FDC-4204-A65A-5FDA05F8C4EB}" name="Reference_CO2TR_unit"/>
    <tableColumn id="42" xr3:uid="{00000000-0010-0000-0000-00002A000000}" name="Reference_WVTR_value"/>
    <tableColumn id="43" xr3:uid="{00000000-0010-0000-0000-00002B000000}" name="Reference_WVTR_unit"/>
    <tableColumn id="19" xr3:uid="{56085890-92AE-4B47-B8B3-ED01120A3576}" name="Reference WVP_value"/>
    <tableColumn id="24" xr3:uid="{D7534D39-0CF2-41BB-BBDB-7142125A7542}" name="Reference_WVP_unit"/>
    <tableColumn id="44" xr3:uid="{00000000-0010-0000-0000-00002C000000}" name="Comparison_type"/>
    <tableColumn id="45" xr3:uid="{00000000-0010-0000-0000-00002D000000}" name="Relative_performance"/>
    <tableColumn id="58" xr3:uid="{00000000-0010-0000-0000-00003A000000}" name="Application_scale"/>
    <tableColumn id="59" xr3:uid="{00000000-0010-0000-0000-00003B000000}" name="Packaging_format"/>
    <tableColumn id="60" xr3:uid="{00000000-0010-0000-0000-00003C000000}" name="Food_contact_tested"/>
    <tableColumn id="63" xr3:uid="{00000000-0010-0000-0000-00003F000000}" name="Key_barrier_finding"/>
    <tableColumn id="68" xr3:uid="{00000000-0010-0000-0000-000044000000}" name="Reviewer_notes"/>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D4BF58-E617-4715-B2C1-1010E76B5476}" name="Table3" displayName="Table3" ref="A1:W32" totalsRowShown="0" headerRowDxfId="26" dataDxfId="25" headerRowBorderDxfId="23" tableBorderDxfId="24">
  <autoFilter ref="A1:W32" xr:uid="{56D4BF58-E617-4715-B2C1-1010E76B5476}"/>
  <tableColumns count="23">
    <tableColumn id="1" xr3:uid="{65EF1BDC-A79E-4C3F-B8CB-18B6F25A7B6E}" name="Article_ID" dataDxfId="22"/>
    <tableColumn id="2" xr3:uid="{E7CEF2EA-4EA7-4FB1-8DA5-D065C75F75B0}" name="Authors" dataDxfId="21"/>
    <tableColumn id="3" xr3:uid="{5DCBBA6D-78C0-4568-93EC-EDD117851A82}" name="Title" dataDxfId="20"/>
    <tableColumn id="4" xr3:uid="{2A9BA3A1-B82E-494C-BE8E-310D67FEFEF9}" name="Year" dataDxfId="19"/>
    <tableColumn id="5" xr3:uid="{8C0957B1-542F-4491-9571-BB8B7B4C3C24}" name="Journal" dataDxfId="18"/>
    <tableColumn id="6" xr3:uid="{5D86FA63-2EBB-4581-953A-E3942EAF2228}" name="DOI" dataDxfId="17"/>
    <tableColumn id="24" xr3:uid="{447F0298-6731-4E69-8A78-D46DFB6B2E17}" name="Material group" dataDxfId="16"/>
    <tableColumn id="7" xr3:uid="{9135C57F-BD4A-415C-A426-1DF6FB18C98A}" name="1. Are the aim and research questions clear?" dataDxfId="15"/>
    <tableColumn id="8" xr3:uid="{2B6EF749-CF6B-4D9A-8369-B84870355FE5}" name="Comment_1" dataDxfId="14"/>
    <tableColumn id="9" xr3:uid="{0E522DE6-215F-4918-AD47-DB7EAE7B624D}" name="2. Are the materials and film preparation sufficiently described?" dataDxfId="13"/>
    <tableColumn id="10" xr3:uid="{D99551AD-416F-435E-B604-6DE74F04203F}" name="Comment_2" dataDxfId="12"/>
    <tableColumn id="11" xr3:uid="{13D7A3C0-2D10-416E-833E-0814485D4F66}" name="3. Are barrier measurements conducted using validated and standardized methods?" dataDxfId="11"/>
    <tableColumn id="12" xr3:uid="{27BB9350-2F62-4E75-8FFF-054D1E03B347}" name="Comment_3" dataDxfId="10"/>
    <tableColumn id="13" xr3:uid="{2DECAED8-9096-49BF-A1FC-DCDC21DC2BBE}" name="4. Are appropriate controls or reference materials included?" dataDxfId="9"/>
    <tableColumn id="14" xr3:uid="{E8CE2180-EBFA-4F4A-A337-0676F4E94C15}" name="Comment_4" dataDxfId="8"/>
    <tableColumn id="15" xr3:uid="{0DBA8FE4-9644-4A7B-A0E1-1A1F2FD132DC}" name="5. Are barrier properties validated through replicates?" dataDxfId="7"/>
    <tableColumn id="16" xr3:uid="{DBB6C669-5657-44C5-A3F9-65EB05F39F1C}" name="Comment_5" dataDxfId="6"/>
    <tableColumn id="17" xr3:uid="{A0DF9C12-4914-4A22-BEDE-684ACEC5D370}" name="6. Are data reported fully and transparently in a suitable form?" dataDxfId="5"/>
    <tableColumn id="18" xr3:uid="{BE655C7E-1EB7-4EFA-B752-AECA5B34127E}" name="Comment_6" dataDxfId="4"/>
    <tableColumn id="19" xr3:uid="{9A9430AC-1AF7-4130-B31B-E66FAFEE1C33}" name="7. Are explanations and conclusions appropriate and supported by the data and contextualized appropriately?" dataDxfId="3"/>
    <tableColumn id="20" xr3:uid="{C49B4660-3B41-40A2-9662-2E5D624CF4AF}" name="Comment_7" dataDxfId="2"/>
    <tableColumn id="21" xr3:uid="{78737728-0DAE-4AFF-BA8E-2E6E866D0D27}" name="QS" dataDxfId="1">
      <calculatedColumnFormula>SUM(H2,J2,L2,N2,P2,R2,T2)/7</calculatedColumnFormula>
    </tableColumn>
    <tableColumn id="22" xr3:uid="{20EA0FB8-500C-4398-9155-70D70E72ADA5}" name="Included_after_QA" dataDxfId="0"/>
  </tableColumns>
  <tableStyleInfo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587"/>
  <sheetViews>
    <sheetView showGridLines="0" tabSelected="1" zoomScale="60" zoomScaleNormal="60" workbookViewId="0">
      <selection activeCell="BH2" sqref="BH2"/>
    </sheetView>
  </sheetViews>
  <sheetFormatPr defaultRowHeight="15" customHeight="1"/>
  <cols>
    <col min="1" max="1" width="18" customWidth="1"/>
    <col min="2" max="2" width="28" customWidth="1"/>
    <col min="3" max="3" width="18" customWidth="1"/>
    <col min="4" max="4" width="28" customWidth="1"/>
    <col min="5" max="9" width="18" customWidth="1"/>
    <col min="10" max="10" width="28" customWidth="1"/>
    <col min="11" max="22" width="18" customWidth="1"/>
    <col min="23" max="23" width="16" customWidth="1"/>
    <col min="24" max="24" width="18" customWidth="1"/>
    <col min="25" max="25" width="16" customWidth="1"/>
    <col min="26" max="26" width="18" customWidth="1"/>
    <col min="27" max="27" width="16" customWidth="1"/>
    <col min="28" max="28" width="18" customWidth="1"/>
    <col min="29" max="29" width="16" customWidth="1"/>
    <col min="30" max="34" width="18" customWidth="1"/>
    <col min="35" max="35" width="16" customWidth="1"/>
    <col min="36" max="36" width="18" customWidth="1"/>
    <col min="37" max="37" width="16" customWidth="1"/>
    <col min="38" max="54" width="18" customWidth="1"/>
    <col min="55" max="55" width="28" customWidth="1"/>
    <col min="56" max="56" width="18" customWidth="1"/>
    <col min="57" max="57" width="18" style="20" customWidth="1"/>
    <col min="58" max="58" width="18" style="17" customWidth="1"/>
    <col min="59" max="61" width="18" customWidth="1"/>
    <col min="62" max="69" width="28" customWidth="1"/>
  </cols>
  <sheetData>
    <row r="1" spans="1:80" ht="57.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8" t="s">
        <v>57</v>
      </c>
      <c r="BG1" s="16"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row>
    <row r="2" spans="1:80" ht="172.9">
      <c r="A2" s="2">
        <v>1</v>
      </c>
      <c r="B2" s="2" t="s">
        <v>80</v>
      </c>
      <c r="C2" s="2" t="s">
        <v>81</v>
      </c>
      <c r="D2" s="6">
        <v>2025</v>
      </c>
      <c r="E2" s="2" t="s">
        <v>82</v>
      </c>
      <c r="F2" s="2" t="s">
        <v>83</v>
      </c>
      <c r="G2" s="2" t="s">
        <v>84</v>
      </c>
      <c r="H2" s="2" t="s">
        <v>85</v>
      </c>
      <c r="I2" s="2" t="s">
        <v>84</v>
      </c>
      <c r="J2" s="10">
        <v>0.86</v>
      </c>
      <c r="K2" s="2"/>
      <c r="L2" s="2" t="s">
        <v>86</v>
      </c>
      <c r="M2" s="2" t="s">
        <v>87</v>
      </c>
      <c r="N2" s="2" t="s">
        <v>88</v>
      </c>
      <c r="O2" s="2" t="s">
        <v>84</v>
      </c>
      <c r="P2" s="2" t="s">
        <v>84</v>
      </c>
      <c r="Q2" s="5" t="s">
        <v>89</v>
      </c>
      <c r="R2" s="21">
        <v>0.5</v>
      </c>
      <c r="S2" s="2" t="s">
        <v>90</v>
      </c>
      <c r="T2" s="3">
        <v>73</v>
      </c>
      <c r="U2" s="3">
        <v>1</v>
      </c>
      <c r="V2" s="3">
        <v>3</v>
      </c>
      <c r="W2" s="3"/>
      <c r="X2" s="3"/>
      <c r="Y2" s="2"/>
      <c r="Z2" s="2"/>
      <c r="AA2" s="2"/>
      <c r="AB2" s="2"/>
      <c r="AC2" s="3"/>
      <c r="AD2" s="3"/>
      <c r="AE2" s="3"/>
      <c r="AF2" s="2"/>
      <c r="AG2" s="2"/>
      <c r="AH2" s="2"/>
      <c r="AI2" s="3"/>
      <c r="AJ2" s="3"/>
      <c r="AK2" s="2"/>
      <c r="AL2" s="2"/>
      <c r="AM2" s="2"/>
      <c r="AN2" s="2"/>
      <c r="AO2" s="2"/>
      <c r="AP2" s="2"/>
      <c r="AQ2" s="2"/>
      <c r="AR2" s="2"/>
      <c r="AS2" s="2"/>
      <c r="AT2" s="2"/>
      <c r="AU2" s="3"/>
      <c r="AV2" s="3"/>
      <c r="AW2" s="2"/>
      <c r="AX2" s="2"/>
      <c r="AY2" s="2"/>
      <c r="AZ2" s="2"/>
      <c r="BA2" s="3">
        <v>1.25</v>
      </c>
      <c r="BB2" s="3">
        <v>0.05</v>
      </c>
      <c r="BC2" s="5" t="s">
        <v>91</v>
      </c>
      <c r="BD2" s="2" t="s">
        <v>92</v>
      </c>
      <c r="BE2" s="3">
        <v>25</v>
      </c>
      <c r="BF2" s="19">
        <v>0.75</v>
      </c>
      <c r="BG2" s="6">
        <v>3</v>
      </c>
      <c r="BH2" s="2" t="s">
        <v>93</v>
      </c>
      <c r="BI2" s="3"/>
      <c r="BJ2" s="2"/>
      <c r="BK2" s="2"/>
      <c r="BL2" s="2"/>
      <c r="BM2" s="2"/>
      <c r="BN2" s="3"/>
      <c r="BO2" s="2"/>
      <c r="BP2" s="2"/>
      <c r="BQ2" s="2"/>
      <c r="BR2" s="3"/>
      <c r="BS2" s="2"/>
      <c r="BT2" s="2" t="s">
        <v>94</v>
      </c>
      <c r="BU2" s="5" t="s">
        <v>95</v>
      </c>
      <c r="BV2" s="2" t="s">
        <v>96</v>
      </c>
      <c r="BW2" s="2" t="s">
        <v>97</v>
      </c>
      <c r="BX2" s="2" t="s">
        <v>98</v>
      </c>
      <c r="BY2" s="2" t="s">
        <v>99</v>
      </c>
      <c r="BZ2" s="2" t="s">
        <v>100</v>
      </c>
      <c r="CA2" s="5" t="s">
        <v>101</v>
      </c>
      <c r="CB2" s="2" t="s">
        <v>102</v>
      </c>
    </row>
    <row r="3" spans="1:80" ht="172.9">
      <c r="A3" s="2">
        <v>1</v>
      </c>
      <c r="B3" s="2" t="s">
        <v>80</v>
      </c>
      <c r="C3" s="2" t="s">
        <v>81</v>
      </c>
      <c r="D3" s="6">
        <v>2025</v>
      </c>
      <c r="E3" s="2" t="s">
        <v>82</v>
      </c>
      <c r="F3" s="2" t="s">
        <v>83</v>
      </c>
      <c r="G3" s="2" t="s">
        <v>84</v>
      </c>
      <c r="H3" s="2" t="s">
        <v>85</v>
      </c>
      <c r="I3" s="2" t="s">
        <v>84</v>
      </c>
      <c r="J3" s="10">
        <v>0.86</v>
      </c>
      <c r="K3" s="2"/>
      <c r="L3" s="2" t="s">
        <v>103</v>
      </c>
      <c r="M3" s="2" t="s">
        <v>87</v>
      </c>
      <c r="N3" s="2" t="s">
        <v>88</v>
      </c>
      <c r="O3" s="2" t="s">
        <v>84</v>
      </c>
      <c r="P3" s="2" t="s">
        <v>84</v>
      </c>
      <c r="Q3" s="5" t="s">
        <v>89</v>
      </c>
      <c r="R3" s="21">
        <v>0.5</v>
      </c>
      <c r="S3" s="2" t="s">
        <v>90</v>
      </c>
      <c r="T3" s="3">
        <v>74</v>
      </c>
      <c r="U3" s="3">
        <v>8</v>
      </c>
      <c r="V3" s="3">
        <v>3</v>
      </c>
      <c r="W3" s="3"/>
      <c r="X3" s="3"/>
      <c r="Y3" s="2"/>
      <c r="Z3" s="2"/>
      <c r="AA3" s="2"/>
      <c r="AB3" s="2"/>
      <c r="AC3" s="3"/>
      <c r="AD3" s="3"/>
      <c r="AE3" s="3"/>
      <c r="AF3" s="2"/>
      <c r="AG3" s="2"/>
      <c r="AH3" s="2"/>
      <c r="AI3" s="3"/>
      <c r="AJ3" s="3"/>
      <c r="AK3" s="2"/>
      <c r="AL3" s="2"/>
      <c r="AM3" s="2"/>
      <c r="AN3" s="2"/>
      <c r="AO3" s="2"/>
      <c r="AP3" s="2"/>
      <c r="AQ3" s="2"/>
      <c r="AR3" s="2"/>
      <c r="AS3" s="2"/>
      <c r="AT3" s="2"/>
      <c r="AU3" s="3"/>
      <c r="AV3" s="3"/>
      <c r="AW3" s="2"/>
      <c r="AX3" s="2"/>
      <c r="AY3" s="2"/>
      <c r="AZ3" s="2"/>
      <c r="BA3" s="3">
        <v>0.96</v>
      </c>
      <c r="BB3" s="3">
        <v>0.08</v>
      </c>
      <c r="BC3" s="5" t="s">
        <v>91</v>
      </c>
      <c r="BD3" s="2" t="s">
        <v>92</v>
      </c>
      <c r="BE3" s="3">
        <v>25</v>
      </c>
      <c r="BF3" s="19">
        <v>0.75</v>
      </c>
      <c r="BG3" s="6">
        <v>3</v>
      </c>
      <c r="BH3" s="2" t="s">
        <v>93</v>
      </c>
      <c r="BI3" s="2"/>
      <c r="BJ3" s="2"/>
      <c r="BK3" s="2"/>
      <c r="BL3" s="2"/>
      <c r="BM3" s="2"/>
      <c r="BN3" s="3"/>
      <c r="BO3" s="2"/>
      <c r="BP3" s="2"/>
      <c r="BQ3" s="2"/>
      <c r="BR3" s="3"/>
      <c r="BS3" s="2"/>
      <c r="BT3" s="2" t="s">
        <v>94</v>
      </c>
      <c r="BU3" s="5" t="s">
        <v>95</v>
      </c>
      <c r="BV3" s="2" t="s">
        <v>96</v>
      </c>
      <c r="BW3" s="2" t="s">
        <v>97</v>
      </c>
      <c r="BX3" s="2" t="s">
        <v>98</v>
      </c>
      <c r="BY3" s="2" t="s">
        <v>99</v>
      </c>
      <c r="BZ3" s="2" t="s">
        <v>100</v>
      </c>
      <c r="CA3" s="5" t="s">
        <v>101</v>
      </c>
      <c r="CB3" s="2"/>
    </row>
    <row r="4" spans="1:80" ht="172.9">
      <c r="A4" s="2">
        <v>1</v>
      </c>
      <c r="B4" s="2" t="s">
        <v>80</v>
      </c>
      <c r="C4" s="2" t="s">
        <v>81</v>
      </c>
      <c r="D4" s="6">
        <v>2025</v>
      </c>
      <c r="E4" s="2" t="s">
        <v>82</v>
      </c>
      <c r="F4" s="2" t="s">
        <v>83</v>
      </c>
      <c r="G4" s="2" t="s">
        <v>84</v>
      </c>
      <c r="H4" s="2" t="s">
        <v>85</v>
      </c>
      <c r="I4" s="2" t="s">
        <v>84</v>
      </c>
      <c r="J4" s="10">
        <v>0.86</v>
      </c>
      <c r="K4" s="2"/>
      <c r="L4" s="2" t="s">
        <v>104</v>
      </c>
      <c r="M4" s="2" t="s">
        <v>87</v>
      </c>
      <c r="N4" s="2" t="s">
        <v>88</v>
      </c>
      <c r="O4" s="2" t="s">
        <v>84</v>
      </c>
      <c r="P4" s="2" t="s">
        <v>84</v>
      </c>
      <c r="Q4" s="5" t="s">
        <v>89</v>
      </c>
      <c r="R4" s="21">
        <v>0.5</v>
      </c>
      <c r="S4" s="2" t="s">
        <v>90</v>
      </c>
      <c r="T4" s="3">
        <v>74</v>
      </c>
      <c r="U4" s="3">
        <v>3</v>
      </c>
      <c r="V4" s="3">
        <v>3</v>
      </c>
      <c r="W4" s="3"/>
      <c r="X4" s="3"/>
      <c r="Y4" s="2"/>
      <c r="Z4" s="2"/>
      <c r="AA4" s="2"/>
      <c r="AB4" s="2"/>
      <c r="AC4" s="3"/>
      <c r="AD4" s="3"/>
      <c r="AE4" s="3"/>
      <c r="AF4" s="2"/>
      <c r="AG4" s="2"/>
      <c r="AH4" s="2"/>
      <c r="AI4" s="3"/>
      <c r="AJ4" s="3"/>
      <c r="AK4" s="2"/>
      <c r="AL4" s="2"/>
      <c r="AM4" s="2"/>
      <c r="AN4" s="2"/>
      <c r="AO4" s="2"/>
      <c r="AP4" s="2"/>
      <c r="AQ4" s="2"/>
      <c r="AR4" s="2"/>
      <c r="AS4" s="2"/>
      <c r="AT4" s="2"/>
      <c r="AU4" s="3"/>
      <c r="AV4" s="3"/>
      <c r="AW4" s="2"/>
      <c r="AX4" s="2"/>
      <c r="AY4" s="2"/>
      <c r="AZ4" s="2"/>
      <c r="BA4" s="3">
        <v>1.08</v>
      </c>
      <c r="BB4" s="3">
        <v>0.03</v>
      </c>
      <c r="BC4" s="5" t="s">
        <v>91</v>
      </c>
      <c r="BD4" s="2" t="s">
        <v>92</v>
      </c>
      <c r="BE4" s="3">
        <v>25</v>
      </c>
      <c r="BF4" s="19">
        <v>0.75</v>
      </c>
      <c r="BG4" s="6">
        <v>3</v>
      </c>
      <c r="BH4" s="2" t="s">
        <v>93</v>
      </c>
      <c r="BI4" s="2"/>
      <c r="BJ4" s="2"/>
      <c r="BK4" s="2"/>
      <c r="BL4" s="2"/>
      <c r="BM4" s="2"/>
      <c r="BN4" s="3"/>
      <c r="BO4" s="2"/>
      <c r="BP4" s="2"/>
      <c r="BQ4" s="2"/>
      <c r="BR4" s="3"/>
      <c r="BS4" s="2"/>
      <c r="BT4" s="2" t="s">
        <v>94</v>
      </c>
      <c r="BU4" s="5" t="s">
        <v>95</v>
      </c>
      <c r="BV4" s="2" t="s">
        <v>96</v>
      </c>
      <c r="BW4" s="2" t="s">
        <v>97</v>
      </c>
      <c r="BX4" s="2" t="s">
        <v>98</v>
      </c>
      <c r="BY4" s="2" t="s">
        <v>99</v>
      </c>
      <c r="BZ4" s="2" t="s">
        <v>100</v>
      </c>
      <c r="CA4" s="5" t="s">
        <v>101</v>
      </c>
      <c r="CB4" s="2"/>
    </row>
    <row r="5" spans="1:80" ht="172.9">
      <c r="A5" s="2">
        <v>1</v>
      </c>
      <c r="B5" s="2" t="s">
        <v>80</v>
      </c>
      <c r="C5" s="2" t="s">
        <v>81</v>
      </c>
      <c r="D5" s="6">
        <v>2025</v>
      </c>
      <c r="E5" s="2" t="s">
        <v>82</v>
      </c>
      <c r="F5" s="2" t="s">
        <v>83</v>
      </c>
      <c r="G5" s="2" t="s">
        <v>84</v>
      </c>
      <c r="H5" s="2" t="s">
        <v>85</v>
      </c>
      <c r="I5" s="2" t="s">
        <v>84</v>
      </c>
      <c r="J5" s="10">
        <v>0.86</v>
      </c>
      <c r="K5" s="2"/>
      <c r="L5" s="8" t="s">
        <v>105</v>
      </c>
      <c r="M5" s="2" t="s">
        <v>87</v>
      </c>
      <c r="N5" s="2" t="s">
        <v>88</v>
      </c>
      <c r="O5" s="2" t="s">
        <v>84</v>
      </c>
      <c r="P5" s="2" t="s">
        <v>84</v>
      </c>
      <c r="Q5" s="5" t="s">
        <v>89</v>
      </c>
      <c r="R5" s="21">
        <v>0.5</v>
      </c>
      <c r="S5" s="2" t="s">
        <v>90</v>
      </c>
      <c r="T5" s="3">
        <v>76</v>
      </c>
      <c r="U5" s="3">
        <v>1</v>
      </c>
      <c r="V5" s="3">
        <v>3</v>
      </c>
      <c r="W5" s="3"/>
      <c r="X5" s="3"/>
      <c r="Y5" s="2"/>
      <c r="Z5" s="2"/>
      <c r="AA5" s="2"/>
      <c r="AB5" s="2"/>
      <c r="AC5" s="3"/>
      <c r="AD5" s="3"/>
      <c r="AE5" s="3"/>
      <c r="AF5" s="2"/>
      <c r="AG5" s="2"/>
      <c r="AH5" s="2"/>
      <c r="AI5" s="3"/>
      <c r="AJ5" s="3"/>
      <c r="AK5" s="2"/>
      <c r="AL5" s="2"/>
      <c r="AM5" s="2"/>
      <c r="AN5" s="2"/>
      <c r="AO5" s="2"/>
      <c r="AP5" s="2"/>
      <c r="AQ5" s="2"/>
      <c r="AR5" s="2"/>
      <c r="AS5" s="2"/>
      <c r="AT5" s="2"/>
      <c r="AU5" s="3"/>
      <c r="AV5" s="3"/>
      <c r="AW5" s="2"/>
      <c r="AX5" s="2"/>
      <c r="AY5" s="2"/>
      <c r="AZ5" s="2"/>
      <c r="BA5" s="3">
        <v>0.42</v>
      </c>
      <c r="BB5" s="3">
        <v>0.04</v>
      </c>
      <c r="BC5" s="5" t="s">
        <v>91</v>
      </c>
      <c r="BD5" s="2" t="s">
        <v>92</v>
      </c>
      <c r="BE5" s="3">
        <v>25</v>
      </c>
      <c r="BF5" s="19">
        <v>0.75</v>
      </c>
      <c r="BG5" s="6">
        <v>3</v>
      </c>
      <c r="BH5" s="2" t="s">
        <v>93</v>
      </c>
      <c r="BI5" s="2"/>
      <c r="BJ5" s="2"/>
      <c r="BK5" s="2"/>
      <c r="BL5" s="2"/>
      <c r="BM5" s="2"/>
      <c r="BN5" s="3"/>
      <c r="BO5" s="2"/>
      <c r="BP5" s="2"/>
      <c r="BQ5" s="2"/>
      <c r="BR5" s="3"/>
      <c r="BS5" s="2"/>
      <c r="BT5" s="2" t="s">
        <v>94</v>
      </c>
      <c r="BU5" s="5" t="s">
        <v>95</v>
      </c>
      <c r="BV5" s="2" t="s">
        <v>96</v>
      </c>
      <c r="BW5" s="2" t="s">
        <v>97</v>
      </c>
      <c r="BX5" s="2" t="s">
        <v>98</v>
      </c>
      <c r="BY5" s="2" t="s">
        <v>99</v>
      </c>
      <c r="BZ5" s="2" t="s">
        <v>100</v>
      </c>
      <c r="CA5" s="5" t="s">
        <v>101</v>
      </c>
      <c r="CB5" s="2" t="s">
        <v>102</v>
      </c>
    </row>
    <row r="6" spans="1:80" ht="172.9">
      <c r="A6" s="2">
        <v>1</v>
      </c>
      <c r="B6" s="2" t="s">
        <v>80</v>
      </c>
      <c r="C6" s="2" t="s">
        <v>81</v>
      </c>
      <c r="D6" s="6">
        <v>2025</v>
      </c>
      <c r="E6" s="2" t="s">
        <v>82</v>
      </c>
      <c r="F6" s="2" t="s">
        <v>83</v>
      </c>
      <c r="G6" s="2" t="s">
        <v>84</v>
      </c>
      <c r="H6" s="2" t="s">
        <v>85</v>
      </c>
      <c r="I6" s="2" t="s">
        <v>84</v>
      </c>
      <c r="J6" s="10">
        <v>0.86</v>
      </c>
      <c r="K6" s="2"/>
      <c r="L6" s="2" t="s">
        <v>106</v>
      </c>
      <c r="M6" s="2" t="s">
        <v>87</v>
      </c>
      <c r="N6" s="2" t="s">
        <v>88</v>
      </c>
      <c r="O6" s="2" t="s">
        <v>84</v>
      </c>
      <c r="P6" s="2" t="s">
        <v>84</v>
      </c>
      <c r="Q6" s="5" t="s">
        <v>89</v>
      </c>
      <c r="R6" s="21">
        <v>0.5</v>
      </c>
      <c r="S6" s="2" t="s">
        <v>90</v>
      </c>
      <c r="T6" s="3">
        <v>66</v>
      </c>
      <c r="U6" s="3">
        <v>2</v>
      </c>
      <c r="V6" s="3">
        <v>3</v>
      </c>
      <c r="W6" s="3"/>
      <c r="X6" s="3"/>
      <c r="Y6" s="2"/>
      <c r="Z6" s="2"/>
      <c r="AA6" s="2"/>
      <c r="AB6" s="2"/>
      <c r="AC6" s="3"/>
      <c r="AD6" s="3"/>
      <c r="AE6" s="3"/>
      <c r="AF6" s="2"/>
      <c r="AG6" s="2"/>
      <c r="AH6" s="2"/>
      <c r="AI6" s="3"/>
      <c r="AJ6" s="3"/>
      <c r="AK6" s="2"/>
      <c r="AL6" s="2"/>
      <c r="AM6" s="2"/>
      <c r="AN6" s="2"/>
      <c r="AO6" s="2"/>
      <c r="AP6" s="2"/>
      <c r="AQ6" s="2"/>
      <c r="AR6" s="2"/>
      <c r="AS6" s="2"/>
      <c r="AT6" s="2"/>
      <c r="AU6" s="3"/>
      <c r="AV6" s="3"/>
      <c r="AW6" s="2"/>
      <c r="AX6" s="2"/>
      <c r="AY6" s="2"/>
      <c r="AZ6" s="2"/>
      <c r="BA6" s="3">
        <v>0.56000000000000005</v>
      </c>
      <c r="BB6" s="3">
        <v>0.05</v>
      </c>
      <c r="BC6" s="5" t="s">
        <v>91</v>
      </c>
      <c r="BD6" s="2" t="s">
        <v>92</v>
      </c>
      <c r="BE6" s="3">
        <v>25</v>
      </c>
      <c r="BF6" s="19">
        <v>0.75</v>
      </c>
      <c r="BG6" s="6">
        <v>3</v>
      </c>
      <c r="BH6" s="2" t="s">
        <v>93</v>
      </c>
      <c r="BI6" s="2"/>
      <c r="BJ6" s="2"/>
      <c r="BK6" s="2"/>
      <c r="BL6" s="2"/>
      <c r="BM6" s="2"/>
      <c r="BN6" s="3"/>
      <c r="BO6" s="2"/>
      <c r="BP6" s="2"/>
      <c r="BQ6" s="2"/>
      <c r="BR6" s="3"/>
      <c r="BS6" s="2"/>
      <c r="BT6" s="2" t="s">
        <v>94</v>
      </c>
      <c r="BU6" s="5" t="s">
        <v>95</v>
      </c>
      <c r="BV6" s="2" t="s">
        <v>96</v>
      </c>
      <c r="BW6" s="2" t="s">
        <v>97</v>
      </c>
      <c r="BX6" s="2" t="s">
        <v>98</v>
      </c>
      <c r="BY6" s="2" t="s">
        <v>99</v>
      </c>
      <c r="BZ6" s="2" t="s">
        <v>100</v>
      </c>
      <c r="CA6" s="5" t="s">
        <v>101</v>
      </c>
      <c r="CB6" s="2" t="s">
        <v>102</v>
      </c>
    </row>
    <row r="7" spans="1:80" ht="172.9">
      <c r="A7" s="2">
        <v>1</v>
      </c>
      <c r="B7" s="2" t="s">
        <v>80</v>
      </c>
      <c r="C7" s="2" t="s">
        <v>81</v>
      </c>
      <c r="D7" s="6">
        <v>2025</v>
      </c>
      <c r="E7" s="2" t="s">
        <v>82</v>
      </c>
      <c r="F7" s="2" t="s">
        <v>83</v>
      </c>
      <c r="G7" s="2" t="s">
        <v>84</v>
      </c>
      <c r="H7" s="2" t="s">
        <v>85</v>
      </c>
      <c r="I7" s="2" t="s">
        <v>84</v>
      </c>
      <c r="J7" s="10">
        <v>0.86</v>
      </c>
      <c r="K7" s="2"/>
      <c r="L7" s="2" t="s">
        <v>107</v>
      </c>
      <c r="M7" s="2" t="s">
        <v>87</v>
      </c>
      <c r="N7" s="2" t="s">
        <v>88</v>
      </c>
      <c r="O7" s="2" t="s">
        <v>84</v>
      </c>
      <c r="P7" s="2" t="s">
        <v>84</v>
      </c>
      <c r="Q7" s="5" t="s">
        <v>89</v>
      </c>
      <c r="R7" s="21">
        <v>0.5</v>
      </c>
      <c r="S7" s="2" t="s">
        <v>90</v>
      </c>
      <c r="T7" s="3">
        <v>69</v>
      </c>
      <c r="U7" s="3">
        <v>2</v>
      </c>
      <c r="V7" s="3">
        <v>3</v>
      </c>
      <c r="W7" s="3"/>
      <c r="X7" s="3"/>
      <c r="Y7" s="2"/>
      <c r="Z7" s="2"/>
      <c r="AA7" s="2"/>
      <c r="AB7" s="2"/>
      <c r="AC7" s="3"/>
      <c r="AD7" s="3"/>
      <c r="AE7" s="3"/>
      <c r="AF7" s="2"/>
      <c r="AG7" s="2"/>
      <c r="AH7" s="2"/>
      <c r="AI7" s="3"/>
      <c r="AJ7" s="3"/>
      <c r="AK7" s="2"/>
      <c r="AL7" s="2"/>
      <c r="AM7" s="2"/>
      <c r="AN7" s="2"/>
      <c r="AO7" s="2"/>
      <c r="AP7" s="2"/>
      <c r="AQ7" s="2"/>
      <c r="AR7" s="2"/>
      <c r="AS7" s="2"/>
      <c r="AT7" s="2"/>
      <c r="AU7" s="3"/>
      <c r="AV7" s="3"/>
      <c r="AW7" s="2"/>
      <c r="AX7" s="2"/>
      <c r="AY7" s="2"/>
      <c r="AZ7" s="2"/>
      <c r="BA7" s="3">
        <v>0.35</v>
      </c>
      <c r="BB7" s="3">
        <v>0.06</v>
      </c>
      <c r="BC7" s="5" t="s">
        <v>91</v>
      </c>
      <c r="BD7" s="2" t="s">
        <v>92</v>
      </c>
      <c r="BE7" s="3">
        <v>25</v>
      </c>
      <c r="BF7" s="19">
        <v>0.75</v>
      </c>
      <c r="BG7" s="6">
        <v>3</v>
      </c>
      <c r="BH7" s="2" t="s">
        <v>93</v>
      </c>
      <c r="BI7" s="2"/>
      <c r="BJ7" s="2"/>
      <c r="BK7" s="2"/>
      <c r="BL7" s="2"/>
      <c r="BM7" s="2"/>
      <c r="BN7" s="3"/>
      <c r="BO7" s="2"/>
      <c r="BP7" s="2"/>
      <c r="BQ7" s="2"/>
      <c r="BR7" s="3"/>
      <c r="BS7" s="2"/>
      <c r="BT7" s="2" t="s">
        <v>94</v>
      </c>
      <c r="BU7" s="5" t="s">
        <v>95</v>
      </c>
      <c r="BV7" s="2" t="s">
        <v>96</v>
      </c>
      <c r="BW7" s="2" t="s">
        <v>97</v>
      </c>
      <c r="BX7" s="2" t="s">
        <v>98</v>
      </c>
      <c r="BY7" s="2" t="s">
        <v>99</v>
      </c>
      <c r="BZ7" s="2" t="s">
        <v>100</v>
      </c>
      <c r="CA7" s="5" t="s">
        <v>101</v>
      </c>
      <c r="CB7" s="2" t="s">
        <v>102</v>
      </c>
    </row>
    <row r="8" spans="1:80" ht="172.9">
      <c r="A8" s="2">
        <v>1</v>
      </c>
      <c r="B8" s="2" t="s">
        <v>80</v>
      </c>
      <c r="C8" s="2" t="s">
        <v>81</v>
      </c>
      <c r="D8" s="6">
        <v>2025</v>
      </c>
      <c r="E8" s="2" t="s">
        <v>82</v>
      </c>
      <c r="F8" s="2" t="s">
        <v>83</v>
      </c>
      <c r="G8" s="2" t="s">
        <v>84</v>
      </c>
      <c r="H8" s="2" t="s">
        <v>85</v>
      </c>
      <c r="I8" s="2" t="s">
        <v>84</v>
      </c>
      <c r="J8" s="10">
        <v>0.86</v>
      </c>
      <c r="K8" s="2"/>
      <c r="L8" s="2" t="s">
        <v>108</v>
      </c>
      <c r="M8" s="2" t="s">
        <v>87</v>
      </c>
      <c r="N8" s="2" t="s">
        <v>88</v>
      </c>
      <c r="O8" s="2" t="s">
        <v>84</v>
      </c>
      <c r="P8" s="2" t="s">
        <v>84</v>
      </c>
      <c r="Q8" s="5" t="s">
        <v>89</v>
      </c>
      <c r="R8" s="21">
        <v>0.5</v>
      </c>
      <c r="S8" s="2" t="s">
        <v>90</v>
      </c>
      <c r="T8" s="3">
        <v>76</v>
      </c>
      <c r="U8" s="3">
        <v>4</v>
      </c>
      <c r="V8" s="3">
        <v>3</v>
      </c>
      <c r="W8" s="3"/>
      <c r="X8" s="3"/>
      <c r="Y8" s="2"/>
      <c r="Z8" s="2"/>
      <c r="AA8" s="2"/>
      <c r="AB8" s="2"/>
      <c r="AC8" s="3"/>
      <c r="AD8" s="3"/>
      <c r="AE8" s="3"/>
      <c r="AF8" s="2"/>
      <c r="AG8" s="2"/>
      <c r="AH8" s="2"/>
      <c r="AI8" s="3"/>
      <c r="AJ8" s="3"/>
      <c r="AK8" s="2"/>
      <c r="AL8" s="2"/>
      <c r="AM8" s="2"/>
      <c r="AN8" s="2"/>
      <c r="AO8" s="2"/>
      <c r="AP8" s="2"/>
      <c r="AQ8" s="2"/>
      <c r="AR8" s="2"/>
      <c r="AS8" s="2"/>
      <c r="AT8" s="2"/>
      <c r="AU8" s="3"/>
      <c r="AV8" s="3"/>
      <c r="AW8" s="2"/>
      <c r="AX8" s="2"/>
      <c r="AY8" s="2"/>
      <c r="AZ8" s="2"/>
      <c r="BA8" s="3">
        <v>0.8</v>
      </c>
      <c r="BB8" s="3">
        <v>0.04</v>
      </c>
      <c r="BC8" s="5" t="s">
        <v>91</v>
      </c>
      <c r="BD8" s="2" t="s">
        <v>92</v>
      </c>
      <c r="BE8" s="3">
        <v>25</v>
      </c>
      <c r="BF8" s="19">
        <v>0.75</v>
      </c>
      <c r="BG8" s="6">
        <v>3</v>
      </c>
      <c r="BH8" s="2" t="s">
        <v>93</v>
      </c>
      <c r="BI8" s="2"/>
      <c r="BJ8" s="2"/>
      <c r="BK8" s="2"/>
      <c r="BL8" s="2"/>
      <c r="BM8" s="2"/>
      <c r="BN8" s="3"/>
      <c r="BO8" s="2"/>
      <c r="BP8" s="2"/>
      <c r="BQ8" s="2"/>
      <c r="BR8" s="3"/>
      <c r="BS8" s="2"/>
      <c r="BT8" s="2" t="s">
        <v>94</v>
      </c>
      <c r="BU8" s="5" t="s">
        <v>95</v>
      </c>
      <c r="BV8" s="2" t="s">
        <v>96</v>
      </c>
      <c r="BW8" s="2" t="s">
        <v>97</v>
      </c>
      <c r="BX8" s="2" t="s">
        <v>98</v>
      </c>
      <c r="BY8" s="2" t="s">
        <v>99</v>
      </c>
      <c r="BZ8" s="2" t="s">
        <v>100</v>
      </c>
      <c r="CA8" s="5" t="s">
        <v>101</v>
      </c>
      <c r="CB8" s="2" t="s">
        <v>102</v>
      </c>
    </row>
    <row r="9" spans="1:80" ht="172.9">
      <c r="A9" s="2">
        <v>1</v>
      </c>
      <c r="B9" s="2" t="s">
        <v>80</v>
      </c>
      <c r="C9" s="2" t="s">
        <v>81</v>
      </c>
      <c r="D9" s="6">
        <v>2025</v>
      </c>
      <c r="E9" s="2" t="s">
        <v>82</v>
      </c>
      <c r="F9" s="2" t="s">
        <v>83</v>
      </c>
      <c r="G9" s="2" t="s">
        <v>84</v>
      </c>
      <c r="H9" s="2" t="s">
        <v>85</v>
      </c>
      <c r="I9" s="2" t="s">
        <v>84</v>
      </c>
      <c r="J9" s="10">
        <v>0.86</v>
      </c>
      <c r="K9" s="2"/>
      <c r="L9" s="2" t="s">
        <v>109</v>
      </c>
      <c r="M9" s="2" t="s">
        <v>87</v>
      </c>
      <c r="N9" s="2" t="s">
        <v>88</v>
      </c>
      <c r="O9" s="2" t="s">
        <v>84</v>
      </c>
      <c r="P9" s="2" t="s">
        <v>84</v>
      </c>
      <c r="Q9" s="5" t="s">
        <v>89</v>
      </c>
      <c r="R9" s="21">
        <v>0.5</v>
      </c>
      <c r="S9" s="2" t="s">
        <v>90</v>
      </c>
      <c r="T9" s="3">
        <v>95</v>
      </c>
      <c r="U9" s="3">
        <v>5</v>
      </c>
      <c r="V9" s="3">
        <v>3</v>
      </c>
      <c r="W9" s="3"/>
      <c r="X9" s="3"/>
      <c r="Y9" s="2"/>
      <c r="Z9" s="2"/>
      <c r="AA9" s="2"/>
      <c r="AB9" s="2"/>
      <c r="AC9" s="3"/>
      <c r="AD9" s="3"/>
      <c r="AE9" s="3"/>
      <c r="AF9" s="2"/>
      <c r="AG9" s="2"/>
      <c r="AH9" s="2"/>
      <c r="AI9" s="3"/>
      <c r="AJ9" s="3"/>
      <c r="AK9" s="2"/>
      <c r="AL9" s="2"/>
      <c r="AM9" s="2"/>
      <c r="AN9" s="2"/>
      <c r="AO9" s="2"/>
      <c r="AP9" s="2"/>
      <c r="AQ9" s="2"/>
      <c r="AR9" s="2"/>
      <c r="AS9" s="2"/>
      <c r="AT9" s="2"/>
      <c r="AU9" s="3"/>
      <c r="AV9" s="3"/>
      <c r="AW9" s="2"/>
      <c r="AX9" s="2"/>
      <c r="AY9" s="2"/>
      <c r="AZ9" s="2"/>
      <c r="BA9" s="3">
        <v>0.75</v>
      </c>
      <c r="BB9" s="3">
        <v>0.03</v>
      </c>
      <c r="BC9" s="5" t="s">
        <v>91</v>
      </c>
      <c r="BD9" s="2" t="s">
        <v>92</v>
      </c>
      <c r="BE9" s="3">
        <v>25</v>
      </c>
      <c r="BF9" s="19">
        <v>0.75</v>
      </c>
      <c r="BG9" s="6">
        <v>3</v>
      </c>
      <c r="BH9" s="2" t="s">
        <v>93</v>
      </c>
      <c r="BI9" s="2"/>
      <c r="BJ9" s="2"/>
      <c r="BK9" s="2"/>
      <c r="BL9" s="2"/>
      <c r="BM9" s="2"/>
      <c r="BN9" s="3"/>
      <c r="BO9" s="2"/>
      <c r="BP9" s="2"/>
      <c r="BQ9" s="2"/>
      <c r="BR9" s="3"/>
      <c r="BS9" s="2"/>
      <c r="BT9" s="2" t="s">
        <v>94</v>
      </c>
      <c r="BU9" s="5" t="s">
        <v>95</v>
      </c>
      <c r="BV9" s="2" t="s">
        <v>96</v>
      </c>
      <c r="BW9" s="2" t="s">
        <v>97</v>
      </c>
      <c r="BX9" s="2" t="s">
        <v>98</v>
      </c>
      <c r="BY9" s="2" t="s">
        <v>99</v>
      </c>
      <c r="BZ9" s="2" t="s">
        <v>100</v>
      </c>
      <c r="CA9" s="5" t="s">
        <v>101</v>
      </c>
      <c r="CB9" s="2"/>
    </row>
    <row r="10" spans="1:80" ht="172.9">
      <c r="A10" s="2">
        <v>1</v>
      </c>
      <c r="B10" s="2" t="s">
        <v>80</v>
      </c>
      <c r="C10" s="2" t="s">
        <v>81</v>
      </c>
      <c r="D10" s="6">
        <v>2025</v>
      </c>
      <c r="E10" s="2" t="s">
        <v>82</v>
      </c>
      <c r="F10" s="2" t="s">
        <v>83</v>
      </c>
      <c r="G10" s="2" t="s">
        <v>84</v>
      </c>
      <c r="H10" s="2" t="s">
        <v>85</v>
      </c>
      <c r="I10" s="2" t="s">
        <v>84</v>
      </c>
      <c r="J10" s="10">
        <v>0.86</v>
      </c>
      <c r="K10" s="2"/>
      <c r="L10" s="2" t="s">
        <v>110</v>
      </c>
      <c r="M10" s="2" t="s">
        <v>87</v>
      </c>
      <c r="N10" s="2" t="s">
        <v>88</v>
      </c>
      <c r="O10" s="2" t="s">
        <v>84</v>
      </c>
      <c r="P10" s="2" t="s">
        <v>84</v>
      </c>
      <c r="Q10" s="5" t="s">
        <v>89</v>
      </c>
      <c r="R10" s="21">
        <v>0.5</v>
      </c>
      <c r="S10" s="2" t="s">
        <v>90</v>
      </c>
      <c r="T10" s="3">
        <v>84</v>
      </c>
      <c r="U10" s="3">
        <v>9</v>
      </c>
      <c r="V10" s="3">
        <v>3</v>
      </c>
      <c r="W10" s="3"/>
      <c r="X10" s="3"/>
      <c r="Y10" s="2"/>
      <c r="Z10" s="2"/>
      <c r="AA10" s="2"/>
      <c r="AB10" s="2"/>
      <c r="AC10" s="3"/>
      <c r="AD10" s="3"/>
      <c r="AE10" s="3"/>
      <c r="AF10" s="2"/>
      <c r="AG10" s="2"/>
      <c r="AH10" s="2"/>
      <c r="AI10" s="3"/>
      <c r="AJ10" s="3"/>
      <c r="AK10" s="2"/>
      <c r="AL10" s="2"/>
      <c r="AM10" s="2"/>
      <c r="AN10" s="2"/>
      <c r="AO10" s="2"/>
      <c r="AP10" s="2"/>
      <c r="AQ10" s="2"/>
      <c r="AR10" s="2"/>
      <c r="AS10" s="2"/>
      <c r="AT10" s="2"/>
      <c r="AU10" s="3"/>
      <c r="AV10" s="3"/>
      <c r="AW10" s="2"/>
      <c r="AX10" s="2"/>
      <c r="AY10" s="2"/>
      <c r="AZ10" s="2"/>
      <c r="BA10" s="3">
        <v>0.71</v>
      </c>
      <c r="BB10" s="3">
        <v>0.05</v>
      </c>
      <c r="BC10" s="5" t="s">
        <v>91</v>
      </c>
      <c r="BD10" s="2" t="s">
        <v>92</v>
      </c>
      <c r="BE10" s="3">
        <v>25</v>
      </c>
      <c r="BF10" s="19">
        <v>0.75</v>
      </c>
      <c r="BG10" s="6">
        <v>3</v>
      </c>
      <c r="BH10" s="2" t="s">
        <v>93</v>
      </c>
      <c r="BI10" s="2"/>
      <c r="BJ10" s="2"/>
      <c r="BK10" s="2"/>
      <c r="BL10" s="2"/>
      <c r="BM10" s="2"/>
      <c r="BN10" s="3"/>
      <c r="BO10" s="2"/>
      <c r="BP10" s="2"/>
      <c r="BQ10" s="2"/>
      <c r="BR10" s="3"/>
      <c r="BS10" s="2"/>
      <c r="BT10" s="2" t="s">
        <v>94</v>
      </c>
      <c r="BU10" s="5" t="s">
        <v>95</v>
      </c>
      <c r="BV10" s="2" t="s">
        <v>96</v>
      </c>
      <c r="BW10" s="2" t="s">
        <v>97</v>
      </c>
      <c r="BX10" s="2" t="s">
        <v>98</v>
      </c>
      <c r="BY10" s="2" t="s">
        <v>99</v>
      </c>
      <c r="BZ10" s="2" t="s">
        <v>100</v>
      </c>
      <c r="CA10" s="5" t="s">
        <v>101</v>
      </c>
      <c r="CB10" s="2"/>
    </row>
    <row r="11" spans="1:80" ht="72" hidden="1">
      <c r="A11" s="2">
        <v>2</v>
      </c>
      <c r="B11" s="2" t="s">
        <v>111</v>
      </c>
      <c r="C11" s="2" t="s">
        <v>112</v>
      </c>
      <c r="D11" s="6">
        <v>2025</v>
      </c>
      <c r="E11" s="2" t="s">
        <v>113</v>
      </c>
      <c r="F11" s="2" t="s">
        <v>114</v>
      </c>
      <c r="G11" s="2" t="s">
        <v>84</v>
      </c>
      <c r="H11" s="2" t="s">
        <v>85</v>
      </c>
      <c r="I11" s="2" t="s">
        <v>100</v>
      </c>
      <c r="J11" s="3"/>
      <c r="K11" s="2" t="s">
        <v>115</v>
      </c>
      <c r="L11" s="2"/>
      <c r="M11" s="2"/>
      <c r="N11" s="2"/>
      <c r="O11" s="2"/>
      <c r="P11" s="2"/>
      <c r="Q11" s="2"/>
      <c r="R11" s="2"/>
      <c r="S11" s="2"/>
      <c r="T11" s="3"/>
      <c r="U11" s="3"/>
      <c r="V11" s="3"/>
      <c r="W11" s="3"/>
      <c r="X11" s="3"/>
      <c r="Y11" s="2"/>
      <c r="Z11" s="2"/>
      <c r="AA11" s="2"/>
      <c r="AB11" s="2"/>
      <c r="AC11" s="3"/>
      <c r="AD11" s="3"/>
      <c r="AE11" s="3"/>
      <c r="AF11" s="2"/>
      <c r="AG11" s="2"/>
      <c r="AH11" s="2"/>
      <c r="AI11" s="3"/>
      <c r="AJ11" s="3"/>
      <c r="AK11" s="2"/>
      <c r="AL11" s="2"/>
      <c r="AM11" s="2"/>
      <c r="AN11" s="2"/>
      <c r="AO11" s="2"/>
      <c r="AP11" s="2"/>
      <c r="AQ11" s="2"/>
      <c r="AR11" s="2"/>
      <c r="AS11" s="2"/>
      <c r="AT11" s="2"/>
      <c r="AU11" s="3"/>
      <c r="AV11" s="3"/>
      <c r="AW11" s="2"/>
      <c r="AX11" s="2"/>
      <c r="AY11" s="2"/>
      <c r="AZ11" s="2"/>
      <c r="BA11" s="3"/>
      <c r="BB11" s="3"/>
      <c r="BC11" s="2"/>
      <c r="BD11" s="2"/>
      <c r="BE11" s="3"/>
      <c r="BF11" s="19"/>
      <c r="BG11" s="6"/>
      <c r="BH11" s="2"/>
      <c r="BI11" s="2"/>
      <c r="BJ11" s="2"/>
      <c r="BK11" s="2"/>
      <c r="BL11" s="2"/>
      <c r="BM11" s="2"/>
      <c r="BN11" s="3"/>
      <c r="BO11" s="2"/>
      <c r="BP11" s="2"/>
      <c r="BQ11" s="2"/>
      <c r="BR11" s="3"/>
      <c r="BS11" s="2"/>
      <c r="BT11" s="2"/>
      <c r="BU11" s="2"/>
      <c r="BV11" s="2"/>
      <c r="BW11" s="2"/>
      <c r="BX11" s="2"/>
      <c r="BY11" s="2" t="s">
        <v>99</v>
      </c>
      <c r="BZ11" s="2"/>
      <c r="CA11" s="2"/>
      <c r="CB11" s="2"/>
    </row>
    <row r="12" spans="1:80" ht="72" hidden="1">
      <c r="A12" s="2">
        <v>3</v>
      </c>
      <c r="B12" s="2" t="s">
        <v>116</v>
      </c>
      <c r="C12" s="2" t="s">
        <v>117</v>
      </c>
      <c r="D12" s="6">
        <v>2025</v>
      </c>
      <c r="E12" s="2" t="s">
        <v>118</v>
      </c>
      <c r="F12" s="2" t="s">
        <v>119</v>
      </c>
      <c r="G12" s="2" t="s">
        <v>84</v>
      </c>
      <c r="H12" s="2" t="s">
        <v>85</v>
      </c>
      <c r="I12" s="2" t="s">
        <v>100</v>
      </c>
      <c r="J12" s="3"/>
      <c r="K12" s="2" t="s">
        <v>115</v>
      </c>
      <c r="L12" s="2"/>
      <c r="M12" s="2"/>
      <c r="N12" s="2"/>
      <c r="O12" s="2"/>
      <c r="P12" s="2"/>
      <c r="Q12" s="2"/>
      <c r="R12" s="2"/>
      <c r="S12" s="2"/>
      <c r="T12" s="3"/>
      <c r="U12" s="3"/>
      <c r="V12" s="3"/>
      <c r="W12" s="3"/>
      <c r="X12" s="3"/>
      <c r="Y12" s="2"/>
      <c r="Z12" s="2"/>
      <c r="AA12" s="2"/>
      <c r="AB12" s="2"/>
      <c r="AC12" s="3"/>
      <c r="AD12" s="3"/>
      <c r="AE12" s="3"/>
      <c r="AF12" s="2"/>
      <c r="AG12" s="2"/>
      <c r="AH12" s="2"/>
      <c r="AI12" s="3"/>
      <c r="AJ12" s="3"/>
      <c r="AK12" s="2"/>
      <c r="AL12" s="2"/>
      <c r="AM12" s="2"/>
      <c r="AN12" s="2"/>
      <c r="AO12" s="2"/>
      <c r="AP12" s="2"/>
      <c r="AQ12" s="2"/>
      <c r="AR12" s="2"/>
      <c r="AS12" s="2"/>
      <c r="AT12" s="2"/>
      <c r="AU12" s="3"/>
      <c r="AV12" s="3"/>
      <c r="AW12" s="2"/>
      <c r="AX12" s="2"/>
      <c r="AY12" s="2"/>
      <c r="AZ12" s="2"/>
      <c r="BA12" s="3"/>
      <c r="BB12" s="3"/>
      <c r="BC12" s="2"/>
      <c r="BD12" s="2"/>
      <c r="BE12" s="3"/>
      <c r="BF12" s="19"/>
      <c r="BG12" s="6"/>
      <c r="BH12" s="2"/>
      <c r="BI12" s="2"/>
      <c r="BJ12" s="2"/>
      <c r="BK12" s="2"/>
      <c r="BL12" s="2"/>
      <c r="BM12" s="2"/>
      <c r="BN12" s="3"/>
      <c r="BO12" s="2"/>
      <c r="BP12" s="2"/>
      <c r="BQ12" s="2"/>
      <c r="BR12" s="3"/>
      <c r="BS12" s="2"/>
      <c r="BT12" s="2"/>
      <c r="BU12" s="2"/>
      <c r="BV12" s="2"/>
      <c r="BW12" s="2"/>
      <c r="BX12" s="2"/>
      <c r="BY12" s="2" t="s">
        <v>99</v>
      </c>
      <c r="BZ12" s="2"/>
      <c r="CA12" s="2"/>
      <c r="CB12" s="2"/>
    </row>
    <row r="13" spans="1:80" ht="57.6" hidden="1">
      <c r="A13">
        <v>4</v>
      </c>
      <c r="B13" t="s">
        <v>120</v>
      </c>
      <c r="C13" t="s">
        <v>121</v>
      </c>
      <c r="D13" s="6">
        <v>2025</v>
      </c>
      <c r="E13" t="s">
        <v>122</v>
      </c>
      <c r="F13" t="s">
        <v>123</v>
      </c>
      <c r="G13" s="2" t="s">
        <v>84</v>
      </c>
      <c r="H13" s="2" t="s">
        <v>85</v>
      </c>
      <c r="I13" s="2" t="s">
        <v>100</v>
      </c>
      <c r="J13" s="3"/>
      <c r="K13" s="2" t="s">
        <v>115</v>
      </c>
      <c r="T13" s="3"/>
      <c r="U13" s="3"/>
      <c r="V13" s="3"/>
      <c r="W13" s="3"/>
      <c r="X13" s="3"/>
      <c r="AC13" s="3"/>
      <c r="AD13" s="3"/>
      <c r="AE13" s="3"/>
      <c r="AI13" s="3"/>
      <c r="AJ13" s="3"/>
      <c r="AU13" s="3"/>
      <c r="AV13" s="3"/>
      <c r="BA13" s="3"/>
      <c r="BB13" s="3"/>
      <c r="BE13" s="3"/>
      <c r="BF13" s="19"/>
      <c r="BG13" s="6"/>
      <c r="BN13" s="3"/>
      <c r="BR13" s="3"/>
      <c r="BY13" s="2" t="s">
        <v>99</v>
      </c>
    </row>
    <row r="14" spans="1:80" ht="345.6">
      <c r="A14" s="5">
        <v>5</v>
      </c>
      <c r="B14" s="5" t="s">
        <v>124</v>
      </c>
      <c r="C14" s="5" t="s">
        <v>125</v>
      </c>
      <c r="D14" s="6">
        <v>2025</v>
      </c>
      <c r="E14" s="5" t="s">
        <v>126</v>
      </c>
      <c r="F14" s="5" t="s">
        <v>127</v>
      </c>
      <c r="G14" s="2" t="s">
        <v>84</v>
      </c>
      <c r="H14" s="2" t="s">
        <v>85</v>
      </c>
      <c r="I14" s="2" t="s">
        <v>84</v>
      </c>
      <c r="J14" s="10">
        <v>0.86</v>
      </c>
      <c r="K14" s="5"/>
      <c r="L14" s="5" t="s">
        <v>128</v>
      </c>
      <c r="M14" s="2" t="s">
        <v>128</v>
      </c>
      <c r="N14" s="5" t="s">
        <v>129</v>
      </c>
      <c r="O14" s="2" t="s">
        <v>84</v>
      </c>
      <c r="P14" s="2" t="s">
        <v>84</v>
      </c>
      <c r="Q14" s="5" t="s">
        <v>100</v>
      </c>
      <c r="R14" s="21">
        <v>0</v>
      </c>
      <c r="S14" s="5" t="s">
        <v>90</v>
      </c>
      <c r="T14" s="3">
        <v>390</v>
      </c>
      <c r="U14" s="3">
        <v>39</v>
      </c>
      <c r="V14" s="3">
        <v>3</v>
      </c>
      <c r="W14" s="3"/>
      <c r="X14" s="3"/>
      <c r="Y14" s="5"/>
      <c r="Z14" s="5"/>
      <c r="AA14" s="5"/>
      <c r="AB14" s="5"/>
      <c r="AC14" s="3"/>
      <c r="AD14" s="3"/>
      <c r="AE14" s="3"/>
      <c r="AF14" s="5"/>
      <c r="AG14" s="5"/>
      <c r="AH14" s="5"/>
      <c r="AI14" s="3"/>
      <c r="AJ14" s="3"/>
      <c r="AK14" s="5"/>
      <c r="AL14" s="5"/>
      <c r="AM14" s="5"/>
      <c r="AN14" s="5"/>
      <c r="AO14" s="5"/>
      <c r="AP14" s="5"/>
      <c r="AQ14" s="5"/>
      <c r="AR14" s="5"/>
      <c r="AS14" s="5"/>
      <c r="AT14" s="5"/>
      <c r="AU14" s="3"/>
      <c r="AV14" s="3"/>
      <c r="AW14" s="5"/>
      <c r="AX14" s="5"/>
      <c r="AY14" s="5"/>
      <c r="AZ14" s="5"/>
      <c r="BA14" s="3">
        <v>1.4499999999999999E-10</v>
      </c>
      <c r="BB14" s="3">
        <v>4.7999999999999997E-12</v>
      </c>
      <c r="BC14" s="5" t="s">
        <v>130</v>
      </c>
      <c r="BD14" s="5" t="s">
        <v>92</v>
      </c>
      <c r="BE14" s="3">
        <v>25</v>
      </c>
      <c r="BF14" s="19">
        <v>0.52800000000000002</v>
      </c>
      <c r="BG14" s="6">
        <v>3</v>
      </c>
      <c r="BH14" s="5" t="s">
        <v>131</v>
      </c>
      <c r="BI14" s="5"/>
      <c r="BJ14" s="5"/>
      <c r="BK14" s="5"/>
      <c r="BL14" s="5"/>
      <c r="BM14" s="5"/>
      <c r="BN14" s="3"/>
      <c r="BO14" s="5"/>
      <c r="BP14" s="5"/>
      <c r="BQ14" s="5"/>
      <c r="BR14" s="3"/>
      <c r="BS14" s="5"/>
      <c r="BT14" s="22">
        <v>1E-8</v>
      </c>
      <c r="BU14" s="5" t="s">
        <v>132</v>
      </c>
      <c r="BV14" s="5" t="s">
        <v>96</v>
      </c>
      <c r="BW14" s="5" t="s">
        <v>133</v>
      </c>
      <c r="BX14" s="5" t="s">
        <v>98</v>
      </c>
      <c r="BY14" s="2" t="s">
        <v>99</v>
      </c>
      <c r="BZ14" s="5" t="s">
        <v>100</v>
      </c>
      <c r="CA14" s="14" t="s">
        <v>134</v>
      </c>
      <c r="CB14" s="5"/>
    </row>
    <row r="15" spans="1:80" ht="187.15" hidden="1">
      <c r="A15" s="2">
        <v>6</v>
      </c>
      <c r="B15" s="2" t="s">
        <v>135</v>
      </c>
      <c r="C15" s="2" t="s">
        <v>136</v>
      </c>
      <c r="D15" s="6">
        <v>2025</v>
      </c>
      <c r="E15" s="2" t="s">
        <v>137</v>
      </c>
      <c r="F15" s="2" t="s">
        <v>138</v>
      </c>
      <c r="G15" s="2" t="s">
        <v>84</v>
      </c>
      <c r="H15" s="2" t="s">
        <v>85</v>
      </c>
      <c r="I15" s="2" t="s">
        <v>84</v>
      </c>
      <c r="J15" s="3">
        <v>0.79</v>
      </c>
      <c r="K15" s="2"/>
      <c r="L15" s="5" t="s">
        <v>139</v>
      </c>
      <c r="M15" s="5" t="s">
        <v>140</v>
      </c>
      <c r="N15" s="2" t="s">
        <v>141</v>
      </c>
      <c r="O15" s="2" t="s">
        <v>84</v>
      </c>
      <c r="P15" s="2" t="s">
        <v>84</v>
      </c>
      <c r="Q15" s="2" t="s">
        <v>142</v>
      </c>
      <c r="R15" s="19">
        <v>0.84</v>
      </c>
      <c r="S15" s="2"/>
      <c r="T15" s="3">
        <v>114.2</v>
      </c>
      <c r="U15" s="3">
        <v>5.01</v>
      </c>
      <c r="V15" s="3">
        <v>5</v>
      </c>
      <c r="W15" s="3"/>
      <c r="X15" s="3"/>
      <c r="Y15" s="2"/>
      <c r="Z15" s="5"/>
      <c r="AA15" s="5"/>
      <c r="AB15" s="5"/>
      <c r="AC15" s="3"/>
      <c r="AD15" s="5" t="s">
        <v>143</v>
      </c>
      <c r="AE15" s="5" t="s">
        <v>144</v>
      </c>
      <c r="AF15" s="2" t="s">
        <v>145</v>
      </c>
      <c r="AG15" s="2">
        <v>23</v>
      </c>
      <c r="AH15" s="2">
        <v>20.399999999999999</v>
      </c>
      <c r="AI15" s="3"/>
      <c r="AJ15" s="3"/>
      <c r="AK15" s="2"/>
      <c r="AL15" s="2"/>
      <c r="AM15" s="2"/>
      <c r="AN15" s="2"/>
      <c r="AO15" s="2"/>
      <c r="AP15" s="2"/>
      <c r="AQ15" s="2"/>
      <c r="AR15" s="2"/>
      <c r="AS15" s="2"/>
      <c r="AT15" s="2"/>
      <c r="AU15" s="3">
        <v>26.34</v>
      </c>
      <c r="AV15" s="3">
        <v>2.16</v>
      </c>
      <c r="AW15" s="5" t="s">
        <v>146</v>
      </c>
      <c r="AX15" s="2" t="s">
        <v>147</v>
      </c>
      <c r="AY15" s="2">
        <v>38</v>
      </c>
      <c r="AZ15" s="2">
        <v>90</v>
      </c>
      <c r="BA15" s="3"/>
      <c r="BB15" s="3"/>
      <c r="BC15" s="2"/>
      <c r="BD15" s="2"/>
      <c r="BE15" s="3"/>
      <c r="BF15" s="19"/>
      <c r="BG15" s="6">
        <v>5</v>
      </c>
      <c r="BH15" s="2"/>
      <c r="BI15" s="2"/>
      <c r="BJ15" s="2"/>
      <c r="BK15" s="2"/>
      <c r="BL15" s="2"/>
      <c r="BM15" s="2"/>
      <c r="BN15" s="3"/>
      <c r="BO15" s="2"/>
      <c r="BP15" s="2"/>
      <c r="BQ15" s="2"/>
      <c r="BR15" s="3"/>
      <c r="BS15" s="2"/>
      <c r="BT15" s="2"/>
      <c r="BU15" s="2"/>
      <c r="BV15" s="2"/>
      <c r="BW15" s="2"/>
      <c r="BX15" s="2" t="s">
        <v>98</v>
      </c>
      <c r="BY15" s="2" t="s">
        <v>99</v>
      </c>
      <c r="BZ15" s="2" t="s">
        <v>100</v>
      </c>
      <c r="CA15" s="2" t="s">
        <v>148</v>
      </c>
      <c r="CB15" s="2"/>
    </row>
    <row r="16" spans="1:80" ht="187.15" hidden="1">
      <c r="A16" s="2">
        <v>6</v>
      </c>
      <c r="B16" s="2" t="s">
        <v>135</v>
      </c>
      <c r="C16" s="2" t="s">
        <v>136</v>
      </c>
      <c r="D16" s="6">
        <v>2025</v>
      </c>
      <c r="E16" s="2" t="s">
        <v>137</v>
      </c>
      <c r="F16" s="2" t="s">
        <v>138</v>
      </c>
      <c r="G16" s="2" t="s">
        <v>84</v>
      </c>
      <c r="H16" s="2" t="s">
        <v>85</v>
      </c>
      <c r="I16" s="2" t="s">
        <v>84</v>
      </c>
      <c r="J16" s="3">
        <v>0.79</v>
      </c>
      <c r="K16" s="2"/>
      <c r="L16" s="5" t="s">
        <v>149</v>
      </c>
      <c r="M16" s="5" t="s">
        <v>140</v>
      </c>
      <c r="N16" s="2" t="s">
        <v>141</v>
      </c>
      <c r="O16" s="2" t="s">
        <v>84</v>
      </c>
      <c r="P16" s="2" t="s">
        <v>84</v>
      </c>
      <c r="Q16" s="2" t="s">
        <v>89</v>
      </c>
      <c r="R16" s="19">
        <v>0.84</v>
      </c>
      <c r="S16" s="2" t="s">
        <v>90</v>
      </c>
      <c r="T16" s="3">
        <v>119.83</v>
      </c>
      <c r="U16" s="3">
        <v>14.13</v>
      </c>
      <c r="V16" s="3">
        <v>5</v>
      </c>
      <c r="W16" s="3"/>
      <c r="X16" s="3"/>
      <c r="Y16" s="2"/>
      <c r="Z16" s="5"/>
      <c r="AA16" s="5"/>
      <c r="AB16" s="5"/>
      <c r="AC16" s="3"/>
      <c r="AD16" s="5" t="s">
        <v>150</v>
      </c>
      <c r="AE16" s="5" t="s">
        <v>144</v>
      </c>
      <c r="AF16" s="2" t="s">
        <v>145</v>
      </c>
      <c r="AG16" s="2">
        <v>23</v>
      </c>
      <c r="AH16" s="2">
        <v>20.399999999999999</v>
      </c>
      <c r="AI16" s="3"/>
      <c r="AJ16" s="3"/>
      <c r="AK16" s="2"/>
      <c r="AL16" s="2"/>
      <c r="AM16" s="2"/>
      <c r="AN16" s="2"/>
      <c r="AO16" s="2"/>
      <c r="AP16" s="2"/>
      <c r="AQ16" s="2"/>
      <c r="AR16" s="2"/>
      <c r="AS16" s="2"/>
      <c r="AT16" s="2"/>
      <c r="AU16" s="3">
        <v>17.8</v>
      </c>
      <c r="AV16" s="3">
        <v>1.24</v>
      </c>
      <c r="AW16" s="5" t="s">
        <v>146</v>
      </c>
      <c r="AX16" s="2" t="s">
        <v>147</v>
      </c>
      <c r="AY16" s="2">
        <v>38</v>
      </c>
      <c r="AZ16" s="2">
        <v>90</v>
      </c>
      <c r="BA16" s="3"/>
      <c r="BB16" s="3"/>
      <c r="BC16" s="2"/>
      <c r="BD16" s="2"/>
      <c r="BE16" s="3"/>
      <c r="BF16" s="19"/>
      <c r="BG16" s="6">
        <v>5</v>
      </c>
      <c r="BH16" s="2"/>
      <c r="BI16" s="2"/>
      <c r="BJ16" s="2"/>
      <c r="BK16" s="2"/>
      <c r="BL16" s="2"/>
      <c r="BM16" s="2"/>
      <c r="BN16" s="3"/>
      <c r="BO16" s="2"/>
      <c r="BP16" s="2"/>
      <c r="BQ16" s="2"/>
      <c r="BR16" s="3"/>
      <c r="BS16" s="2"/>
      <c r="BT16" s="2"/>
      <c r="BU16" s="2"/>
      <c r="BV16" s="2"/>
      <c r="BW16" s="2"/>
      <c r="BX16" s="2" t="s">
        <v>98</v>
      </c>
      <c r="BY16" s="2" t="s">
        <v>99</v>
      </c>
      <c r="BZ16" s="2" t="s">
        <v>100</v>
      </c>
      <c r="CA16" s="2" t="s">
        <v>148</v>
      </c>
      <c r="CB16" s="2"/>
    </row>
    <row r="17" spans="1:80" ht="72" hidden="1">
      <c r="A17" s="2">
        <v>7</v>
      </c>
      <c r="B17" s="2" t="s">
        <v>151</v>
      </c>
      <c r="C17" s="2" t="s">
        <v>152</v>
      </c>
      <c r="D17" s="6">
        <v>2025</v>
      </c>
      <c r="E17" s="2" t="s">
        <v>153</v>
      </c>
      <c r="F17" s="2" t="s">
        <v>154</v>
      </c>
      <c r="G17" s="2" t="s">
        <v>84</v>
      </c>
      <c r="H17" s="2" t="s">
        <v>85</v>
      </c>
      <c r="I17" s="2" t="s">
        <v>100</v>
      </c>
      <c r="J17" s="3"/>
      <c r="K17" s="2" t="s">
        <v>155</v>
      </c>
      <c r="L17" s="2"/>
      <c r="M17" s="2"/>
      <c r="N17" s="2"/>
      <c r="O17" s="2"/>
      <c r="P17" s="2"/>
      <c r="Q17" s="2"/>
      <c r="R17" s="2"/>
      <c r="S17" s="2"/>
      <c r="T17" s="3"/>
      <c r="U17" s="3"/>
      <c r="V17" s="3"/>
      <c r="W17" s="3"/>
      <c r="X17" s="3"/>
      <c r="Y17" s="2"/>
      <c r="Z17" s="2"/>
      <c r="AA17" s="2"/>
      <c r="AB17" s="2"/>
      <c r="AC17" s="3"/>
      <c r="AD17" s="3"/>
      <c r="AE17" s="3"/>
      <c r="AF17" s="2"/>
      <c r="AG17" s="2"/>
      <c r="AH17" s="2"/>
      <c r="AI17" s="3"/>
      <c r="AJ17" s="3"/>
      <c r="AK17" s="2"/>
      <c r="AL17" s="2"/>
      <c r="AM17" s="2"/>
      <c r="AN17" s="2"/>
      <c r="AO17" s="2"/>
      <c r="AP17" s="2"/>
      <c r="AQ17" s="2"/>
      <c r="AR17" s="2"/>
      <c r="AS17" s="2"/>
      <c r="AT17" s="2"/>
      <c r="AU17" s="3"/>
      <c r="AV17" s="3"/>
      <c r="AW17" s="2"/>
      <c r="AX17" s="2"/>
      <c r="AY17" s="2"/>
      <c r="AZ17" s="2"/>
      <c r="BA17" s="3"/>
      <c r="BB17" s="3"/>
      <c r="BC17" s="2"/>
      <c r="BD17" s="2"/>
      <c r="BE17" s="3"/>
      <c r="BF17" s="19"/>
      <c r="BG17" s="6"/>
      <c r="BH17" s="2"/>
      <c r="BI17" s="2"/>
      <c r="BJ17" s="2"/>
      <c r="BK17" s="2"/>
      <c r="BL17" s="2"/>
      <c r="BM17" s="2"/>
      <c r="BN17" s="3"/>
      <c r="BO17" s="2"/>
      <c r="BP17" s="2"/>
      <c r="BQ17" s="2"/>
      <c r="BR17" s="3"/>
      <c r="BS17" s="2"/>
      <c r="BT17" s="2"/>
      <c r="BU17" s="2"/>
      <c r="BV17" s="2"/>
      <c r="BW17" s="2"/>
      <c r="BX17" s="2"/>
      <c r="BY17" s="2" t="s">
        <v>99</v>
      </c>
      <c r="BZ17" s="2"/>
      <c r="CA17" s="2"/>
      <c r="CB17" s="2"/>
    </row>
    <row r="18" spans="1:80" ht="72" hidden="1">
      <c r="A18" s="2">
        <v>8</v>
      </c>
      <c r="B18" s="2" t="s">
        <v>156</v>
      </c>
      <c r="C18" s="2" t="s">
        <v>157</v>
      </c>
      <c r="D18" s="6">
        <v>2025</v>
      </c>
      <c r="E18" s="2" t="s">
        <v>158</v>
      </c>
      <c r="F18" s="2" t="s">
        <v>159</v>
      </c>
      <c r="G18" s="2" t="s">
        <v>84</v>
      </c>
      <c r="H18" s="2" t="s">
        <v>85</v>
      </c>
      <c r="I18" s="2" t="s">
        <v>100</v>
      </c>
      <c r="J18" s="3"/>
      <c r="K18" s="2" t="s">
        <v>160</v>
      </c>
      <c r="L18" s="2" t="s">
        <v>140</v>
      </c>
      <c r="M18" s="2"/>
      <c r="N18" s="2" t="s">
        <v>141</v>
      </c>
      <c r="O18" s="2"/>
      <c r="P18" s="2"/>
      <c r="Q18" s="2"/>
      <c r="R18" s="2"/>
      <c r="S18" s="2"/>
      <c r="T18" s="3"/>
      <c r="U18" s="3"/>
      <c r="V18" s="3"/>
      <c r="W18" s="3"/>
      <c r="X18" s="3"/>
      <c r="Y18" s="2"/>
      <c r="Z18" s="2"/>
      <c r="AA18" s="2"/>
      <c r="AB18" s="2"/>
      <c r="AC18" s="3"/>
      <c r="AD18" s="3"/>
      <c r="AE18" s="3"/>
      <c r="AF18" s="2"/>
      <c r="AG18" s="2"/>
      <c r="AH18" s="2"/>
      <c r="AI18" s="3"/>
      <c r="AJ18" s="3"/>
      <c r="AK18" s="2"/>
      <c r="AL18" s="2"/>
      <c r="AM18" s="2"/>
      <c r="AN18" s="2"/>
      <c r="AO18" s="2"/>
      <c r="AP18" s="2"/>
      <c r="AQ18" s="2"/>
      <c r="AR18" s="2"/>
      <c r="AS18" s="2"/>
      <c r="AT18" s="2"/>
      <c r="AU18" s="3"/>
      <c r="AV18" s="3"/>
      <c r="AW18" s="2"/>
      <c r="AX18" s="2"/>
      <c r="AY18" s="2"/>
      <c r="AZ18" s="2"/>
      <c r="BA18" s="3"/>
      <c r="BB18" s="3"/>
      <c r="BC18" s="2"/>
      <c r="BD18" s="2"/>
      <c r="BE18" s="3"/>
      <c r="BF18" s="19"/>
      <c r="BG18" s="6"/>
      <c r="BH18" s="2"/>
      <c r="BI18" s="2"/>
      <c r="BJ18" s="2"/>
      <c r="BK18" s="2"/>
      <c r="BL18" s="2"/>
      <c r="BM18" s="2"/>
      <c r="BN18" s="3"/>
      <c r="BO18" s="2"/>
      <c r="BP18" s="2"/>
      <c r="BQ18" s="2"/>
      <c r="BR18" s="3"/>
      <c r="BS18" s="2"/>
      <c r="BT18" s="2"/>
      <c r="BU18" s="2"/>
      <c r="BV18" s="2"/>
      <c r="BW18" s="2"/>
      <c r="BX18" s="2"/>
      <c r="BY18" s="2" t="s">
        <v>99</v>
      </c>
      <c r="BZ18" s="2"/>
      <c r="CA18" s="2"/>
      <c r="CB18" s="2"/>
    </row>
    <row r="19" spans="1:80" ht="57.6" hidden="1">
      <c r="A19">
        <v>9</v>
      </c>
      <c r="B19" t="s">
        <v>161</v>
      </c>
      <c r="C19" t="s">
        <v>162</v>
      </c>
      <c r="D19" s="6">
        <v>2025</v>
      </c>
      <c r="E19" t="s">
        <v>163</v>
      </c>
      <c r="F19" t="s">
        <v>164</v>
      </c>
      <c r="G19" s="2" t="s">
        <v>84</v>
      </c>
      <c r="H19" s="2" t="s">
        <v>85</v>
      </c>
      <c r="I19" s="2" t="s">
        <v>100</v>
      </c>
      <c r="J19" s="3"/>
      <c r="K19" s="2" t="s">
        <v>115</v>
      </c>
      <c r="T19" s="3"/>
      <c r="U19" s="3"/>
      <c r="V19" s="3"/>
      <c r="W19" s="3"/>
      <c r="X19" s="3"/>
      <c r="AC19" s="3"/>
      <c r="AD19" s="3"/>
      <c r="AE19" s="3"/>
      <c r="AI19" s="3"/>
      <c r="AJ19" s="3"/>
      <c r="AU19" s="3"/>
      <c r="AV19" s="3"/>
      <c r="BA19" s="3"/>
      <c r="BB19" s="3"/>
      <c r="BE19" s="3"/>
      <c r="BF19" s="19"/>
      <c r="BG19" s="6"/>
      <c r="BN19" s="3"/>
      <c r="BR19" s="3"/>
      <c r="BY19" s="2" t="s">
        <v>99</v>
      </c>
    </row>
    <row r="20" spans="1:80" ht="86.45" hidden="1">
      <c r="A20" s="2">
        <v>10</v>
      </c>
      <c r="B20" s="2" t="s">
        <v>165</v>
      </c>
      <c r="C20" s="2" t="s">
        <v>166</v>
      </c>
      <c r="D20" s="6">
        <v>2025</v>
      </c>
      <c r="E20" s="2" t="s">
        <v>167</v>
      </c>
      <c r="F20" s="2" t="s">
        <v>168</v>
      </c>
      <c r="G20" s="2" t="s">
        <v>84</v>
      </c>
      <c r="H20" s="2" t="s">
        <v>85</v>
      </c>
      <c r="I20" s="2" t="s">
        <v>100</v>
      </c>
      <c r="J20" s="3"/>
      <c r="K20" s="2" t="s">
        <v>160</v>
      </c>
      <c r="L20" s="2"/>
      <c r="M20" s="2"/>
      <c r="N20" s="2"/>
      <c r="O20" s="2"/>
      <c r="P20" s="2"/>
      <c r="Q20" s="2"/>
      <c r="R20" s="2"/>
      <c r="S20" s="2"/>
      <c r="T20" s="3"/>
      <c r="U20" s="3"/>
      <c r="V20" s="3"/>
      <c r="W20" s="3"/>
      <c r="X20" s="3"/>
      <c r="Y20" s="2"/>
      <c r="Z20" s="2"/>
      <c r="AA20" s="2"/>
      <c r="AB20" s="2"/>
      <c r="AC20" s="3"/>
      <c r="AD20" s="3"/>
      <c r="AE20" s="3"/>
      <c r="AF20" s="2"/>
      <c r="AG20" s="2"/>
      <c r="AH20" s="2"/>
      <c r="AI20" s="3"/>
      <c r="AJ20" s="3"/>
      <c r="AK20" s="2"/>
      <c r="AL20" s="2"/>
      <c r="AM20" s="2"/>
      <c r="AN20" s="2"/>
      <c r="AO20" s="2"/>
      <c r="AP20" s="2"/>
      <c r="AQ20" s="2"/>
      <c r="AR20" s="2"/>
      <c r="AS20" s="2"/>
      <c r="AT20" s="2"/>
      <c r="AU20" s="3"/>
      <c r="AV20" s="3"/>
      <c r="AW20" s="2"/>
      <c r="AX20" s="2"/>
      <c r="AY20" s="2"/>
      <c r="AZ20" s="2"/>
      <c r="BA20" s="3"/>
      <c r="BB20" s="3"/>
      <c r="BC20" s="2"/>
      <c r="BD20" s="2"/>
      <c r="BE20" s="3"/>
      <c r="BF20" s="19"/>
      <c r="BG20" s="6"/>
      <c r="BH20" s="2"/>
      <c r="BI20" s="2"/>
      <c r="BJ20" s="2"/>
      <c r="BK20" s="2"/>
      <c r="BL20" s="2"/>
      <c r="BM20" s="2"/>
      <c r="BN20" s="3"/>
      <c r="BO20" s="2"/>
      <c r="BP20" s="2"/>
      <c r="BQ20" s="2"/>
      <c r="BR20" s="3"/>
      <c r="BS20" s="2"/>
      <c r="BT20" s="2"/>
      <c r="BU20" s="2"/>
      <c r="BV20" s="2"/>
      <c r="BW20" s="2"/>
      <c r="BX20" s="2"/>
      <c r="BY20" s="2" t="s">
        <v>99</v>
      </c>
      <c r="BZ20" s="2"/>
      <c r="CA20" s="2"/>
      <c r="CB20" s="2"/>
    </row>
    <row r="21" spans="1:80" ht="57.6" hidden="1">
      <c r="A21">
        <v>11</v>
      </c>
      <c r="B21" t="s">
        <v>169</v>
      </c>
      <c r="C21" t="s">
        <v>170</v>
      </c>
      <c r="D21" s="6">
        <v>2025</v>
      </c>
      <c r="E21" t="s">
        <v>171</v>
      </c>
      <c r="F21" t="s">
        <v>172</v>
      </c>
      <c r="G21" s="2" t="s">
        <v>84</v>
      </c>
      <c r="H21" s="2" t="s">
        <v>85</v>
      </c>
      <c r="I21" s="2" t="s">
        <v>100</v>
      </c>
      <c r="J21" s="3"/>
      <c r="K21" s="2" t="s">
        <v>115</v>
      </c>
      <c r="T21" s="3"/>
      <c r="U21" s="3"/>
      <c r="V21" s="3"/>
      <c r="W21" s="3"/>
      <c r="X21" s="3"/>
      <c r="AC21" s="3"/>
      <c r="AD21" s="3"/>
      <c r="AE21" s="3"/>
      <c r="AI21" s="3"/>
      <c r="AJ21" s="3"/>
      <c r="AU21" s="3"/>
      <c r="AV21" s="3"/>
      <c r="BA21" s="3"/>
      <c r="BB21" s="3"/>
      <c r="BE21" s="3"/>
      <c r="BF21" s="19"/>
      <c r="BG21" s="6"/>
      <c r="BN21" s="3"/>
      <c r="BR21" s="3"/>
      <c r="BY21" s="2" t="s">
        <v>99</v>
      </c>
    </row>
    <row r="22" spans="1:80" ht="144" hidden="1">
      <c r="A22" s="2">
        <v>12</v>
      </c>
      <c r="B22" s="2" t="s">
        <v>173</v>
      </c>
      <c r="C22" s="2" t="s">
        <v>174</v>
      </c>
      <c r="D22" s="6">
        <v>2025</v>
      </c>
      <c r="E22" s="2" t="s">
        <v>175</v>
      </c>
      <c r="F22" s="2" t="s">
        <v>176</v>
      </c>
      <c r="G22" s="2" t="s">
        <v>84</v>
      </c>
      <c r="H22" s="2" t="s">
        <v>85</v>
      </c>
      <c r="I22" s="2" t="s">
        <v>100</v>
      </c>
      <c r="J22" s="3"/>
      <c r="K22" s="2" t="s">
        <v>115</v>
      </c>
      <c r="L22" s="2"/>
      <c r="M22" s="2"/>
      <c r="N22" s="2"/>
      <c r="O22" s="2"/>
      <c r="P22" s="2"/>
      <c r="Q22" s="2"/>
      <c r="R22" s="2"/>
      <c r="S22" s="2"/>
      <c r="T22" s="3"/>
      <c r="U22" s="3"/>
      <c r="V22" s="3"/>
      <c r="W22" s="3"/>
      <c r="X22" s="3"/>
      <c r="Y22" s="2"/>
      <c r="Z22" s="2"/>
      <c r="AA22" s="2"/>
      <c r="AB22" s="2"/>
      <c r="AC22" s="3"/>
      <c r="AD22" s="3"/>
      <c r="AE22" s="3"/>
      <c r="AF22" s="2"/>
      <c r="AG22" s="2"/>
      <c r="AH22" s="2"/>
      <c r="AI22" s="3"/>
      <c r="AJ22" s="3"/>
      <c r="AK22" s="2"/>
      <c r="AL22" s="2"/>
      <c r="AM22" s="2"/>
      <c r="AN22" s="2"/>
      <c r="AO22" s="2"/>
      <c r="AP22" s="2"/>
      <c r="AQ22" s="2"/>
      <c r="AR22" s="2"/>
      <c r="AS22" s="2"/>
      <c r="AT22" s="2"/>
      <c r="AU22" s="3"/>
      <c r="AV22" s="3"/>
      <c r="AW22" s="2"/>
      <c r="AX22" s="2"/>
      <c r="AY22" s="2"/>
      <c r="AZ22" s="2"/>
      <c r="BA22" s="3"/>
      <c r="BB22" s="3"/>
      <c r="BC22" s="2"/>
      <c r="BD22" s="2"/>
      <c r="BE22" s="3"/>
      <c r="BF22" s="19"/>
      <c r="BG22" s="6"/>
      <c r="BH22" s="2"/>
      <c r="BI22" s="2"/>
      <c r="BJ22" s="2"/>
      <c r="BK22" s="2"/>
      <c r="BL22" s="2"/>
      <c r="BM22" s="2"/>
      <c r="BN22" s="3"/>
      <c r="BO22" s="2"/>
      <c r="BP22" s="2"/>
      <c r="BQ22" s="2"/>
      <c r="BR22" s="3"/>
      <c r="BS22" s="2"/>
      <c r="BT22" s="2"/>
      <c r="BU22" s="2"/>
      <c r="BV22" s="2"/>
      <c r="BW22" s="2"/>
      <c r="BX22" s="2"/>
      <c r="BY22" s="2" t="s">
        <v>99</v>
      </c>
      <c r="BZ22" s="2"/>
      <c r="CA22" s="2"/>
      <c r="CB22" s="2"/>
    </row>
    <row r="23" spans="1:80" ht="14.45" hidden="1">
      <c r="A23">
        <v>13</v>
      </c>
      <c r="B23" t="s">
        <v>177</v>
      </c>
      <c r="C23" t="s">
        <v>178</v>
      </c>
      <c r="D23" s="6">
        <v>2025</v>
      </c>
      <c r="E23" t="s">
        <v>179</v>
      </c>
      <c r="F23" t="s">
        <v>180</v>
      </c>
      <c r="G23" s="2" t="s">
        <v>84</v>
      </c>
      <c r="H23" s="2" t="s">
        <v>85</v>
      </c>
      <c r="I23" t="s">
        <v>100</v>
      </c>
      <c r="J23" s="3">
        <v>0.64</v>
      </c>
      <c r="K23" t="s">
        <v>181</v>
      </c>
      <c r="L23" t="s">
        <v>128</v>
      </c>
      <c r="N23" t="s">
        <v>129</v>
      </c>
      <c r="S23" t="s">
        <v>182</v>
      </c>
      <c r="T23" s="3">
        <v>80</v>
      </c>
      <c r="U23" s="3"/>
      <c r="V23" s="3">
        <v>5</v>
      </c>
      <c r="W23" s="3"/>
      <c r="X23" s="3"/>
      <c r="AC23" s="3"/>
      <c r="AD23" s="3"/>
      <c r="AE23" s="3"/>
      <c r="AG23">
        <v>5</v>
      </c>
      <c r="AI23" s="3"/>
      <c r="AJ23" s="3"/>
      <c r="AU23" s="3"/>
      <c r="AV23" s="3"/>
      <c r="AX23" t="s">
        <v>183</v>
      </c>
      <c r="AY23">
        <v>38</v>
      </c>
      <c r="AZ23">
        <v>90</v>
      </c>
      <c r="BA23" s="3"/>
      <c r="BB23" s="3"/>
      <c r="BE23" s="3"/>
      <c r="BF23" s="19"/>
      <c r="BG23" s="6">
        <v>5</v>
      </c>
      <c r="BN23" s="3"/>
      <c r="BR23" s="3"/>
      <c r="BX23" t="s">
        <v>184</v>
      </c>
      <c r="BY23" s="2" t="s">
        <v>99</v>
      </c>
      <c r="BZ23" t="s">
        <v>84</v>
      </c>
    </row>
    <row r="24" spans="1:80" ht="115.15" hidden="1">
      <c r="A24" s="2">
        <v>14</v>
      </c>
      <c r="B24" s="2" t="s">
        <v>185</v>
      </c>
      <c r="C24" s="2" t="s">
        <v>186</v>
      </c>
      <c r="D24" s="6">
        <v>2025</v>
      </c>
      <c r="E24" s="2" t="s">
        <v>118</v>
      </c>
      <c r="F24" s="2" t="s">
        <v>187</v>
      </c>
      <c r="G24" s="2" t="s">
        <v>84</v>
      </c>
      <c r="H24" s="2" t="s">
        <v>85</v>
      </c>
      <c r="I24" s="2" t="s">
        <v>100</v>
      </c>
      <c r="J24" s="3"/>
      <c r="K24" s="2" t="s">
        <v>115</v>
      </c>
      <c r="L24" s="2"/>
      <c r="M24" s="2"/>
      <c r="N24" s="2"/>
      <c r="O24" s="2"/>
      <c r="P24" s="2"/>
      <c r="Q24" s="2"/>
      <c r="R24" s="2"/>
      <c r="S24" s="2"/>
      <c r="T24" s="3"/>
      <c r="U24" s="3"/>
      <c r="V24" s="3"/>
      <c r="W24" s="3"/>
      <c r="X24" s="3"/>
      <c r="Y24" s="2"/>
      <c r="Z24" s="2"/>
      <c r="AA24" s="2"/>
      <c r="AB24" s="2"/>
      <c r="AC24" s="3"/>
      <c r="AD24" s="3"/>
      <c r="AE24" s="3"/>
      <c r="AF24" s="2"/>
      <c r="AG24" s="2"/>
      <c r="AH24" s="2"/>
      <c r="AI24" s="3"/>
      <c r="AJ24" s="3"/>
      <c r="AK24" s="2"/>
      <c r="AL24" s="2"/>
      <c r="AM24" s="2"/>
      <c r="AN24" s="2"/>
      <c r="AO24" s="2"/>
      <c r="AP24" s="2"/>
      <c r="AQ24" s="2"/>
      <c r="AR24" s="2"/>
      <c r="AS24" s="2"/>
      <c r="AT24" s="2"/>
      <c r="AU24" s="3"/>
      <c r="AV24" s="3"/>
      <c r="AW24" s="2"/>
      <c r="AX24" s="2"/>
      <c r="AY24" s="2"/>
      <c r="AZ24" s="2"/>
      <c r="BA24" s="3"/>
      <c r="BB24" s="3"/>
      <c r="BC24" s="2"/>
      <c r="BD24" s="2"/>
      <c r="BE24" s="3"/>
      <c r="BF24" s="19"/>
      <c r="BG24" s="6"/>
      <c r="BH24" s="2"/>
      <c r="BI24" s="2"/>
      <c r="BJ24" s="2"/>
      <c r="BK24" s="2"/>
      <c r="BL24" s="2"/>
      <c r="BM24" s="2"/>
      <c r="BN24" s="3"/>
      <c r="BO24" s="2"/>
      <c r="BP24" s="2"/>
      <c r="BQ24" s="2"/>
      <c r="BR24" s="3"/>
      <c r="BS24" s="2"/>
      <c r="BT24" s="2"/>
      <c r="BU24" s="2"/>
      <c r="BV24" s="2"/>
      <c r="BW24" s="2"/>
      <c r="BX24" s="2"/>
      <c r="BY24" s="2" t="s">
        <v>99</v>
      </c>
      <c r="BZ24" s="2"/>
      <c r="CA24" s="2"/>
      <c r="CB24" s="2"/>
    </row>
    <row r="25" spans="1:80" ht="144" hidden="1">
      <c r="A25" s="2">
        <v>15</v>
      </c>
      <c r="B25" s="2" t="s">
        <v>188</v>
      </c>
      <c r="C25" s="2" t="s">
        <v>189</v>
      </c>
      <c r="D25" s="6">
        <v>2025</v>
      </c>
      <c r="E25" s="2" t="s">
        <v>190</v>
      </c>
      <c r="F25" s="2" t="s">
        <v>191</v>
      </c>
      <c r="G25" s="2" t="s">
        <v>84</v>
      </c>
      <c r="H25" s="2" t="s">
        <v>85</v>
      </c>
      <c r="I25" s="2" t="s">
        <v>100</v>
      </c>
      <c r="J25" s="3"/>
      <c r="K25" s="2" t="s">
        <v>160</v>
      </c>
      <c r="L25" s="2"/>
      <c r="M25" s="2"/>
      <c r="N25" s="2"/>
      <c r="O25" s="2"/>
      <c r="P25" s="2"/>
      <c r="Q25" s="2"/>
      <c r="R25" s="2"/>
      <c r="S25" s="2"/>
      <c r="T25" s="3"/>
      <c r="U25" s="3"/>
      <c r="V25" s="3"/>
      <c r="W25" s="3"/>
      <c r="X25" s="3"/>
      <c r="Y25" s="2"/>
      <c r="Z25" s="2"/>
      <c r="AA25" s="2"/>
      <c r="AB25" s="2"/>
      <c r="AC25" s="3"/>
      <c r="AD25" s="3"/>
      <c r="AE25" s="3"/>
      <c r="AF25" s="2"/>
      <c r="AG25" s="2"/>
      <c r="AH25" s="2"/>
      <c r="AI25" s="3"/>
      <c r="AJ25" s="3"/>
      <c r="AK25" s="2"/>
      <c r="AL25" s="2"/>
      <c r="AM25" s="2"/>
      <c r="AN25" s="2"/>
      <c r="AO25" s="2"/>
      <c r="AP25" s="2"/>
      <c r="AQ25" s="2"/>
      <c r="AR25" s="2"/>
      <c r="AS25" s="2"/>
      <c r="AT25" s="2"/>
      <c r="AU25" s="3"/>
      <c r="AV25" s="3"/>
      <c r="AW25" s="2"/>
      <c r="AX25" s="2"/>
      <c r="AY25" s="2"/>
      <c r="AZ25" s="2"/>
      <c r="BA25" s="3"/>
      <c r="BB25" s="3"/>
      <c r="BC25" s="2"/>
      <c r="BD25" s="2"/>
      <c r="BE25" s="3"/>
      <c r="BF25" s="19"/>
      <c r="BG25" s="6"/>
      <c r="BH25" s="2"/>
      <c r="BI25" s="2"/>
      <c r="BJ25" s="2"/>
      <c r="BK25" s="2"/>
      <c r="BL25" s="2"/>
      <c r="BM25" s="2"/>
      <c r="BN25" s="3"/>
      <c r="BO25" s="2"/>
      <c r="BP25" s="2"/>
      <c r="BQ25" s="2"/>
      <c r="BR25" s="3"/>
      <c r="BS25" s="2"/>
      <c r="BT25" s="2"/>
      <c r="BU25" s="2"/>
      <c r="BV25" s="2"/>
      <c r="BW25" s="2"/>
      <c r="BX25" s="2"/>
      <c r="BY25" s="2" t="s">
        <v>99</v>
      </c>
      <c r="BZ25" s="2"/>
      <c r="CA25" s="2"/>
      <c r="CB25" s="2"/>
    </row>
    <row r="26" spans="1:80" ht="100.9" hidden="1">
      <c r="A26" s="2">
        <v>16</v>
      </c>
      <c r="B26" s="2" t="s">
        <v>192</v>
      </c>
      <c r="C26" s="2" t="s">
        <v>193</v>
      </c>
      <c r="D26" s="6">
        <v>2025</v>
      </c>
      <c r="E26" s="2" t="s">
        <v>194</v>
      </c>
      <c r="F26" s="2" t="s">
        <v>195</v>
      </c>
      <c r="G26" s="2" t="s">
        <v>84</v>
      </c>
      <c r="H26" s="2" t="s">
        <v>85</v>
      </c>
      <c r="I26" s="2" t="s">
        <v>100</v>
      </c>
      <c r="J26" s="3"/>
      <c r="K26" s="2" t="s">
        <v>115</v>
      </c>
      <c r="L26" s="2"/>
      <c r="M26" s="2"/>
      <c r="N26" s="2"/>
      <c r="O26" s="2"/>
      <c r="P26" s="2"/>
      <c r="Q26" s="2"/>
      <c r="R26" s="2"/>
      <c r="S26" s="2"/>
      <c r="T26" s="3"/>
      <c r="U26" s="3"/>
      <c r="V26" s="3"/>
      <c r="W26" s="3"/>
      <c r="X26" s="3"/>
      <c r="Y26" s="2"/>
      <c r="Z26" s="2"/>
      <c r="AA26" s="2"/>
      <c r="AB26" s="2"/>
      <c r="AC26" s="3"/>
      <c r="AD26" s="3"/>
      <c r="AE26" s="3"/>
      <c r="AF26" s="2"/>
      <c r="AG26" s="2"/>
      <c r="AH26" s="2"/>
      <c r="AI26" s="3"/>
      <c r="AJ26" s="3"/>
      <c r="AK26" s="2"/>
      <c r="AL26" s="2"/>
      <c r="AM26" s="2"/>
      <c r="AN26" s="2"/>
      <c r="AO26" s="2"/>
      <c r="AP26" s="2"/>
      <c r="AQ26" s="2"/>
      <c r="AR26" s="2"/>
      <c r="AS26" s="2"/>
      <c r="AT26" s="2"/>
      <c r="AU26" s="3"/>
      <c r="AV26" s="3"/>
      <c r="AW26" s="2"/>
      <c r="AX26" s="2"/>
      <c r="AY26" s="2"/>
      <c r="AZ26" s="2"/>
      <c r="BA26" s="3"/>
      <c r="BB26" s="3"/>
      <c r="BC26" s="2"/>
      <c r="BD26" s="2"/>
      <c r="BE26" s="3"/>
      <c r="BF26" s="19"/>
      <c r="BG26" s="6"/>
      <c r="BH26" s="2"/>
      <c r="BI26" s="2"/>
      <c r="BJ26" s="2"/>
      <c r="BK26" s="2"/>
      <c r="BL26" s="2"/>
      <c r="BM26" s="2"/>
      <c r="BN26" s="3"/>
      <c r="BO26" s="2"/>
      <c r="BP26" s="2"/>
      <c r="BQ26" s="2"/>
      <c r="BR26" s="3"/>
      <c r="BS26" s="2"/>
      <c r="BT26" s="2"/>
      <c r="BU26" s="2"/>
      <c r="BV26" s="2"/>
      <c r="BW26" s="2"/>
      <c r="BX26" s="2"/>
      <c r="BY26" s="2" t="s">
        <v>99</v>
      </c>
      <c r="BZ26" s="2"/>
      <c r="CA26" s="2"/>
      <c r="CB26" s="2"/>
    </row>
    <row r="27" spans="1:80" ht="86.45" hidden="1">
      <c r="A27" s="2">
        <v>17</v>
      </c>
      <c r="B27" s="2" t="s">
        <v>196</v>
      </c>
      <c r="C27" s="2" t="s">
        <v>197</v>
      </c>
      <c r="D27" s="6">
        <v>2025</v>
      </c>
      <c r="E27" s="2" t="s">
        <v>198</v>
      </c>
      <c r="F27" s="2" t="s">
        <v>199</v>
      </c>
      <c r="G27" s="2" t="s">
        <v>84</v>
      </c>
      <c r="H27" s="2" t="s">
        <v>85</v>
      </c>
      <c r="I27" s="2" t="s">
        <v>100</v>
      </c>
      <c r="J27" s="3"/>
      <c r="K27" s="2" t="s">
        <v>160</v>
      </c>
      <c r="L27" s="2"/>
      <c r="M27" s="2"/>
      <c r="N27" s="2"/>
      <c r="O27" s="2"/>
      <c r="P27" s="2"/>
      <c r="Q27" s="2"/>
      <c r="R27" s="2"/>
      <c r="S27" s="2"/>
      <c r="T27" s="3"/>
      <c r="U27" s="3"/>
      <c r="V27" s="3"/>
      <c r="W27" s="3"/>
      <c r="X27" s="3"/>
      <c r="Y27" s="2"/>
      <c r="Z27" s="2"/>
      <c r="AA27" s="2"/>
      <c r="AB27" s="2"/>
      <c r="AC27" s="3"/>
      <c r="AD27" s="3"/>
      <c r="AE27" s="3"/>
      <c r="AF27" s="2"/>
      <c r="AG27" s="2"/>
      <c r="AH27" s="2"/>
      <c r="AI27" s="3"/>
      <c r="AJ27" s="3"/>
      <c r="AK27" s="2"/>
      <c r="AL27" s="2"/>
      <c r="AM27" s="2"/>
      <c r="AN27" s="2"/>
      <c r="AO27" s="2"/>
      <c r="AP27" s="2"/>
      <c r="AQ27" s="2"/>
      <c r="AR27" s="2"/>
      <c r="AS27" s="2"/>
      <c r="AT27" s="2"/>
      <c r="AU27" s="3"/>
      <c r="AV27" s="3"/>
      <c r="AW27" s="2"/>
      <c r="AX27" s="2"/>
      <c r="AY27" s="2"/>
      <c r="AZ27" s="2"/>
      <c r="BA27" s="3"/>
      <c r="BB27" s="3"/>
      <c r="BC27" s="2"/>
      <c r="BD27" s="2"/>
      <c r="BE27" s="3"/>
      <c r="BF27" s="19"/>
      <c r="BG27" s="6"/>
      <c r="BH27" s="2"/>
      <c r="BI27" s="2"/>
      <c r="BJ27" s="2"/>
      <c r="BK27" s="2"/>
      <c r="BL27" s="2"/>
      <c r="BM27" s="2"/>
      <c r="BN27" s="3"/>
      <c r="BO27" s="2"/>
      <c r="BP27" s="2"/>
      <c r="BQ27" s="2"/>
      <c r="BR27" s="3"/>
      <c r="BS27" s="2"/>
      <c r="BT27" s="2"/>
      <c r="BU27" s="2"/>
      <c r="BV27" s="2"/>
      <c r="BW27" s="2"/>
      <c r="BX27" s="2"/>
      <c r="BY27" s="2" t="s">
        <v>99</v>
      </c>
      <c r="BZ27" s="2"/>
      <c r="CA27" s="2"/>
      <c r="CB27" s="2"/>
    </row>
    <row r="28" spans="1:80" ht="115.15">
      <c r="A28" s="2">
        <v>18</v>
      </c>
      <c r="B28" s="2" t="s">
        <v>200</v>
      </c>
      <c r="C28" s="2" t="s">
        <v>201</v>
      </c>
      <c r="D28" s="6">
        <v>2025</v>
      </c>
      <c r="E28" s="2" t="s">
        <v>202</v>
      </c>
      <c r="F28" s="2" t="s">
        <v>203</v>
      </c>
      <c r="G28" s="2" t="s">
        <v>84</v>
      </c>
      <c r="H28" s="2" t="s">
        <v>85</v>
      </c>
      <c r="I28" s="2" t="s">
        <v>84</v>
      </c>
      <c r="J28" s="10">
        <v>0.86</v>
      </c>
      <c r="K28" s="2"/>
      <c r="L28" s="2" t="s">
        <v>204</v>
      </c>
      <c r="M28" s="2" t="s">
        <v>204</v>
      </c>
      <c r="N28" s="2" t="s">
        <v>129</v>
      </c>
      <c r="O28" s="2" t="s">
        <v>84</v>
      </c>
      <c r="P28" s="2" t="s">
        <v>84</v>
      </c>
      <c r="Q28" s="5" t="s">
        <v>100</v>
      </c>
      <c r="R28" s="21">
        <v>0</v>
      </c>
      <c r="S28" s="2" t="s">
        <v>90</v>
      </c>
      <c r="T28" s="3">
        <v>24</v>
      </c>
      <c r="U28" s="3">
        <v>2</v>
      </c>
      <c r="V28" s="3">
        <v>10</v>
      </c>
      <c r="W28" s="3"/>
      <c r="X28" s="3"/>
      <c r="Y28" s="2"/>
      <c r="Z28" s="2"/>
      <c r="AA28" s="2"/>
      <c r="AB28" s="2"/>
      <c r="AC28" s="3"/>
      <c r="AD28" s="3"/>
      <c r="AE28" s="3"/>
      <c r="AF28" s="2"/>
      <c r="AG28" s="2"/>
      <c r="AH28" s="2"/>
      <c r="AI28" s="3"/>
      <c r="AJ28" s="3"/>
      <c r="AK28" s="2"/>
      <c r="AL28" s="2"/>
      <c r="AM28" s="2"/>
      <c r="AN28" s="2"/>
      <c r="AO28" s="2"/>
      <c r="AP28" s="2"/>
      <c r="AQ28" s="2"/>
      <c r="AR28" s="2"/>
      <c r="AS28" s="2"/>
      <c r="AT28" s="2"/>
      <c r="AU28" s="3">
        <v>1350</v>
      </c>
      <c r="AV28" s="3">
        <v>294</v>
      </c>
      <c r="AW28" s="5" t="s">
        <v>205</v>
      </c>
      <c r="AX28" s="2" t="s">
        <v>206</v>
      </c>
      <c r="AY28" s="2">
        <v>25</v>
      </c>
      <c r="AZ28" s="2">
        <v>75</v>
      </c>
      <c r="BA28" s="3"/>
      <c r="BB28" s="3"/>
      <c r="BC28" s="2"/>
      <c r="BD28" s="2"/>
      <c r="BE28" s="3"/>
      <c r="BF28" s="19"/>
      <c r="BG28" s="6">
        <v>3</v>
      </c>
      <c r="BH28" s="2" t="s">
        <v>207</v>
      </c>
      <c r="BI28" s="2">
        <v>25</v>
      </c>
      <c r="BJ28" s="2">
        <v>3</v>
      </c>
      <c r="BK28" s="2">
        <v>10</v>
      </c>
      <c r="BL28" s="2"/>
      <c r="BM28" s="2"/>
      <c r="BN28" s="3"/>
      <c r="BO28" s="2"/>
      <c r="BP28" s="2"/>
      <c r="BQ28" s="2"/>
      <c r="BR28" s="3">
        <v>6</v>
      </c>
      <c r="BS28" s="5" t="s">
        <v>205</v>
      </c>
      <c r="BT28" s="5"/>
      <c r="BU28" s="5"/>
      <c r="BV28" s="2" t="s">
        <v>208</v>
      </c>
      <c r="BW28" s="2" t="s">
        <v>97</v>
      </c>
      <c r="BX28" s="2" t="s">
        <v>98</v>
      </c>
      <c r="BY28" s="2" t="s">
        <v>99</v>
      </c>
      <c r="BZ28" s="2" t="s">
        <v>100</v>
      </c>
      <c r="CA28" s="2" t="s">
        <v>209</v>
      </c>
      <c r="CB28" s="2"/>
    </row>
    <row r="29" spans="1:80" ht="115.15">
      <c r="A29" s="2">
        <v>18</v>
      </c>
      <c r="B29" s="2" t="s">
        <v>200</v>
      </c>
      <c r="C29" s="2" t="s">
        <v>201</v>
      </c>
      <c r="D29" s="6">
        <v>2025</v>
      </c>
      <c r="E29" s="2" t="s">
        <v>202</v>
      </c>
      <c r="F29" s="2" t="s">
        <v>203</v>
      </c>
      <c r="G29" s="2" t="s">
        <v>84</v>
      </c>
      <c r="H29" s="2" t="s">
        <v>85</v>
      </c>
      <c r="I29" s="2" t="s">
        <v>84</v>
      </c>
      <c r="J29" s="10">
        <v>0.86</v>
      </c>
      <c r="K29" s="2"/>
      <c r="L29" s="2" t="s">
        <v>210</v>
      </c>
      <c r="M29" s="2" t="s">
        <v>204</v>
      </c>
      <c r="N29" s="2" t="s">
        <v>129</v>
      </c>
      <c r="O29" s="2" t="s">
        <v>84</v>
      </c>
      <c r="P29" s="2" t="s">
        <v>84</v>
      </c>
      <c r="Q29" s="5" t="s">
        <v>100</v>
      </c>
      <c r="R29" s="21">
        <v>0</v>
      </c>
      <c r="S29" s="2" t="s">
        <v>90</v>
      </c>
      <c r="T29" s="3">
        <v>35</v>
      </c>
      <c r="U29" s="3">
        <v>4</v>
      </c>
      <c r="V29" s="3">
        <v>10</v>
      </c>
      <c r="W29" s="3"/>
      <c r="X29" s="3"/>
      <c r="Y29" s="2"/>
      <c r="Z29" s="2"/>
      <c r="AA29" s="2"/>
      <c r="AB29" s="2"/>
      <c r="AC29" s="3"/>
      <c r="AD29" s="3"/>
      <c r="AE29" s="3"/>
      <c r="AF29" s="2"/>
      <c r="AG29" s="2"/>
      <c r="AH29" s="2"/>
      <c r="AI29" s="3"/>
      <c r="AJ29" s="3"/>
      <c r="AK29" s="2"/>
      <c r="AL29" s="2"/>
      <c r="AM29" s="2"/>
      <c r="AN29" s="2"/>
      <c r="AO29" s="2"/>
      <c r="AP29" s="2"/>
      <c r="AQ29" s="2"/>
      <c r="AR29" s="2"/>
      <c r="AS29" s="2"/>
      <c r="AT29" s="2"/>
      <c r="AU29" s="3">
        <v>288</v>
      </c>
      <c r="AV29" s="3">
        <v>26</v>
      </c>
      <c r="AW29" s="5" t="s">
        <v>205</v>
      </c>
      <c r="AX29" s="2" t="s">
        <v>206</v>
      </c>
      <c r="AY29" s="2">
        <v>25</v>
      </c>
      <c r="AZ29" s="2">
        <v>75</v>
      </c>
      <c r="BA29" s="3"/>
      <c r="BB29" s="3"/>
      <c r="BC29" s="2"/>
      <c r="BD29" s="2"/>
      <c r="BE29" s="3"/>
      <c r="BF29" s="19"/>
      <c r="BG29" s="6">
        <v>3</v>
      </c>
      <c r="BH29" s="2" t="s">
        <v>207</v>
      </c>
      <c r="BI29" s="2">
        <v>25</v>
      </c>
      <c r="BJ29" s="2">
        <v>3</v>
      </c>
      <c r="BK29" s="2">
        <v>10</v>
      </c>
      <c r="BL29" s="2"/>
      <c r="BM29" s="2"/>
      <c r="BN29" s="3"/>
      <c r="BO29" s="2"/>
      <c r="BP29" s="2"/>
      <c r="BQ29" s="2"/>
      <c r="BR29" s="3">
        <v>6</v>
      </c>
      <c r="BS29" s="5" t="s">
        <v>205</v>
      </c>
      <c r="BT29" s="5"/>
      <c r="BU29" s="5"/>
      <c r="BV29" s="2" t="s">
        <v>208</v>
      </c>
      <c r="BW29" s="2" t="s">
        <v>97</v>
      </c>
      <c r="BX29" s="2" t="s">
        <v>98</v>
      </c>
      <c r="BY29" s="2" t="s">
        <v>99</v>
      </c>
      <c r="BZ29" s="2" t="s">
        <v>84</v>
      </c>
      <c r="CA29" s="2" t="s">
        <v>209</v>
      </c>
      <c r="CB29" s="2"/>
    </row>
    <row r="30" spans="1:80" ht="57.6" hidden="1">
      <c r="A30">
        <v>19</v>
      </c>
      <c r="B30" t="s">
        <v>211</v>
      </c>
      <c r="C30" t="s">
        <v>212</v>
      </c>
      <c r="D30" s="6">
        <v>2025</v>
      </c>
      <c r="E30" t="s">
        <v>118</v>
      </c>
      <c r="F30" t="s">
        <v>213</v>
      </c>
      <c r="G30" s="2" t="s">
        <v>84</v>
      </c>
      <c r="H30" s="2" t="s">
        <v>85</v>
      </c>
      <c r="I30" s="2" t="s">
        <v>100</v>
      </c>
      <c r="J30" s="3"/>
      <c r="K30" s="2" t="s">
        <v>115</v>
      </c>
      <c r="T30" s="3"/>
      <c r="U30" s="3"/>
      <c r="V30" s="3"/>
      <c r="W30" s="3"/>
      <c r="X30" s="3"/>
      <c r="AC30" s="3"/>
      <c r="AD30" s="3"/>
      <c r="AE30" s="3"/>
      <c r="AI30" s="3"/>
      <c r="AJ30" s="3"/>
      <c r="AU30" s="3"/>
      <c r="AV30" s="3"/>
      <c r="BA30" s="3"/>
      <c r="BB30" s="3"/>
      <c r="BE30" s="3"/>
      <c r="BF30" s="19"/>
      <c r="BG30" s="6"/>
      <c r="BN30" s="3"/>
      <c r="BR30" s="3"/>
      <c r="BY30" s="2" t="s">
        <v>99</v>
      </c>
    </row>
    <row r="31" spans="1:80" ht="409.6" hidden="1">
      <c r="A31" s="5">
        <v>20</v>
      </c>
      <c r="B31" s="5" t="s">
        <v>214</v>
      </c>
      <c r="C31" s="5" t="s">
        <v>215</v>
      </c>
      <c r="D31" s="6">
        <v>2025</v>
      </c>
      <c r="E31" s="5" t="s">
        <v>118</v>
      </c>
      <c r="F31" s="5" t="s">
        <v>216</v>
      </c>
      <c r="G31" s="2" t="s">
        <v>84</v>
      </c>
      <c r="H31" s="2" t="s">
        <v>85</v>
      </c>
      <c r="I31" s="2" t="s">
        <v>84</v>
      </c>
      <c r="J31" s="10">
        <v>0.86</v>
      </c>
      <c r="K31" s="5"/>
      <c r="L31" s="5" t="s">
        <v>128</v>
      </c>
      <c r="M31" s="5" t="s">
        <v>128</v>
      </c>
      <c r="N31" s="5" t="s">
        <v>129</v>
      </c>
      <c r="O31" s="2" t="s">
        <v>84</v>
      </c>
      <c r="P31" s="2" t="s">
        <v>84</v>
      </c>
      <c r="Q31" s="5" t="s">
        <v>100</v>
      </c>
      <c r="R31" s="21">
        <v>0</v>
      </c>
      <c r="S31" s="5" t="s">
        <v>217</v>
      </c>
      <c r="T31" s="3">
        <v>100</v>
      </c>
      <c r="U31" s="3" t="s">
        <v>218</v>
      </c>
      <c r="V31" s="3" t="s">
        <v>218</v>
      </c>
      <c r="W31" s="3"/>
      <c r="X31" s="3"/>
      <c r="Y31" s="5"/>
      <c r="Z31" s="5"/>
      <c r="AA31" s="5"/>
      <c r="AB31" s="5"/>
      <c r="AC31" s="3"/>
      <c r="AD31" s="3"/>
      <c r="AE31" s="3"/>
      <c r="AF31" s="5"/>
      <c r="AG31" s="5"/>
      <c r="AH31" s="5"/>
      <c r="AI31" s="3"/>
      <c r="AJ31" s="3"/>
      <c r="AK31" s="5"/>
      <c r="AL31" s="5"/>
      <c r="AM31" s="5"/>
      <c r="AN31" s="5"/>
      <c r="AO31" s="5"/>
      <c r="AP31" s="5"/>
      <c r="AQ31" s="5"/>
      <c r="AR31" s="5"/>
      <c r="AS31" s="5"/>
      <c r="AT31" s="5"/>
      <c r="AU31" s="3">
        <v>31.2</v>
      </c>
      <c r="AV31" s="3">
        <v>1.1000000000000001</v>
      </c>
      <c r="AW31" s="5" t="s">
        <v>219</v>
      </c>
      <c r="AX31" s="5" t="s">
        <v>220</v>
      </c>
      <c r="AY31" s="5">
        <v>21.4</v>
      </c>
      <c r="AZ31" s="5">
        <v>70</v>
      </c>
      <c r="BA31" s="3"/>
      <c r="BB31" s="3"/>
      <c r="BC31" s="5"/>
      <c r="BD31" s="5"/>
      <c r="BE31" s="3"/>
      <c r="BF31" s="19"/>
      <c r="BG31" s="6">
        <v>3</v>
      </c>
      <c r="BH31" s="5"/>
      <c r="BI31" s="5"/>
      <c r="BJ31" s="5"/>
      <c r="BK31" s="5"/>
      <c r="BL31" s="5"/>
      <c r="BM31" s="5"/>
      <c r="BN31" s="3"/>
      <c r="BO31" s="5"/>
      <c r="BP31" s="5"/>
      <c r="BQ31" s="5"/>
      <c r="BR31" s="3"/>
      <c r="BS31" s="5"/>
      <c r="BT31" s="5"/>
      <c r="BU31" s="5"/>
      <c r="BV31" s="5"/>
      <c r="BW31" s="5"/>
      <c r="BX31" s="5" t="s">
        <v>98</v>
      </c>
      <c r="BY31" s="2" t="s">
        <v>99</v>
      </c>
      <c r="BZ31" s="5" t="s">
        <v>221</v>
      </c>
      <c r="CA31" s="5" t="s">
        <v>222</v>
      </c>
      <c r="CB31" s="5"/>
    </row>
    <row r="32" spans="1:80" ht="409.6" hidden="1">
      <c r="A32" s="5">
        <v>20</v>
      </c>
      <c r="B32" s="5" t="s">
        <v>214</v>
      </c>
      <c r="C32" s="5" t="s">
        <v>215</v>
      </c>
      <c r="D32" s="6">
        <v>2025</v>
      </c>
      <c r="E32" s="5" t="s">
        <v>118</v>
      </c>
      <c r="F32" s="5" t="s">
        <v>216</v>
      </c>
      <c r="G32" s="2" t="s">
        <v>84</v>
      </c>
      <c r="H32" s="2" t="s">
        <v>85</v>
      </c>
      <c r="I32" s="2" t="s">
        <v>84</v>
      </c>
      <c r="J32" s="10">
        <v>0.86</v>
      </c>
      <c r="K32" s="5"/>
      <c r="L32" s="5" t="s">
        <v>223</v>
      </c>
      <c r="M32" s="5" t="s">
        <v>128</v>
      </c>
      <c r="N32" s="5" t="s">
        <v>129</v>
      </c>
      <c r="O32" s="2" t="s">
        <v>84</v>
      </c>
      <c r="P32" s="2" t="s">
        <v>84</v>
      </c>
      <c r="Q32" s="5" t="s">
        <v>100</v>
      </c>
      <c r="R32" s="21">
        <v>0</v>
      </c>
      <c r="S32" s="5" t="s">
        <v>217</v>
      </c>
      <c r="T32" s="3">
        <v>100</v>
      </c>
      <c r="U32" s="3" t="s">
        <v>218</v>
      </c>
      <c r="V32" s="3" t="s">
        <v>218</v>
      </c>
      <c r="W32" s="3"/>
      <c r="X32" s="3"/>
      <c r="Y32" s="5"/>
      <c r="Z32" s="5"/>
      <c r="AA32" s="5"/>
      <c r="AB32" s="5"/>
      <c r="AC32" s="3"/>
      <c r="AD32" s="3"/>
      <c r="AE32" s="3"/>
      <c r="AF32" s="5"/>
      <c r="AG32" s="5"/>
      <c r="AH32" s="5"/>
      <c r="AI32" s="3"/>
      <c r="AJ32" s="3"/>
      <c r="AK32" s="5"/>
      <c r="AL32" s="5"/>
      <c r="AM32" s="5"/>
      <c r="AN32" s="5"/>
      <c r="AO32" s="5"/>
      <c r="AP32" s="5"/>
      <c r="AQ32" s="5"/>
      <c r="AR32" s="5"/>
      <c r="AS32" s="5"/>
      <c r="AT32" s="5"/>
      <c r="AU32" s="3">
        <v>32.700000000000003</v>
      </c>
      <c r="AV32" s="3">
        <v>1.9</v>
      </c>
      <c r="AW32" s="5" t="s">
        <v>219</v>
      </c>
      <c r="AX32" s="5" t="s">
        <v>220</v>
      </c>
      <c r="AY32" s="5">
        <v>21.4</v>
      </c>
      <c r="AZ32" s="5">
        <v>70</v>
      </c>
      <c r="BA32" s="3"/>
      <c r="BB32" s="3"/>
      <c r="BC32" s="5"/>
      <c r="BD32" s="5"/>
      <c r="BE32" s="3"/>
      <c r="BF32" s="19"/>
      <c r="BG32" s="6">
        <v>3</v>
      </c>
      <c r="BH32" s="5"/>
      <c r="BI32" s="5"/>
      <c r="BJ32" s="5"/>
      <c r="BK32" s="5"/>
      <c r="BL32" s="5"/>
      <c r="BM32" s="5"/>
      <c r="BN32" s="3"/>
      <c r="BO32" s="5"/>
      <c r="BP32" s="5"/>
      <c r="BQ32" s="5"/>
      <c r="BR32" s="3"/>
      <c r="BS32" s="5"/>
      <c r="BT32" s="5"/>
      <c r="BU32" s="5"/>
      <c r="BV32" s="5"/>
      <c r="BW32" s="5"/>
      <c r="BX32" s="5" t="s">
        <v>98</v>
      </c>
      <c r="BY32" s="2" t="s">
        <v>99</v>
      </c>
      <c r="BZ32" s="5" t="s">
        <v>221</v>
      </c>
      <c r="CA32" s="5" t="s">
        <v>222</v>
      </c>
      <c r="CB32" s="5"/>
    </row>
    <row r="33" spans="1:80" ht="201.6" hidden="1">
      <c r="A33" s="5">
        <v>21</v>
      </c>
      <c r="B33" s="5" t="s">
        <v>224</v>
      </c>
      <c r="C33" s="5" t="s">
        <v>225</v>
      </c>
      <c r="D33" s="6">
        <v>2025</v>
      </c>
      <c r="E33" s="5" t="s">
        <v>226</v>
      </c>
      <c r="F33" s="5" t="s">
        <v>227</v>
      </c>
      <c r="G33" s="2" t="s">
        <v>84</v>
      </c>
      <c r="H33" s="2" t="s">
        <v>85</v>
      </c>
      <c r="I33" s="2" t="s">
        <v>84</v>
      </c>
      <c r="J33" s="10">
        <v>0.86</v>
      </c>
      <c r="K33" s="5"/>
      <c r="L33" s="5" t="s">
        <v>228</v>
      </c>
      <c r="M33" s="5" t="s">
        <v>229</v>
      </c>
      <c r="N33" s="5" t="s">
        <v>141</v>
      </c>
      <c r="O33" s="2" t="s">
        <v>84</v>
      </c>
      <c r="P33" s="2" t="s">
        <v>84</v>
      </c>
      <c r="Q33" s="5" t="s">
        <v>100</v>
      </c>
      <c r="R33" s="21">
        <v>0</v>
      </c>
      <c r="S33" s="5" t="s">
        <v>90</v>
      </c>
      <c r="T33" s="3">
        <v>75</v>
      </c>
      <c r="U33" s="3">
        <v>5</v>
      </c>
      <c r="V33" s="3">
        <v>5</v>
      </c>
      <c r="W33" s="3"/>
      <c r="X33" s="3"/>
      <c r="Y33" s="5"/>
      <c r="Z33" s="5"/>
      <c r="AA33" s="5"/>
      <c r="AB33" s="5"/>
      <c r="AC33" s="3"/>
      <c r="AD33" s="3"/>
      <c r="AE33" s="3"/>
      <c r="AF33" s="5"/>
      <c r="AG33" s="5"/>
      <c r="AH33" s="5"/>
      <c r="AI33" s="3"/>
      <c r="AJ33" s="3"/>
      <c r="AK33" s="5"/>
      <c r="AL33" s="5"/>
      <c r="AM33" s="5"/>
      <c r="AN33" s="5"/>
      <c r="AO33" s="5"/>
      <c r="AP33" s="5"/>
      <c r="AQ33" s="5"/>
      <c r="AR33" s="5"/>
      <c r="AS33" s="5"/>
      <c r="AT33" s="5"/>
      <c r="AU33" s="3"/>
      <c r="AV33" s="3"/>
      <c r="AW33" s="5"/>
      <c r="AX33" s="5"/>
      <c r="AY33" s="5"/>
      <c r="AZ33" s="5"/>
      <c r="BA33" s="3">
        <v>1.6779999999999999E-8</v>
      </c>
      <c r="BB33" s="3" t="s">
        <v>230</v>
      </c>
      <c r="BC33" s="5"/>
      <c r="BD33" s="5" t="s">
        <v>92</v>
      </c>
      <c r="BE33" s="3">
        <v>30</v>
      </c>
      <c r="BF33" s="19">
        <v>0.75</v>
      </c>
      <c r="BG33" s="6">
        <v>5</v>
      </c>
      <c r="BH33" s="5"/>
      <c r="BI33" s="5"/>
      <c r="BJ33" s="5"/>
      <c r="BK33" s="5"/>
      <c r="BL33" s="5"/>
      <c r="BM33" s="5"/>
      <c r="BN33" s="3"/>
      <c r="BO33" s="5"/>
      <c r="BP33" s="5"/>
      <c r="BQ33" s="5"/>
      <c r="BR33" s="3"/>
      <c r="BS33" s="5"/>
      <c r="BT33" s="5"/>
      <c r="BU33" s="5"/>
      <c r="BV33" s="5"/>
      <c r="BW33" s="5"/>
      <c r="BX33" s="5" t="s">
        <v>98</v>
      </c>
      <c r="BY33" s="2" t="s">
        <v>99</v>
      </c>
      <c r="BZ33" s="5" t="s">
        <v>84</v>
      </c>
      <c r="CA33" s="5" t="s">
        <v>231</v>
      </c>
      <c r="CB33" s="5"/>
    </row>
    <row r="34" spans="1:80" ht="201.6" hidden="1">
      <c r="A34" s="5">
        <v>21</v>
      </c>
      <c r="B34" s="5" t="s">
        <v>224</v>
      </c>
      <c r="C34" s="5" t="s">
        <v>225</v>
      </c>
      <c r="D34" s="6">
        <v>2025</v>
      </c>
      <c r="E34" s="5" t="s">
        <v>226</v>
      </c>
      <c r="F34" s="5" t="s">
        <v>227</v>
      </c>
      <c r="G34" s="2" t="s">
        <v>84</v>
      </c>
      <c r="H34" s="2" t="s">
        <v>85</v>
      </c>
      <c r="I34" s="2" t="s">
        <v>84</v>
      </c>
      <c r="J34" s="10">
        <v>0.86</v>
      </c>
      <c r="K34" s="5"/>
      <c r="L34" s="5" t="s">
        <v>232</v>
      </c>
      <c r="M34" s="5" t="s">
        <v>232</v>
      </c>
      <c r="N34" s="5" t="s">
        <v>141</v>
      </c>
      <c r="O34" s="2" t="s">
        <v>84</v>
      </c>
      <c r="P34" s="2" t="s">
        <v>84</v>
      </c>
      <c r="Q34" s="5" t="s">
        <v>100</v>
      </c>
      <c r="R34" s="21">
        <v>0</v>
      </c>
      <c r="S34" s="5" t="s">
        <v>90</v>
      </c>
      <c r="T34" s="3">
        <v>75</v>
      </c>
      <c r="U34" s="3">
        <v>5</v>
      </c>
      <c r="V34" s="3">
        <v>5</v>
      </c>
      <c r="W34" s="3"/>
      <c r="X34" s="3"/>
      <c r="Y34" s="5"/>
      <c r="Z34" s="5"/>
      <c r="AA34" s="5"/>
      <c r="AB34" s="5"/>
      <c r="AC34" s="3"/>
      <c r="AD34" s="3"/>
      <c r="AE34" s="3"/>
      <c r="AF34" s="5"/>
      <c r="AG34" s="5"/>
      <c r="AH34" s="5"/>
      <c r="AI34" s="3"/>
      <c r="AJ34" s="3"/>
      <c r="AK34" s="5"/>
      <c r="AL34" s="5"/>
      <c r="AM34" s="5"/>
      <c r="AN34" s="5"/>
      <c r="AO34" s="5"/>
      <c r="AP34" s="5"/>
      <c r="AQ34" s="5"/>
      <c r="AR34" s="5"/>
      <c r="AS34" s="5"/>
      <c r="AT34" s="5"/>
      <c r="AU34" s="3"/>
      <c r="AV34" s="3"/>
      <c r="AW34" s="5"/>
      <c r="AX34" s="5"/>
      <c r="AY34" s="5"/>
      <c r="AZ34" s="5"/>
      <c r="BA34" s="3">
        <v>2.8299999999999999E-9</v>
      </c>
      <c r="BB34" s="3" t="s">
        <v>230</v>
      </c>
      <c r="BC34" s="5"/>
      <c r="BD34" s="5" t="s">
        <v>92</v>
      </c>
      <c r="BE34" s="3">
        <v>30</v>
      </c>
      <c r="BF34" s="19">
        <v>0.75</v>
      </c>
      <c r="BG34" s="6">
        <v>5</v>
      </c>
      <c r="BH34" s="5"/>
      <c r="BI34" s="5"/>
      <c r="BJ34" s="5"/>
      <c r="BK34" s="5"/>
      <c r="BL34" s="5"/>
      <c r="BM34" s="5"/>
      <c r="BN34" s="3"/>
      <c r="BO34" s="5"/>
      <c r="BP34" s="5"/>
      <c r="BQ34" s="5"/>
      <c r="BR34" s="3"/>
      <c r="BS34" s="5"/>
      <c r="BT34" s="5"/>
      <c r="BU34" s="5"/>
      <c r="BV34" s="5"/>
      <c r="BW34" s="5"/>
      <c r="BX34" s="5" t="s">
        <v>98</v>
      </c>
      <c r="BY34" s="2" t="s">
        <v>99</v>
      </c>
      <c r="BZ34" s="5" t="s">
        <v>84</v>
      </c>
      <c r="CA34" s="5" t="s">
        <v>231</v>
      </c>
      <c r="CB34" s="5"/>
    </row>
    <row r="35" spans="1:80" ht="14.45" hidden="1">
      <c r="A35">
        <v>21</v>
      </c>
      <c r="B35" t="s">
        <v>224</v>
      </c>
      <c r="C35" t="s">
        <v>225</v>
      </c>
      <c r="D35" s="6">
        <v>2025</v>
      </c>
      <c r="E35" t="s">
        <v>226</v>
      </c>
      <c r="F35" t="s">
        <v>227</v>
      </c>
      <c r="G35" s="2" t="s">
        <v>84</v>
      </c>
      <c r="H35" s="2" t="s">
        <v>85</v>
      </c>
      <c r="I35" t="s">
        <v>100</v>
      </c>
      <c r="J35" s="3"/>
      <c r="K35" t="s">
        <v>160</v>
      </c>
      <c r="L35" t="s">
        <v>233</v>
      </c>
      <c r="N35" t="s">
        <v>141</v>
      </c>
      <c r="Q35" t="s">
        <v>234</v>
      </c>
      <c r="T35" s="3">
        <v>75</v>
      </c>
      <c r="U35" s="3" t="s">
        <v>230</v>
      </c>
      <c r="V35" s="3">
        <v>5</v>
      </c>
      <c r="W35" s="3"/>
      <c r="X35" s="3"/>
      <c r="AC35" s="3"/>
      <c r="AD35" s="3"/>
      <c r="AE35" s="3"/>
      <c r="AI35" s="3"/>
      <c r="AJ35" s="3"/>
      <c r="AU35" s="3"/>
      <c r="AV35" s="3"/>
      <c r="BA35" s="3">
        <v>5.4870000000000001E-8</v>
      </c>
      <c r="BB35" s="3" t="s">
        <v>230</v>
      </c>
      <c r="BD35" t="s">
        <v>92</v>
      </c>
      <c r="BE35" s="3">
        <v>30</v>
      </c>
      <c r="BF35" s="19">
        <v>0.75</v>
      </c>
      <c r="BG35" s="6">
        <v>5</v>
      </c>
      <c r="BN35" s="3"/>
      <c r="BR35" s="3"/>
      <c r="BY35" s="2" t="s">
        <v>99</v>
      </c>
    </row>
    <row r="36" spans="1:80" ht="409.6" hidden="1">
      <c r="A36" s="5">
        <v>22</v>
      </c>
      <c r="B36" s="5" t="s">
        <v>235</v>
      </c>
      <c r="C36" s="5" t="s">
        <v>236</v>
      </c>
      <c r="D36" s="6">
        <v>2025</v>
      </c>
      <c r="E36" s="5" t="s">
        <v>237</v>
      </c>
      <c r="F36" s="5" t="s">
        <v>238</v>
      </c>
      <c r="G36" s="2" t="s">
        <v>84</v>
      </c>
      <c r="H36" s="2" t="s">
        <v>85</v>
      </c>
      <c r="I36" s="2" t="s">
        <v>84</v>
      </c>
      <c r="J36" s="3">
        <v>0.93</v>
      </c>
      <c r="K36" s="5"/>
      <c r="L36" s="5" t="s">
        <v>239</v>
      </c>
      <c r="M36" s="5" t="s">
        <v>239</v>
      </c>
      <c r="N36" s="5" t="s">
        <v>141</v>
      </c>
      <c r="O36" s="2" t="s">
        <v>84</v>
      </c>
      <c r="P36" s="2" t="s">
        <v>84</v>
      </c>
      <c r="Q36" s="5" t="s">
        <v>89</v>
      </c>
      <c r="R36" s="21">
        <v>0.05</v>
      </c>
      <c r="S36" s="5" t="s">
        <v>90</v>
      </c>
      <c r="T36" s="3">
        <v>23</v>
      </c>
      <c r="U36" s="3">
        <v>5</v>
      </c>
      <c r="V36" s="3">
        <v>3</v>
      </c>
      <c r="W36" s="3"/>
      <c r="X36" s="3"/>
      <c r="Y36" s="5"/>
      <c r="Z36" s="5"/>
      <c r="AA36" s="5"/>
      <c r="AB36" s="5"/>
      <c r="AC36" s="3"/>
      <c r="AD36" s="3"/>
      <c r="AE36" s="3"/>
      <c r="AF36" s="5"/>
      <c r="AG36" s="5"/>
      <c r="AH36" s="5"/>
      <c r="AI36" s="3"/>
      <c r="AJ36" s="3"/>
      <c r="AK36" s="5"/>
      <c r="AL36" s="5"/>
      <c r="AM36" s="5"/>
      <c r="AN36" s="5"/>
      <c r="AO36" s="5"/>
      <c r="AP36" s="5"/>
      <c r="AQ36" s="5"/>
      <c r="AR36" s="5"/>
      <c r="AS36" s="5"/>
      <c r="AT36" s="5"/>
      <c r="AU36" s="3"/>
      <c r="AV36" s="3"/>
      <c r="AW36" s="5"/>
      <c r="AX36" s="5"/>
      <c r="AY36" s="5"/>
      <c r="AZ36" s="5"/>
      <c r="BA36" s="3">
        <v>7.5999999999999996E-11</v>
      </c>
      <c r="BB36" s="3">
        <v>4.9999999999999997E-12</v>
      </c>
      <c r="BC36" s="5" t="s">
        <v>240</v>
      </c>
      <c r="BD36" s="5" t="s">
        <v>92</v>
      </c>
      <c r="BE36" s="3">
        <v>25</v>
      </c>
      <c r="BF36" s="19">
        <v>0.75</v>
      </c>
      <c r="BG36" s="6">
        <v>3</v>
      </c>
      <c r="BH36" s="5"/>
      <c r="BI36" s="5"/>
      <c r="BJ36" s="5"/>
      <c r="BK36" s="5"/>
      <c r="BL36" s="5"/>
      <c r="BM36" s="5"/>
      <c r="BN36" s="3"/>
      <c r="BO36" s="5"/>
      <c r="BP36" s="5"/>
      <c r="BQ36" s="5"/>
      <c r="BR36" s="3"/>
      <c r="BS36" s="5"/>
      <c r="BT36" s="5"/>
      <c r="BU36" s="5"/>
      <c r="BV36" s="5"/>
      <c r="BW36" s="5"/>
      <c r="BX36" s="5" t="s">
        <v>98</v>
      </c>
      <c r="BY36" s="2" t="s">
        <v>99</v>
      </c>
      <c r="BZ36" s="5" t="s">
        <v>100</v>
      </c>
      <c r="CA36" s="5" t="s">
        <v>241</v>
      </c>
      <c r="CB36" s="5"/>
    </row>
    <row r="37" spans="1:80" ht="14.45" hidden="1">
      <c r="A37">
        <v>22</v>
      </c>
      <c r="B37" t="s">
        <v>235</v>
      </c>
      <c r="C37" t="s">
        <v>236</v>
      </c>
      <c r="D37" s="6">
        <v>2025</v>
      </c>
      <c r="E37" t="s">
        <v>237</v>
      </c>
      <c r="F37" t="s">
        <v>238</v>
      </c>
      <c r="G37" s="2" t="s">
        <v>84</v>
      </c>
      <c r="H37" s="2" t="s">
        <v>85</v>
      </c>
      <c r="I37" t="s">
        <v>100</v>
      </c>
      <c r="J37" s="3"/>
      <c r="K37" t="s">
        <v>115</v>
      </c>
      <c r="L37" t="s">
        <v>239</v>
      </c>
      <c r="N37" t="s">
        <v>141</v>
      </c>
      <c r="Q37" t="s">
        <v>242</v>
      </c>
      <c r="S37" t="s">
        <v>90</v>
      </c>
      <c r="U37" s="3"/>
      <c r="V37" s="3">
        <v>3</v>
      </c>
      <c r="W37" s="3"/>
      <c r="X37" s="3"/>
      <c r="AC37" s="3"/>
      <c r="AD37" s="3"/>
      <c r="AE37" s="3"/>
      <c r="AI37" s="3"/>
      <c r="AJ37" s="3"/>
      <c r="AU37" s="3"/>
      <c r="AV37" s="3"/>
      <c r="BA37" s="3"/>
      <c r="BB37" s="3"/>
      <c r="BC37" t="s">
        <v>240</v>
      </c>
      <c r="BD37" t="s">
        <v>92</v>
      </c>
      <c r="BE37" s="3">
        <v>25</v>
      </c>
      <c r="BF37" s="19">
        <v>0.75</v>
      </c>
      <c r="BG37" s="6">
        <v>3</v>
      </c>
      <c r="BN37" s="3"/>
      <c r="BR37" s="3"/>
      <c r="BX37" t="s">
        <v>98</v>
      </c>
      <c r="BY37" s="2" t="s">
        <v>99</v>
      </c>
      <c r="BZ37" t="s">
        <v>100</v>
      </c>
      <c r="CA37" t="s">
        <v>241</v>
      </c>
    </row>
    <row r="38" spans="1:80" ht="409.6" hidden="1">
      <c r="A38" s="5">
        <v>22</v>
      </c>
      <c r="B38" s="5" t="s">
        <v>235</v>
      </c>
      <c r="C38" s="5" t="s">
        <v>236</v>
      </c>
      <c r="D38" s="6">
        <v>2025</v>
      </c>
      <c r="E38" s="5" t="s">
        <v>237</v>
      </c>
      <c r="F38" s="5" t="s">
        <v>238</v>
      </c>
      <c r="G38" s="2" t="s">
        <v>84</v>
      </c>
      <c r="H38" s="2" t="s">
        <v>85</v>
      </c>
      <c r="I38" s="2" t="s">
        <v>84</v>
      </c>
      <c r="J38" s="3">
        <v>0.93</v>
      </c>
      <c r="K38" s="5"/>
      <c r="L38" s="5" t="s">
        <v>239</v>
      </c>
      <c r="M38" s="5" t="s">
        <v>239</v>
      </c>
      <c r="N38" s="5" t="s">
        <v>141</v>
      </c>
      <c r="O38" s="2" t="s">
        <v>84</v>
      </c>
      <c r="P38" s="2" t="s">
        <v>84</v>
      </c>
      <c r="Q38" s="5" t="s">
        <v>89</v>
      </c>
      <c r="R38" s="21">
        <v>0.1</v>
      </c>
      <c r="S38" s="5" t="s">
        <v>90</v>
      </c>
      <c r="T38" s="3">
        <v>69</v>
      </c>
      <c r="U38" s="3">
        <v>2</v>
      </c>
      <c r="V38" s="3">
        <v>3</v>
      </c>
      <c r="W38" s="3"/>
      <c r="X38" s="3"/>
      <c r="Y38" s="5"/>
      <c r="Z38" s="5"/>
      <c r="AA38" s="5"/>
      <c r="AB38" s="5"/>
      <c r="AC38" s="3"/>
      <c r="AD38" s="3"/>
      <c r="AE38" s="3"/>
      <c r="AF38" s="5"/>
      <c r="AG38" s="5"/>
      <c r="AH38" s="5"/>
      <c r="AI38" s="3"/>
      <c r="AJ38" s="3"/>
      <c r="AK38" s="5"/>
      <c r="AL38" s="5"/>
      <c r="AM38" s="5"/>
      <c r="AN38" s="5"/>
      <c r="AO38" s="5"/>
      <c r="AP38" s="5"/>
      <c r="AQ38" s="5"/>
      <c r="AR38" s="5"/>
      <c r="AS38" s="5"/>
      <c r="AT38" s="5"/>
      <c r="AU38" s="3"/>
      <c r="AV38" s="3"/>
      <c r="AW38" s="5"/>
      <c r="AX38" s="5"/>
      <c r="AY38" s="5"/>
      <c r="AZ38" s="5"/>
      <c r="BA38" s="3">
        <v>3.3599999999999998E-10</v>
      </c>
      <c r="BB38" s="3">
        <v>2.0999999999999999E-11</v>
      </c>
      <c r="BC38" s="5" t="s">
        <v>240</v>
      </c>
      <c r="BD38" s="5" t="s">
        <v>92</v>
      </c>
      <c r="BE38" s="3">
        <v>25</v>
      </c>
      <c r="BF38" s="19">
        <v>0.75</v>
      </c>
      <c r="BG38" s="6">
        <v>3</v>
      </c>
      <c r="BH38" s="5"/>
      <c r="BI38" s="5"/>
      <c r="BJ38" s="5"/>
      <c r="BK38" s="5"/>
      <c r="BL38" s="5"/>
      <c r="BM38" s="5"/>
      <c r="BN38" s="3"/>
      <c r="BO38" s="5"/>
      <c r="BP38" s="5"/>
      <c r="BQ38" s="5"/>
      <c r="BR38" s="3"/>
      <c r="BS38" s="5"/>
      <c r="BT38" s="5"/>
      <c r="BU38" s="5"/>
      <c r="BV38" s="5"/>
      <c r="BW38" s="5"/>
      <c r="BX38" s="5" t="s">
        <v>98</v>
      </c>
      <c r="BY38" s="2" t="s">
        <v>99</v>
      </c>
      <c r="BZ38" s="5" t="s">
        <v>100</v>
      </c>
      <c r="CA38" s="5" t="s">
        <v>241</v>
      </c>
      <c r="CB38" s="5"/>
    </row>
    <row r="39" spans="1:80" ht="409.6" hidden="1">
      <c r="A39" s="5">
        <v>22</v>
      </c>
      <c r="B39" s="5" t="s">
        <v>235</v>
      </c>
      <c r="C39" s="5" t="s">
        <v>236</v>
      </c>
      <c r="D39" s="6">
        <v>2025</v>
      </c>
      <c r="E39" s="5" t="s">
        <v>237</v>
      </c>
      <c r="F39" s="5" t="s">
        <v>238</v>
      </c>
      <c r="G39" s="2" t="s">
        <v>84</v>
      </c>
      <c r="H39" s="2" t="s">
        <v>85</v>
      </c>
      <c r="I39" s="2" t="s">
        <v>84</v>
      </c>
      <c r="J39" s="3">
        <v>0.93</v>
      </c>
      <c r="K39" s="5"/>
      <c r="L39" s="5" t="s">
        <v>239</v>
      </c>
      <c r="M39" s="5" t="s">
        <v>239</v>
      </c>
      <c r="N39" s="5" t="s">
        <v>141</v>
      </c>
      <c r="O39" s="2" t="s">
        <v>84</v>
      </c>
      <c r="P39" s="2" t="s">
        <v>84</v>
      </c>
      <c r="Q39" s="5" t="s">
        <v>243</v>
      </c>
      <c r="R39" s="21">
        <v>0.05</v>
      </c>
      <c r="S39" s="5" t="s">
        <v>90</v>
      </c>
      <c r="T39" s="3">
        <v>19</v>
      </c>
      <c r="U39" s="3">
        <v>7</v>
      </c>
      <c r="V39" s="3">
        <v>3</v>
      </c>
      <c r="W39" s="3"/>
      <c r="X39" s="3"/>
      <c r="Y39" s="5"/>
      <c r="Z39" s="5"/>
      <c r="AA39" s="5"/>
      <c r="AB39" s="5"/>
      <c r="AC39" s="3"/>
      <c r="AD39" s="3"/>
      <c r="AE39" s="3"/>
      <c r="AF39" s="5"/>
      <c r="AG39" s="5"/>
      <c r="AH39" s="5"/>
      <c r="AI39" s="3"/>
      <c r="AJ39" s="3"/>
      <c r="AK39" s="5"/>
      <c r="AL39" s="5"/>
      <c r="AM39" s="5"/>
      <c r="AN39" s="5"/>
      <c r="AO39" s="5"/>
      <c r="AP39" s="5"/>
      <c r="AQ39" s="5"/>
      <c r="AR39" s="5"/>
      <c r="AS39" s="5"/>
      <c r="AT39" s="5"/>
      <c r="AU39" s="3"/>
      <c r="AV39" s="3"/>
      <c r="AW39" s="5"/>
      <c r="AX39" s="5"/>
      <c r="AY39" s="5"/>
      <c r="AZ39" s="5"/>
      <c r="BA39" s="3">
        <v>5.0999999999999998E-11</v>
      </c>
      <c r="BB39" s="3">
        <v>3.9999999999999999E-12</v>
      </c>
      <c r="BC39" s="5" t="s">
        <v>240</v>
      </c>
      <c r="BD39" s="5" t="s">
        <v>92</v>
      </c>
      <c r="BE39" s="3">
        <v>25</v>
      </c>
      <c r="BF39" s="19">
        <v>0.75</v>
      </c>
      <c r="BG39" s="6">
        <v>3</v>
      </c>
      <c r="BH39" s="5"/>
      <c r="BI39" s="5"/>
      <c r="BJ39" s="5"/>
      <c r="BK39" s="5"/>
      <c r="BL39" s="5"/>
      <c r="BM39" s="5"/>
      <c r="BN39" s="3"/>
      <c r="BO39" s="5"/>
      <c r="BP39" s="5"/>
      <c r="BQ39" s="5"/>
      <c r="BR39" s="3"/>
      <c r="BS39" s="5"/>
      <c r="BT39" s="5"/>
      <c r="BU39" s="5"/>
      <c r="BV39" s="5"/>
      <c r="BW39" s="5"/>
      <c r="BX39" s="5" t="s">
        <v>98</v>
      </c>
      <c r="BY39" s="2" t="s">
        <v>99</v>
      </c>
      <c r="BZ39" s="5" t="s">
        <v>100</v>
      </c>
      <c r="CA39" s="5" t="s">
        <v>241</v>
      </c>
      <c r="CB39" s="5"/>
    </row>
    <row r="40" spans="1:80" ht="14.45" hidden="1">
      <c r="A40">
        <v>22</v>
      </c>
      <c r="B40" t="s">
        <v>235</v>
      </c>
      <c r="C40" t="s">
        <v>236</v>
      </c>
      <c r="D40" s="6">
        <v>2025</v>
      </c>
      <c r="E40" t="s">
        <v>237</v>
      </c>
      <c r="F40" t="s">
        <v>238</v>
      </c>
      <c r="G40" s="2" t="s">
        <v>84</v>
      </c>
      <c r="H40" s="2" t="s">
        <v>85</v>
      </c>
      <c r="I40" t="s">
        <v>100</v>
      </c>
      <c r="J40" s="3"/>
      <c r="K40" t="s">
        <v>115</v>
      </c>
      <c r="L40" t="s">
        <v>239</v>
      </c>
      <c r="N40" t="s">
        <v>141</v>
      </c>
      <c r="Q40" t="s">
        <v>244</v>
      </c>
      <c r="S40" t="s">
        <v>90</v>
      </c>
      <c r="U40" s="3"/>
      <c r="V40" s="3">
        <v>3</v>
      </c>
      <c r="W40" s="3"/>
      <c r="X40" s="3"/>
      <c r="AC40" s="3"/>
      <c r="AD40" s="3"/>
      <c r="AE40" s="3"/>
      <c r="AI40" s="3"/>
      <c r="AJ40" s="3"/>
      <c r="AU40" s="3"/>
      <c r="AV40" s="3"/>
      <c r="BA40" s="3"/>
      <c r="BB40" s="3"/>
      <c r="BC40" t="s">
        <v>240</v>
      </c>
      <c r="BD40" t="s">
        <v>92</v>
      </c>
      <c r="BE40" s="3">
        <v>25</v>
      </c>
      <c r="BF40" s="19">
        <v>0.75</v>
      </c>
      <c r="BG40" s="6">
        <v>3</v>
      </c>
      <c r="BN40" s="3"/>
      <c r="BR40" s="3"/>
      <c r="BX40" t="s">
        <v>98</v>
      </c>
      <c r="BY40" s="2" t="s">
        <v>99</v>
      </c>
      <c r="BZ40" t="s">
        <v>100</v>
      </c>
      <c r="CA40" t="s">
        <v>241</v>
      </c>
    </row>
    <row r="41" spans="1:80" ht="409.6" hidden="1">
      <c r="A41" s="5">
        <v>22</v>
      </c>
      <c r="B41" s="5" t="s">
        <v>235</v>
      </c>
      <c r="C41" s="5" t="s">
        <v>236</v>
      </c>
      <c r="D41" s="6">
        <v>2025</v>
      </c>
      <c r="E41" s="5" t="s">
        <v>237</v>
      </c>
      <c r="F41" s="5" t="s">
        <v>238</v>
      </c>
      <c r="G41" s="2" t="s">
        <v>84</v>
      </c>
      <c r="H41" s="2" t="s">
        <v>85</v>
      </c>
      <c r="I41" s="2" t="s">
        <v>84</v>
      </c>
      <c r="J41" s="3">
        <v>0.93</v>
      </c>
      <c r="K41" s="5"/>
      <c r="L41" s="5" t="s">
        <v>239</v>
      </c>
      <c r="M41" s="5" t="s">
        <v>239</v>
      </c>
      <c r="N41" s="5" t="s">
        <v>141</v>
      </c>
      <c r="O41" s="2" t="s">
        <v>84</v>
      </c>
      <c r="P41" s="2" t="s">
        <v>84</v>
      </c>
      <c r="Q41" s="5" t="s">
        <v>243</v>
      </c>
      <c r="R41" s="21">
        <v>0.1</v>
      </c>
      <c r="S41" s="5" t="s">
        <v>90</v>
      </c>
      <c r="T41" s="3">
        <v>64</v>
      </c>
      <c r="U41" s="3">
        <v>3</v>
      </c>
      <c r="V41" s="3">
        <v>3</v>
      </c>
      <c r="W41" s="3"/>
      <c r="X41" s="3"/>
      <c r="Y41" s="5"/>
      <c r="Z41" s="5"/>
      <c r="AA41" s="5"/>
      <c r="AB41" s="5"/>
      <c r="AC41" s="3"/>
      <c r="AD41" s="3"/>
      <c r="AE41" s="3"/>
      <c r="AF41" s="5"/>
      <c r="AG41" s="5"/>
      <c r="AH41" s="5"/>
      <c r="AI41" s="3"/>
      <c r="AJ41" s="3"/>
      <c r="AK41" s="5"/>
      <c r="AL41" s="5"/>
      <c r="AM41" s="5"/>
      <c r="AN41" s="5"/>
      <c r="AO41" s="5"/>
      <c r="AP41" s="5"/>
      <c r="AQ41" s="5"/>
      <c r="AR41" s="5"/>
      <c r="AS41" s="5"/>
      <c r="AT41" s="5"/>
      <c r="AU41" s="3"/>
      <c r="AV41" s="3"/>
      <c r="AW41" s="5"/>
      <c r="AX41" s="5"/>
      <c r="AY41" s="5"/>
      <c r="AZ41" s="5"/>
      <c r="BA41" s="3">
        <v>1.9200000000000001E-10</v>
      </c>
      <c r="BB41" s="3">
        <v>7.0000000000000001E-12</v>
      </c>
      <c r="BC41" s="5" t="s">
        <v>240</v>
      </c>
      <c r="BD41" s="5" t="s">
        <v>92</v>
      </c>
      <c r="BE41" s="3">
        <v>25</v>
      </c>
      <c r="BF41" s="19">
        <v>0.75</v>
      </c>
      <c r="BG41" s="6">
        <v>3</v>
      </c>
      <c r="BH41" s="5"/>
      <c r="BI41" s="5"/>
      <c r="BJ41" s="5"/>
      <c r="BK41" s="5"/>
      <c r="BL41" s="5"/>
      <c r="BM41" s="5"/>
      <c r="BN41" s="3"/>
      <c r="BO41" s="5"/>
      <c r="BP41" s="5"/>
      <c r="BQ41" s="5"/>
      <c r="BR41" s="3"/>
      <c r="BS41" s="5"/>
      <c r="BT41" s="5"/>
      <c r="BU41" s="5"/>
      <c r="BV41" s="5"/>
      <c r="BW41" s="5"/>
      <c r="BX41" s="5" t="s">
        <v>98</v>
      </c>
      <c r="BY41" s="2" t="s">
        <v>99</v>
      </c>
      <c r="BZ41" s="5" t="s">
        <v>100</v>
      </c>
      <c r="CA41" s="5" t="s">
        <v>241</v>
      </c>
      <c r="CB41" s="5"/>
    </row>
    <row r="42" spans="1:80" ht="409.6" hidden="1">
      <c r="A42" s="5">
        <v>22</v>
      </c>
      <c r="B42" s="5" t="s">
        <v>235</v>
      </c>
      <c r="C42" s="5" t="s">
        <v>236</v>
      </c>
      <c r="D42" s="6">
        <v>2025</v>
      </c>
      <c r="E42" s="5" t="s">
        <v>237</v>
      </c>
      <c r="F42" s="5" t="s">
        <v>238</v>
      </c>
      <c r="G42" s="2" t="s">
        <v>84</v>
      </c>
      <c r="H42" s="2" t="s">
        <v>85</v>
      </c>
      <c r="I42" s="2" t="s">
        <v>84</v>
      </c>
      <c r="J42" s="3">
        <v>0.93</v>
      </c>
      <c r="K42" s="5"/>
      <c r="L42" s="5" t="s">
        <v>239</v>
      </c>
      <c r="M42" s="5" t="s">
        <v>239</v>
      </c>
      <c r="N42" s="5" t="s">
        <v>141</v>
      </c>
      <c r="O42" s="2" t="s">
        <v>84</v>
      </c>
      <c r="P42" s="2" t="s">
        <v>84</v>
      </c>
      <c r="Q42" s="5" t="s">
        <v>245</v>
      </c>
      <c r="R42" s="21">
        <v>0.05</v>
      </c>
      <c r="S42" s="5" t="s">
        <v>90</v>
      </c>
      <c r="T42" s="3">
        <v>15</v>
      </c>
      <c r="U42" s="3">
        <v>3</v>
      </c>
      <c r="V42" s="3">
        <v>3</v>
      </c>
      <c r="W42" s="3"/>
      <c r="X42" s="3"/>
      <c r="Y42" s="5"/>
      <c r="Z42" s="5"/>
      <c r="AA42" s="5"/>
      <c r="AB42" s="5"/>
      <c r="AC42" s="3"/>
      <c r="AD42" s="3"/>
      <c r="AE42" s="3"/>
      <c r="AF42" s="5"/>
      <c r="AG42" s="5"/>
      <c r="AH42" s="5"/>
      <c r="AI42" s="3"/>
      <c r="AJ42" s="3"/>
      <c r="AK42" s="5"/>
      <c r="AL42" s="5"/>
      <c r="AM42" s="5"/>
      <c r="AN42" s="5"/>
      <c r="AO42" s="5"/>
      <c r="AP42" s="5"/>
      <c r="AQ42" s="5"/>
      <c r="AR42" s="5"/>
      <c r="AS42" s="5"/>
      <c r="AT42" s="5"/>
      <c r="AU42" s="3"/>
      <c r="AV42" s="3"/>
      <c r="AW42" s="5"/>
      <c r="AX42" s="5"/>
      <c r="AY42" s="5"/>
      <c r="AZ42" s="5"/>
      <c r="BA42" s="3">
        <v>2.9E-11</v>
      </c>
      <c r="BB42" s="3">
        <v>6.0000000000000003E-12</v>
      </c>
      <c r="BC42" s="5" t="s">
        <v>240</v>
      </c>
      <c r="BD42" s="5" t="s">
        <v>92</v>
      </c>
      <c r="BE42" s="3">
        <v>25</v>
      </c>
      <c r="BF42" s="19">
        <v>0.75</v>
      </c>
      <c r="BG42" s="6">
        <v>3</v>
      </c>
      <c r="BH42" s="5"/>
      <c r="BI42" s="5"/>
      <c r="BJ42" s="5"/>
      <c r="BK42" s="5"/>
      <c r="BL42" s="5"/>
      <c r="BM42" s="5"/>
      <c r="BN42" s="3"/>
      <c r="BO42" s="5"/>
      <c r="BP42" s="5"/>
      <c r="BQ42" s="5"/>
      <c r="BR42" s="3"/>
      <c r="BS42" s="5"/>
      <c r="BT42" s="5"/>
      <c r="BU42" s="5"/>
      <c r="BV42" s="5"/>
      <c r="BW42" s="5"/>
      <c r="BX42" s="5" t="s">
        <v>98</v>
      </c>
      <c r="BY42" s="2" t="s">
        <v>99</v>
      </c>
      <c r="BZ42" s="5" t="s">
        <v>100</v>
      </c>
      <c r="CA42" s="5" t="s">
        <v>241</v>
      </c>
      <c r="CB42" s="5"/>
    </row>
    <row r="43" spans="1:80" ht="14.45" hidden="1">
      <c r="A43">
        <v>22</v>
      </c>
      <c r="B43" t="s">
        <v>235</v>
      </c>
      <c r="C43" t="s">
        <v>236</v>
      </c>
      <c r="D43" s="6">
        <v>2025</v>
      </c>
      <c r="E43" t="s">
        <v>237</v>
      </c>
      <c r="F43" t="s">
        <v>238</v>
      </c>
      <c r="G43" s="2" t="s">
        <v>84</v>
      </c>
      <c r="H43" s="2" t="s">
        <v>85</v>
      </c>
      <c r="I43" t="s">
        <v>100</v>
      </c>
      <c r="J43" s="3"/>
      <c r="K43" t="s">
        <v>115</v>
      </c>
      <c r="L43" t="s">
        <v>239</v>
      </c>
      <c r="N43" t="s">
        <v>141</v>
      </c>
      <c r="Q43" t="s">
        <v>246</v>
      </c>
      <c r="S43" t="s">
        <v>90</v>
      </c>
      <c r="U43" s="3"/>
      <c r="V43" s="3">
        <v>3</v>
      </c>
      <c r="W43" s="3"/>
      <c r="X43" s="3"/>
      <c r="AC43" s="3"/>
      <c r="AD43" s="3"/>
      <c r="AE43" s="3"/>
      <c r="AI43" s="3"/>
      <c r="AJ43" s="3"/>
      <c r="AU43" s="3"/>
      <c r="AV43" s="3"/>
      <c r="BA43" s="3"/>
      <c r="BB43" s="3"/>
      <c r="BC43" t="s">
        <v>240</v>
      </c>
      <c r="BD43" t="s">
        <v>92</v>
      </c>
      <c r="BE43" s="3">
        <v>25</v>
      </c>
      <c r="BF43" s="19">
        <v>0.75</v>
      </c>
      <c r="BG43" s="6">
        <v>3</v>
      </c>
      <c r="BN43" s="3"/>
      <c r="BR43" s="3"/>
      <c r="BX43" t="s">
        <v>98</v>
      </c>
      <c r="BY43" s="2" t="s">
        <v>99</v>
      </c>
      <c r="BZ43" t="s">
        <v>100</v>
      </c>
      <c r="CA43" t="s">
        <v>241</v>
      </c>
    </row>
    <row r="44" spans="1:80" ht="409.6" hidden="1">
      <c r="A44" s="5">
        <v>22</v>
      </c>
      <c r="B44" s="5" t="s">
        <v>235</v>
      </c>
      <c r="C44" s="5" t="s">
        <v>236</v>
      </c>
      <c r="D44" s="6">
        <v>2025</v>
      </c>
      <c r="E44" s="5" t="s">
        <v>237</v>
      </c>
      <c r="F44" s="5" t="s">
        <v>238</v>
      </c>
      <c r="G44" s="2" t="s">
        <v>84</v>
      </c>
      <c r="H44" s="2" t="s">
        <v>85</v>
      </c>
      <c r="I44" s="2" t="s">
        <v>84</v>
      </c>
      <c r="J44" s="3">
        <v>0.93</v>
      </c>
      <c r="K44" s="5"/>
      <c r="L44" s="5" t="s">
        <v>239</v>
      </c>
      <c r="M44" s="5" t="s">
        <v>239</v>
      </c>
      <c r="N44" s="5" t="s">
        <v>141</v>
      </c>
      <c r="O44" s="2" t="s">
        <v>84</v>
      </c>
      <c r="P44" s="2" t="s">
        <v>84</v>
      </c>
      <c r="Q44" s="5" t="s">
        <v>245</v>
      </c>
      <c r="R44" s="21">
        <v>0.1</v>
      </c>
      <c r="S44" s="5" t="s">
        <v>90</v>
      </c>
      <c r="T44" s="3">
        <v>60</v>
      </c>
      <c r="U44" s="3">
        <v>5</v>
      </c>
      <c r="V44" s="3">
        <v>3</v>
      </c>
      <c r="W44" s="3"/>
      <c r="X44" s="3"/>
      <c r="Y44" s="5"/>
      <c r="Z44" s="5"/>
      <c r="AA44" s="5"/>
      <c r="AB44" s="5"/>
      <c r="AC44" s="3"/>
      <c r="AD44" s="3"/>
      <c r="AE44" s="3"/>
      <c r="AF44" s="5"/>
      <c r="AG44" s="5"/>
      <c r="AH44" s="5"/>
      <c r="AI44" s="3"/>
      <c r="AJ44" s="3"/>
      <c r="AK44" s="5"/>
      <c r="AL44" s="5"/>
      <c r="AM44" s="5"/>
      <c r="AN44" s="5"/>
      <c r="AO44" s="5"/>
      <c r="AP44" s="5"/>
      <c r="AQ44" s="5"/>
      <c r="AR44" s="5"/>
      <c r="AS44" s="5"/>
      <c r="AT44" s="5"/>
      <c r="AU44" s="3"/>
      <c r="AV44" s="3"/>
      <c r="AW44" s="5"/>
      <c r="AX44" s="5"/>
      <c r="AY44" s="5"/>
      <c r="AZ44" s="5"/>
      <c r="BA44" s="3">
        <v>1.15E-10</v>
      </c>
      <c r="BB44" s="3">
        <v>1.4E-11</v>
      </c>
      <c r="BC44" s="5" t="s">
        <v>240</v>
      </c>
      <c r="BD44" s="5" t="s">
        <v>92</v>
      </c>
      <c r="BE44" s="3">
        <v>25</v>
      </c>
      <c r="BF44" s="19">
        <v>0.75</v>
      </c>
      <c r="BG44" s="6">
        <v>3</v>
      </c>
      <c r="BH44" s="5"/>
      <c r="BI44" s="5"/>
      <c r="BJ44" s="5"/>
      <c r="BK44" s="5"/>
      <c r="BL44" s="5"/>
      <c r="BM44" s="5"/>
      <c r="BN44" s="3"/>
      <c r="BO44" s="5"/>
      <c r="BP44" s="5"/>
      <c r="BQ44" s="5"/>
      <c r="BR44" s="3"/>
      <c r="BS44" s="5"/>
      <c r="BT44" s="5"/>
      <c r="BU44" s="5"/>
      <c r="BV44" s="5"/>
      <c r="BW44" s="5"/>
      <c r="BX44" s="5" t="s">
        <v>98</v>
      </c>
      <c r="BY44" s="2" t="s">
        <v>99</v>
      </c>
      <c r="BZ44" s="5" t="s">
        <v>100</v>
      </c>
      <c r="CA44" s="5" t="s">
        <v>241</v>
      </c>
      <c r="CB44" s="5"/>
    </row>
    <row r="45" spans="1:80" ht="409.6" hidden="1">
      <c r="A45" s="5">
        <v>22</v>
      </c>
      <c r="B45" s="5" t="s">
        <v>235</v>
      </c>
      <c r="C45" s="5" t="s">
        <v>236</v>
      </c>
      <c r="D45" s="6">
        <v>2025</v>
      </c>
      <c r="E45" s="5" t="s">
        <v>237</v>
      </c>
      <c r="F45" s="5" t="s">
        <v>238</v>
      </c>
      <c r="G45" s="2" t="s">
        <v>84</v>
      </c>
      <c r="H45" s="2" t="s">
        <v>85</v>
      </c>
      <c r="I45" s="2" t="s">
        <v>84</v>
      </c>
      <c r="J45" s="3">
        <v>0.93</v>
      </c>
      <c r="K45" s="5"/>
      <c r="L45" s="5" t="s">
        <v>239</v>
      </c>
      <c r="M45" s="5" t="s">
        <v>239</v>
      </c>
      <c r="N45" s="5" t="s">
        <v>141</v>
      </c>
      <c r="O45" s="2" t="s">
        <v>84</v>
      </c>
      <c r="P45" s="2" t="s">
        <v>84</v>
      </c>
      <c r="Q45" s="5" t="s">
        <v>100</v>
      </c>
      <c r="R45" s="21">
        <v>0</v>
      </c>
      <c r="S45" s="5" t="s">
        <v>90</v>
      </c>
      <c r="T45" s="3">
        <v>25</v>
      </c>
      <c r="U45" s="3">
        <v>8</v>
      </c>
      <c r="V45" s="3">
        <v>3</v>
      </c>
      <c r="W45" s="3"/>
      <c r="X45" s="3"/>
      <c r="Y45" s="5"/>
      <c r="Z45" s="5"/>
      <c r="AA45" s="5"/>
      <c r="AB45" s="5"/>
      <c r="AC45" s="3"/>
      <c r="AD45" s="3"/>
      <c r="AE45" s="3"/>
      <c r="AF45" s="5"/>
      <c r="AG45" s="5"/>
      <c r="AH45" s="5"/>
      <c r="AI45" s="3"/>
      <c r="AJ45" s="3"/>
      <c r="AK45" s="5"/>
      <c r="AL45" s="5"/>
      <c r="AM45" s="5"/>
      <c r="AN45" s="5"/>
      <c r="AO45" s="5"/>
      <c r="AP45" s="5"/>
      <c r="AQ45" s="5"/>
      <c r="AR45" s="5"/>
      <c r="AS45" s="5"/>
      <c r="AT45" s="5"/>
      <c r="AU45" s="3"/>
      <c r="AV45" s="3"/>
      <c r="AW45" s="5"/>
      <c r="AX45" s="5"/>
      <c r="AY45" s="5"/>
      <c r="AZ45" s="5"/>
      <c r="BA45" s="3">
        <v>8.2000000000000001E-11</v>
      </c>
      <c r="BB45" s="3">
        <v>3.9999999999999999E-12</v>
      </c>
      <c r="BC45" s="5" t="s">
        <v>240</v>
      </c>
      <c r="BD45" s="5" t="s">
        <v>92</v>
      </c>
      <c r="BE45" s="3">
        <v>25</v>
      </c>
      <c r="BF45" s="19">
        <v>0.75</v>
      </c>
      <c r="BG45" s="6">
        <v>3</v>
      </c>
      <c r="BH45" s="5"/>
      <c r="BI45" s="5"/>
      <c r="BJ45" s="5"/>
      <c r="BK45" s="5"/>
      <c r="BL45" s="5"/>
      <c r="BM45" s="5"/>
      <c r="BN45" s="3"/>
      <c r="BO45" s="5"/>
      <c r="BP45" s="5"/>
      <c r="BQ45" s="5"/>
      <c r="BR45" s="3"/>
      <c r="BS45" s="5"/>
      <c r="BT45" s="5"/>
      <c r="BU45" s="5"/>
      <c r="BV45" s="5"/>
      <c r="BW45" s="5"/>
      <c r="BX45" s="5" t="s">
        <v>98</v>
      </c>
      <c r="BY45" s="2" t="s">
        <v>99</v>
      </c>
      <c r="BZ45" s="5" t="s">
        <v>100</v>
      </c>
      <c r="CA45" s="5" t="s">
        <v>241</v>
      </c>
      <c r="CB45" s="5"/>
    </row>
    <row r="46" spans="1:80" ht="144" hidden="1">
      <c r="A46" s="2">
        <v>23</v>
      </c>
      <c r="B46" s="2" t="s">
        <v>247</v>
      </c>
      <c r="C46" s="2" t="s">
        <v>248</v>
      </c>
      <c r="D46" s="6">
        <v>2025</v>
      </c>
      <c r="E46" s="2" t="s">
        <v>226</v>
      </c>
      <c r="F46" s="2" t="s">
        <v>249</v>
      </c>
      <c r="G46" s="2" t="s">
        <v>84</v>
      </c>
      <c r="H46" s="2" t="s">
        <v>85</v>
      </c>
      <c r="I46" s="2" t="s">
        <v>100</v>
      </c>
      <c r="J46" s="3"/>
      <c r="K46" s="2" t="s">
        <v>115</v>
      </c>
      <c r="L46" s="2"/>
      <c r="M46" s="2"/>
      <c r="N46" s="2"/>
      <c r="O46" s="2"/>
      <c r="P46" s="2"/>
      <c r="Q46" s="2"/>
      <c r="R46" s="2"/>
      <c r="S46" s="2"/>
      <c r="T46" s="3"/>
      <c r="U46" s="3"/>
      <c r="V46" s="3"/>
      <c r="W46" s="3"/>
      <c r="X46" s="3"/>
      <c r="Y46" s="2"/>
      <c r="Z46" s="2"/>
      <c r="AA46" s="2"/>
      <c r="AB46" s="2"/>
      <c r="AC46" s="3"/>
      <c r="AD46" s="3"/>
      <c r="AE46" s="3"/>
      <c r="AF46" s="2"/>
      <c r="AG46" s="2"/>
      <c r="AH46" s="2"/>
      <c r="AI46" s="3"/>
      <c r="AJ46" s="3"/>
      <c r="AK46" s="2"/>
      <c r="AL46" s="2"/>
      <c r="AM46" s="2"/>
      <c r="AN46" s="2"/>
      <c r="AO46" s="2"/>
      <c r="AP46" s="2"/>
      <c r="AQ46" s="2"/>
      <c r="AR46" s="2"/>
      <c r="AS46" s="2"/>
      <c r="AT46" s="2"/>
      <c r="AU46" s="3"/>
      <c r="AV46" s="3"/>
      <c r="AW46" s="2"/>
      <c r="AX46" s="2"/>
      <c r="AY46" s="2"/>
      <c r="AZ46" s="2"/>
      <c r="BA46" s="3"/>
      <c r="BB46" s="3"/>
      <c r="BC46" s="2"/>
      <c r="BD46" s="2"/>
      <c r="BE46" s="3"/>
      <c r="BF46" s="19"/>
      <c r="BG46" s="6"/>
      <c r="BH46" s="2"/>
      <c r="BI46" s="2"/>
      <c r="BJ46" s="2"/>
      <c r="BK46" s="2"/>
      <c r="BL46" s="2"/>
      <c r="BM46" s="2"/>
      <c r="BN46" s="3"/>
      <c r="BO46" s="2"/>
      <c r="BP46" s="2"/>
      <c r="BQ46" s="2"/>
      <c r="BR46" s="3"/>
      <c r="BS46" s="2"/>
      <c r="BT46" s="2"/>
      <c r="BU46" s="2"/>
      <c r="BV46" s="2"/>
      <c r="BW46" s="2"/>
      <c r="BX46" s="2"/>
      <c r="BY46" s="2" t="s">
        <v>99</v>
      </c>
      <c r="BZ46" s="2"/>
      <c r="CA46" s="2"/>
      <c r="CB46" s="2"/>
    </row>
    <row r="47" spans="1:80" ht="409.6" hidden="1">
      <c r="A47" s="2">
        <v>24</v>
      </c>
      <c r="B47" s="2" t="s">
        <v>250</v>
      </c>
      <c r="C47" s="2" t="s">
        <v>251</v>
      </c>
      <c r="D47" s="6">
        <v>2025</v>
      </c>
      <c r="E47" s="2" t="s">
        <v>118</v>
      </c>
      <c r="F47" s="2" t="s">
        <v>252</v>
      </c>
      <c r="G47" s="2" t="s">
        <v>84</v>
      </c>
      <c r="H47" s="2" t="s">
        <v>85</v>
      </c>
      <c r="I47" s="2" t="s">
        <v>84</v>
      </c>
      <c r="J47" s="3">
        <v>0.93</v>
      </c>
      <c r="K47" s="2"/>
      <c r="L47" s="2" t="s">
        <v>128</v>
      </c>
      <c r="M47" s="2" t="s">
        <v>128</v>
      </c>
      <c r="N47" s="2" t="s">
        <v>129</v>
      </c>
      <c r="O47" s="2" t="s">
        <v>84</v>
      </c>
      <c r="P47" s="2" t="s">
        <v>84</v>
      </c>
      <c r="Q47" s="2" t="s">
        <v>100</v>
      </c>
      <c r="R47" s="19">
        <v>0</v>
      </c>
      <c r="S47" s="2" t="s">
        <v>217</v>
      </c>
      <c r="T47" s="3">
        <v>140</v>
      </c>
      <c r="U47" s="3">
        <v>0</v>
      </c>
      <c r="V47" s="3">
        <v>3</v>
      </c>
      <c r="W47" s="3"/>
      <c r="X47" s="3"/>
      <c r="Y47" s="2"/>
      <c r="Z47" s="2" t="s">
        <v>253</v>
      </c>
      <c r="AA47" s="2" t="s">
        <v>230</v>
      </c>
      <c r="AB47" s="2">
        <v>53</v>
      </c>
      <c r="AC47" s="3"/>
      <c r="AD47" s="3"/>
      <c r="AE47" s="3"/>
      <c r="AF47" s="2"/>
      <c r="AG47" s="2"/>
      <c r="AH47" s="2"/>
      <c r="AI47" s="3"/>
      <c r="AJ47" s="3"/>
      <c r="AK47" s="2"/>
      <c r="AL47" s="2"/>
      <c r="AM47" s="2"/>
      <c r="AN47" s="2"/>
      <c r="AO47" s="2"/>
      <c r="AP47" s="2"/>
      <c r="AQ47" s="2"/>
      <c r="AR47" s="2"/>
      <c r="AS47" s="2"/>
      <c r="AT47" s="2"/>
      <c r="AU47" s="3"/>
      <c r="AV47" s="3"/>
      <c r="AW47" s="2"/>
      <c r="AX47" s="2" t="s">
        <v>92</v>
      </c>
      <c r="AY47" s="3">
        <v>25</v>
      </c>
      <c r="AZ47" s="4">
        <v>0.53</v>
      </c>
      <c r="BA47" s="3">
        <v>490000000000</v>
      </c>
      <c r="BB47" s="3">
        <v>110000000000</v>
      </c>
      <c r="BC47" s="5" t="s">
        <v>254</v>
      </c>
      <c r="BD47" s="2" t="s">
        <v>92</v>
      </c>
      <c r="BE47" s="3">
        <v>25</v>
      </c>
      <c r="BF47" s="19">
        <v>0.53</v>
      </c>
      <c r="BG47" s="6">
        <v>3</v>
      </c>
      <c r="BH47" s="2"/>
      <c r="BI47" s="2"/>
      <c r="BJ47" s="2"/>
      <c r="BK47" s="2"/>
      <c r="BL47" s="2"/>
      <c r="BM47" s="2"/>
      <c r="BN47" s="3"/>
      <c r="BO47" s="2"/>
      <c r="BP47" s="2"/>
      <c r="BQ47" s="2"/>
      <c r="BR47" s="3"/>
      <c r="BS47" s="2"/>
      <c r="BT47" s="2"/>
      <c r="BU47" s="2"/>
      <c r="BV47" s="2"/>
      <c r="BW47" s="2"/>
      <c r="BX47" s="2" t="s">
        <v>98</v>
      </c>
      <c r="BY47" s="2" t="s">
        <v>99</v>
      </c>
      <c r="BZ47" s="2" t="s">
        <v>100</v>
      </c>
      <c r="CA47" s="5" t="s">
        <v>255</v>
      </c>
      <c r="CB47" s="2"/>
    </row>
    <row r="48" spans="1:80" ht="409.6" hidden="1">
      <c r="A48" s="2">
        <v>24</v>
      </c>
      <c r="B48" s="2" t="s">
        <v>250</v>
      </c>
      <c r="C48" s="2" t="s">
        <v>251</v>
      </c>
      <c r="D48" s="6">
        <v>2025</v>
      </c>
      <c r="E48" s="2" t="s">
        <v>118</v>
      </c>
      <c r="F48" s="2" t="s">
        <v>252</v>
      </c>
      <c r="G48" s="2" t="s">
        <v>84</v>
      </c>
      <c r="H48" s="2" t="s">
        <v>85</v>
      </c>
      <c r="I48" s="2" t="s">
        <v>84</v>
      </c>
      <c r="J48" s="3">
        <v>0.93</v>
      </c>
      <c r="K48" s="2"/>
      <c r="L48" s="2" t="s">
        <v>256</v>
      </c>
      <c r="M48" s="2" t="s">
        <v>128</v>
      </c>
      <c r="N48" s="2" t="s">
        <v>129</v>
      </c>
      <c r="O48" s="2" t="s">
        <v>100</v>
      </c>
      <c r="P48" s="2" t="s">
        <v>84</v>
      </c>
      <c r="Q48" s="2" t="s">
        <v>89</v>
      </c>
      <c r="R48" s="19">
        <v>0.1</v>
      </c>
      <c r="S48" s="2" t="s">
        <v>217</v>
      </c>
      <c r="T48" s="3">
        <v>170</v>
      </c>
      <c r="U48" s="3">
        <v>0</v>
      </c>
      <c r="V48" s="3">
        <v>3</v>
      </c>
      <c r="W48" s="3"/>
      <c r="X48" s="3"/>
      <c r="Y48" s="2"/>
      <c r="Z48" s="2" t="s">
        <v>253</v>
      </c>
      <c r="AA48" s="2" t="s">
        <v>230</v>
      </c>
      <c r="AB48" s="2">
        <v>53</v>
      </c>
      <c r="AC48" s="3"/>
      <c r="AD48" s="3"/>
      <c r="AE48" s="3"/>
      <c r="AF48" s="2"/>
      <c r="AG48" s="2"/>
      <c r="AH48" s="2"/>
      <c r="AI48" s="3"/>
      <c r="AJ48" s="3"/>
      <c r="AK48" s="2"/>
      <c r="AL48" s="2"/>
      <c r="AM48" s="2"/>
      <c r="AN48" s="2"/>
      <c r="AO48" s="2"/>
      <c r="AP48" s="2"/>
      <c r="AQ48" s="2"/>
      <c r="AR48" s="2"/>
      <c r="AS48" s="2"/>
      <c r="AT48" s="2"/>
      <c r="AU48" s="3"/>
      <c r="AV48" s="3"/>
      <c r="AW48" s="2"/>
      <c r="AX48" s="2" t="s">
        <v>92</v>
      </c>
      <c r="AY48" s="3">
        <v>25</v>
      </c>
      <c r="AZ48" s="4">
        <v>0.53</v>
      </c>
      <c r="BA48" s="3">
        <v>21900000000000</v>
      </c>
      <c r="BB48" s="3">
        <v>500000000000</v>
      </c>
      <c r="BC48" s="5" t="s">
        <v>254</v>
      </c>
      <c r="BD48" s="2" t="s">
        <v>92</v>
      </c>
      <c r="BE48" s="3">
        <v>25</v>
      </c>
      <c r="BF48" s="19">
        <v>0.53</v>
      </c>
      <c r="BG48" s="6">
        <v>3</v>
      </c>
      <c r="BH48" s="2"/>
      <c r="BI48" s="2"/>
      <c r="BJ48" s="2"/>
      <c r="BK48" s="2"/>
      <c r="BL48" s="2"/>
      <c r="BM48" s="2"/>
      <c r="BN48" s="3"/>
      <c r="BO48" s="2"/>
      <c r="BP48" s="2"/>
      <c r="BQ48" s="2"/>
      <c r="BR48" s="3"/>
      <c r="BS48" s="2"/>
      <c r="BT48" s="2"/>
      <c r="BU48" s="2"/>
      <c r="BV48" s="2"/>
      <c r="BW48" s="2"/>
      <c r="BX48" s="2" t="s">
        <v>98</v>
      </c>
      <c r="BY48" s="2" t="s">
        <v>99</v>
      </c>
      <c r="BZ48" s="2" t="s">
        <v>100</v>
      </c>
      <c r="CA48" s="5" t="s">
        <v>255</v>
      </c>
      <c r="CB48" s="2"/>
    </row>
    <row r="49" spans="1:80" ht="86.45" hidden="1">
      <c r="A49" s="2">
        <v>25</v>
      </c>
      <c r="B49" s="2" t="s">
        <v>257</v>
      </c>
      <c r="C49" s="2" t="s">
        <v>258</v>
      </c>
      <c r="D49" s="6">
        <v>2025</v>
      </c>
      <c r="E49" s="2" t="s">
        <v>259</v>
      </c>
      <c r="F49" s="2" t="s">
        <v>260</v>
      </c>
      <c r="G49" s="2" t="s">
        <v>84</v>
      </c>
      <c r="H49" s="2" t="s">
        <v>85</v>
      </c>
      <c r="I49" s="2" t="s">
        <v>100</v>
      </c>
      <c r="J49" s="3"/>
      <c r="K49" s="2" t="s">
        <v>115</v>
      </c>
      <c r="L49" s="2"/>
      <c r="M49" s="2"/>
      <c r="N49" s="2"/>
      <c r="O49" s="2"/>
      <c r="P49" s="2"/>
      <c r="Q49" s="2"/>
      <c r="R49" s="2"/>
      <c r="S49" s="2"/>
      <c r="T49" s="3"/>
      <c r="U49" s="3"/>
      <c r="V49" s="3"/>
      <c r="W49" s="3"/>
      <c r="X49" s="3"/>
      <c r="Y49" s="2"/>
      <c r="Z49" s="2"/>
      <c r="AA49" s="2"/>
      <c r="AB49" s="2"/>
      <c r="AC49" s="3"/>
      <c r="AD49" s="3"/>
      <c r="AE49" s="3"/>
      <c r="AF49" s="2"/>
      <c r="AG49" s="2"/>
      <c r="AH49" s="2"/>
      <c r="AI49" s="3"/>
      <c r="AJ49" s="3"/>
      <c r="AK49" s="2"/>
      <c r="AL49" s="2"/>
      <c r="AM49" s="2"/>
      <c r="AN49" s="2"/>
      <c r="AO49" s="2"/>
      <c r="AP49" s="2"/>
      <c r="AQ49" s="2"/>
      <c r="AR49" s="2"/>
      <c r="AS49" s="2"/>
      <c r="AT49" s="2"/>
      <c r="AU49" s="3"/>
      <c r="AV49" s="3"/>
      <c r="AW49" s="2"/>
      <c r="AX49" s="2"/>
      <c r="AY49" s="2"/>
      <c r="AZ49" s="2"/>
      <c r="BA49" s="3"/>
      <c r="BB49" s="3"/>
      <c r="BC49" s="2"/>
      <c r="BD49" s="2"/>
      <c r="BE49" s="3"/>
      <c r="BF49" s="19"/>
      <c r="BG49" s="6"/>
      <c r="BH49" s="2"/>
      <c r="BI49" s="2"/>
      <c r="BJ49" s="2"/>
      <c r="BK49" s="2"/>
      <c r="BL49" s="2"/>
      <c r="BM49" s="2"/>
      <c r="BN49" s="3"/>
      <c r="BO49" s="2"/>
      <c r="BP49" s="2"/>
      <c r="BQ49" s="2"/>
      <c r="BR49" s="3"/>
      <c r="BS49" s="2"/>
      <c r="BT49" s="2"/>
      <c r="BU49" s="2"/>
      <c r="BV49" s="2"/>
      <c r="BW49" s="2"/>
      <c r="BX49" s="2"/>
      <c r="BY49" s="2" t="s">
        <v>99</v>
      </c>
      <c r="BZ49" s="2"/>
      <c r="CA49" s="2"/>
      <c r="CB49" s="2"/>
    </row>
    <row r="50" spans="1:80" ht="100.9" hidden="1">
      <c r="A50" s="2">
        <v>26</v>
      </c>
      <c r="B50" s="2" t="s">
        <v>261</v>
      </c>
      <c r="C50" s="2" t="s">
        <v>262</v>
      </c>
      <c r="D50" s="6">
        <v>2025</v>
      </c>
      <c r="E50" s="2" t="s">
        <v>202</v>
      </c>
      <c r="F50" s="2" t="s">
        <v>263</v>
      </c>
      <c r="G50" s="2" t="s">
        <v>84</v>
      </c>
      <c r="H50" s="2" t="s">
        <v>85</v>
      </c>
      <c r="I50" s="2" t="s">
        <v>100</v>
      </c>
      <c r="J50" s="3"/>
      <c r="K50" s="2" t="s">
        <v>160</v>
      </c>
      <c r="L50" s="2"/>
      <c r="M50" s="2"/>
      <c r="N50" s="2"/>
      <c r="O50" s="2"/>
      <c r="P50" s="2"/>
      <c r="Q50" s="2"/>
      <c r="R50" s="2"/>
      <c r="S50" s="2"/>
      <c r="T50" s="3"/>
      <c r="U50" s="3"/>
      <c r="V50" s="3"/>
      <c r="W50" s="3"/>
      <c r="X50" s="3"/>
      <c r="Y50" s="2"/>
      <c r="Z50" s="2"/>
      <c r="AA50" s="2"/>
      <c r="AB50" s="2"/>
      <c r="AC50" s="3"/>
      <c r="AD50" s="3"/>
      <c r="AE50" s="3"/>
      <c r="AF50" s="2"/>
      <c r="AG50" s="2"/>
      <c r="AH50" s="2"/>
      <c r="AI50" s="3"/>
      <c r="AJ50" s="3"/>
      <c r="AK50" s="2"/>
      <c r="AL50" s="2"/>
      <c r="AM50" s="2"/>
      <c r="AN50" s="2"/>
      <c r="AO50" s="2"/>
      <c r="AP50" s="2"/>
      <c r="AQ50" s="2"/>
      <c r="AR50" s="2"/>
      <c r="AS50" s="2"/>
      <c r="AT50" s="2"/>
      <c r="AU50" s="3"/>
      <c r="AV50" s="3"/>
      <c r="AW50" s="2"/>
      <c r="AX50" s="2"/>
      <c r="AY50" s="2"/>
      <c r="AZ50" s="2"/>
      <c r="BA50" s="3"/>
      <c r="BB50" s="3"/>
      <c r="BC50" s="2"/>
      <c r="BD50" s="2"/>
      <c r="BE50" s="3"/>
      <c r="BF50" s="19"/>
      <c r="BG50" s="6"/>
      <c r="BH50" s="2"/>
      <c r="BI50" s="2"/>
      <c r="BJ50" s="2"/>
      <c r="BK50" s="2"/>
      <c r="BL50" s="2"/>
      <c r="BM50" s="2"/>
      <c r="BN50" s="3"/>
      <c r="BO50" s="2"/>
      <c r="BP50" s="2"/>
      <c r="BQ50" s="2"/>
      <c r="BR50" s="3"/>
      <c r="BS50" s="2"/>
      <c r="BT50" s="2"/>
      <c r="BU50" s="2"/>
      <c r="BV50" s="2"/>
      <c r="BW50" s="2"/>
      <c r="BX50" s="2"/>
      <c r="BY50" s="2" t="s">
        <v>99</v>
      </c>
      <c r="BZ50" s="2"/>
      <c r="CA50" s="2"/>
      <c r="CB50" s="2"/>
    </row>
    <row r="51" spans="1:80" ht="409.6">
      <c r="A51" s="2">
        <v>27</v>
      </c>
      <c r="B51" s="2" t="s">
        <v>264</v>
      </c>
      <c r="C51" s="2" t="s">
        <v>265</v>
      </c>
      <c r="D51" s="6">
        <v>2025</v>
      </c>
      <c r="E51" s="2" t="s">
        <v>158</v>
      </c>
      <c r="F51" s="2" t="s">
        <v>266</v>
      </c>
      <c r="G51" s="2" t="s">
        <v>84</v>
      </c>
      <c r="H51" s="2" t="s">
        <v>85</v>
      </c>
      <c r="I51" s="2" t="s">
        <v>84</v>
      </c>
      <c r="J51" s="3">
        <v>1</v>
      </c>
      <c r="K51" s="2"/>
      <c r="L51" s="2" t="s">
        <v>267</v>
      </c>
      <c r="M51" s="2" t="s">
        <v>267</v>
      </c>
      <c r="N51" s="2" t="s">
        <v>88</v>
      </c>
      <c r="O51" s="2" t="s">
        <v>84</v>
      </c>
      <c r="P51" s="2" t="s">
        <v>84</v>
      </c>
      <c r="Q51" s="5" t="s">
        <v>100</v>
      </c>
      <c r="R51" s="21">
        <v>0</v>
      </c>
      <c r="S51" s="5" t="s">
        <v>90</v>
      </c>
      <c r="T51" s="3">
        <v>39.369999999999997</v>
      </c>
      <c r="U51" s="3">
        <v>1.59</v>
      </c>
      <c r="V51" s="3">
        <v>10</v>
      </c>
      <c r="W51" s="3"/>
      <c r="X51" s="3"/>
      <c r="Y51" s="2"/>
      <c r="Z51" s="2"/>
      <c r="AA51" s="2"/>
      <c r="AB51" s="2"/>
      <c r="AC51" s="3"/>
      <c r="AD51" s="3"/>
      <c r="AE51" s="3"/>
      <c r="AF51" s="2"/>
      <c r="AG51" s="2"/>
      <c r="AH51" s="2"/>
      <c r="AI51" s="3"/>
      <c r="AJ51" s="3"/>
      <c r="AK51" s="2"/>
      <c r="AL51" s="2"/>
      <c r="AM51" s="2"/>
      <c r="AN51" s="2"/>
      <c r="AO51" s="2"/>
      <c r="AP51" s="2"/>
      <c r="AQ51" s="2"/>
      <c r="AR51" s="2"/>
      <c r="AS51" s="2"/>
      <c r="AT51" s="2"/>
      <c r="AU51" s="3">
        <v>122.08</v>
      </c>
      <c r="AV51" s="3">
        <v>15.73</v>
      </c>
      <c r="AW51" s="14" t="s">
        <v>268</v>
      </c>
      <c r="AX51" s="2" t="s">
        <v>92</v>
      </c>
      <c r="AY51" s="3">
        <v>25</v>
      </c>
      <c r="AZ51" s="4">
        <v>0.9</v>
      </c>
      <c r="BA51" s="3">
        <v>6.65</v>
      </c>
      <c r="BB51" s="3">
        <v>0.08</v>
      </c>
      <c r="BC51" s="14" t="s">
        <v>269</v>
      </c>
      <c r="BD51" s="2" t="s">
        <v>92</v>
      </c>
      <c r="BE51" s="3">
        <v>25</v>
      </c>
      <c r="BF51" s="19">
        <v>0.9</v>
      </c>
      <c r="BG51" s="6">
        <v>5</v>
      </c>
      <c r="BH51" s="2" t="s">
        <v>270</v>
      </c>
      <c r="BI51" s="2"/>
      <c r="BJ51" s="2"/>
      <c r="BK51" s="2"/>
      <c r="BL51" s="2"/>
      <c r="BM51" s="2"/>
      <c r="BN51" s="3"/>
      <c r="BO51" s="2"/>
      <c r="BP51" s="2"/>
      <c r="BQ51" s="2"/>
      <c r="BR51" s="3"/>
      <c r="BS51" s="2"/>
      <c r="BT51" s="11">
        <v>3.5999999999999998E-11</v>
      </c>
      <c r="BU51" s="5" t="s">
        <v>271</v>
      </c>
      <c r="BV51" s="2" t="s">
        <v>96</v>
      </c>
      <c r="BW51" s="2" t="s">
        <v>97</v>
      </c>
      <c r="BX51" s="2" t="s">
        <v>98</v>
      </c>
      <c r="BY51" s="2" t="s">
        <v>99</v>
      </c>
      <c r="BZ51" s="2" t="s">
        <v>100</v>
      </c>
      <c r="CA51" s="5" t="s">
        <v>272</v>
      </c>
      <c r="CB51" s="2"/>
    </row>
    <row r="52" spans="1:80" ht="86.45" hidden="1">
      <c r="A52" s="2">
        <v>27</v>
      </c>
      <c r="B52" s="2" t="s">
        <v>264</v>
      </c>
      <c r="C52" s="2" t="s">
        <v>265</v>
      </c>
      <c r="D52" s="6">
        <v>2025</v>
      </c>
      <c r="E52" s="2" t="s">
        <v>158</v>
      </c>
      <c r="F52" s="2" t="s">
        <v>266</v>
      </c>
      <c r="G52" s="2" t="s">
        <v>84</v>
      </c>
      <c r="H52" s="2" t="s">
        <v>85</v>
      </c>
      <c r="I52" s="2" t="s">
        <v>100</v>
      </c>
      <c r="J52" s="3"/>
      <c r="K52" s="2" t="s">
        <v>160</v>
      </c>
      <c r="L52" s="2" t="s">
        <v>273</v>
      </c>
      <c r="M52" s="2"/>
      <c r="N52" s="2" t="s">
        <v>88</v>
      </c>
      <c r="O52" s="2"/>
      <c r="P52" s="2"/>
      <c r="Q52" s="2"/>
      <c r="R52" s="2"/>
      <c r="S52" t="s">
        <v>90</v>
      </c>
      <c r="T52" s="2">
        <v>31.56</v>
      </c>
      <c r="U52" s="3">
        <v>0.73</v>
      </c>
      <c r="V52" s="3">
        <v>10</v>
      </c>
      <c r="W52" s="3"/>
      <c r="X52" s="3"/>
      <c r="Y52" s="2"/>
      <c r="Z52" s="2"/>
      <c r="AA52" s="2"/>
      <c r="AB52" s="2"/>
      <c r="AC52" s="3"/>
      <c r="AD52" s="3"/>
      <c r="AE52" s="3"/>
      <c r="AF52" s="2"/>
      <c r="AG52" s="2"/>
      <c r="AH52" s="2"/>
      <c r="AI52" s="3"/>
      <c r="AJ52" s="3"/>
      <c r="AK52" s="2"/>
      <c r="AL52" s="2"/>
      <c r="AM52" s="2"/>
      <c r="AN52" s="2"/>
      <c r="AO52" s="2"/>
      <c r="AP52" s="2"/>
      <c r="AQ52" s="2"/>
      <c r="AR52" s="2"/>
      <c r="AS52" s="2"/>
      <c r="AT52" s="2"/>
      <c r="AU52" s="3">
        <v>119.5</v>
      </c>
      <c r="AV52" s="3">
        <v>2.9</v>
      </c>
      <c r="AW52" s="7" t="s">
        <v>268</v>
      </c>
      <c r="AX52" s="2" t="s">
        <v>92</v>
      </c>
      <c r="AY52" s="3">
        <v>25</v>
      </c>
      <c r="AZ52" s="4">
        <v>0.9</v>
      </c>
      <c r="BA52" s="3">
        <v>5.04</v>
      </c>
      <c r="BB52" s="3">
        <v>0.06</v>
      </c>
      <c r="BC52" s="7" t="s">
        <v>269</v>
      </c>
      <c r="BD52" s="2" t="s">
        <v>92</v>
      </c>
      <c r="BE52" s="3">
        <v>25</v>
      </c>
      <c r="BF52" s="19">
        <v>0.9</v>
      </c>
      <c r="BG52" s="6">
        <v>5</v>
      </c>
      <c r="BH52" s="2"/>
      <c r="BI52" s="2"/>
      <c r="BJ52" s="2"/>
      <c r="BK52" s="2"/>
      <c r="BL52" s="2"/>
      <c r="BM52" s="2"/>
      <c r="BN52" s="3"/>
      <c r="BO52" s="2"/>
      <c r="BP52" s="2"/>
      <c r="BQ52" s="2"/>
      <c r="BR52" s="3"/>
      <c r="BS52" s="2"/>
      <c r="BT52" s="11">
        <v>3.5999999999999998E-11</v>
      </c>
      <c r="BU52" t="s">
        <v>271</v>
      </c>
      <c r="BV52" s="2" t="s">
        <v>96</v>
      </c>
      <c r="BW52" s="2" t="s">
        <v>97</v>
      </c>
      <c r="BX52" s="2" t="s">
        <v>98</v>
      </c>
      <c r="BY52" s="2" t="s">
        <v>99</v>
      </c>
      <c r="BZ52" s="2" t="s">
        <v>100</v>
      </c>
      <c r="CA52" t="s">
        <v>272</v>
      </c>
      <c r="CB52" s="2"/>
    </row>
    <row r="53" spans="1:80" ht="409.6" hidden="1">
      <c r="A53" s="2">
        <v>27</v>
      </c>
      <c r="B53" s="2" t="s">
        <v>264</v>
      </c>
      <c r="C53" s="2" t="s">
        <v>265</v>
      </c>
      <c r="D53" s="6">
        <v>2025</v>
      </c>
      <c r="E53" s="2" t="s">
        <v>158</v>
      </c>
      <c r="F53" s="2" t="s">
        <v>266</v>
      </c>
      <c r="G53" s="2" t="s">
        <v>84</v>
      </c>
      <c r="H53" s="2" t="s">
        <v>85</v>
      </c>
      <c r="I53" s="2" t="s">
        <v>84</v>
      </c>
      <c r="J53" s="3">
        <v>1</v>
      </c>
      <c r="K53" s="2"/>
      <c r="L53" s="2" t="s">
        <v>140</v>
      </c>
      <c r="M53" s="2" t="s">
        <v>140</v>
      </c>
      <c r="N53" s="2" t="s">
        <v>88</v>
      </c>
      <c r="O53" s="2" t="s">
        <v>84</v>
      </c>
      <c r="P53" s="2" t="s">
        <v>84</v>
      </c>
      <c r="Q53" s="5" t="s">
        <v>100</v>
      </c>
      <c r="R53" s="21">
        <v>0</v>
      </c>
      <c r="S53" s="5" t="s">
        <v>90</v>
      </c>
      <c r="T53" s="2">
        <v>36.520000000000003</v>
      </c>
      <c r="U53" s="3">
        <v>0.47</v>
      </c>
      <c r="V53" s="3">
        <v>10</v>
      </c>
      <c r="W53" s="3"/>
      <c r="X53" s="3"/>
      <c r="Y53" s="2"/>
      <c r="Z53" s="2"/>
      <c r="AA53" s="2"/>
      <c r="AB53" s="2"/>
      <c r="AC53" s="3"/>
      <c r="AD53" s="3"/>
      <c r="AE53" s="3"/>
      <c r="AF53" s="2"/>
      <c r="AG53" s="2"/>
      <c r="AH53" s="2"/>
      <c r="AI53" s="3"/>
      <c r="AJ53" s="3"/>
      <c r="AK53" s="2"/>
      <c r="AL53" s="2"/>
      <c r="AM53" s="2"/>
      <c r="AN53" s="2"/>
      <c r="AO53" s="2"/>
      <c r="AP53" s="2"/>
      <c r="AQ53" s="2"/>
      <c r="AR53" s="2"/>
      <c r="AS53" s="2"/>
      <c r="AT53" s="2"/>
      <c r="AU53" s="3">
        <v>11.86</v>
      </c>
      <c r="AV53" s="3">
        <v>1.37</v>
      </c>
      <c r="AW53" s="14" t="s">
        <v>268</v>
      </c>
      <c r="AX53" s="2" t="s">
        <v>92</v>
      </c>
      <c r="AY53" s="3">
        <v>25</v>
      </c>
      <c r="AZ53" s="4">
        <v>0.9</v>
      </c>
      <c r="BA53" s="3">
        <v>0.55000000000000004</v>
      </c>
      <c r="BB53" s="3">
        <v>0.06</v>
      </c>
      <c r="BC53" s="14" t="s">
        <v>269</v>
      </c>
      <c r="BD53" s="2" t="s">
        <v>92</v>
      </c>
      <c r="BE53" s="3">
        <v>25</v>
      </c>
      <c r="BF53" s="19">
        <v>0.9</v>
      </c>
      <c r="BG53" s="6">
        <v>5</v>
      </c>
      <c r="BH53" s="2"/>
      <c r="BI53" s="2"/>
      <c r="BJ53" s="2"/>
      <c r="BK53" s="2"/>
      <c r="BL53" s="2"/>
      <c r="BM53" s="2"/>
      <c r="BN53" s="3"/>
      <c r="BO53" s="2"/>
      <c r="BP53" s="2"/>
      <c r="BQ53" s="2"/>
      <c r="BR53" s="3"/>
      <c r="BS53" s="2"/>
      <c r="BT53" s="11">
        <v>3.5999999999999998E-11</v>
      </c>
      <c r="BU53" s="5" t="s">
        <v>271</v>
      </c>
      <c r="BV53" s="2" t="s">
        <v>96</v>
      </c>
      <c r="BW53" s="2" t="s">
        <v>97</v>
      </c>
      <c r="BX53" s="2" t="s">
        <v>98</v>
      </c>
      <c r="BY53" s="2" t="s">
        <v>99</v>
      </c>
      <c r="BZ53" s="2" t="s">
        <v>100</v>
      </c>
      <c r="CA53" s="5" t="s">
        <v>272</v>
      </c>
      <c r="CB53" s="2"/>
    </row>
    <row r="54" spans="1:80" ht="86.45" hidden="1">
      <c r="A54" s="2">
        <v>27</v>
      </c>
      <c r="B54" s="2" t="s">
        <v>264</v>
      </c>
      <c r="C54" s="2" t="s">
        <v>265</v>
      </c>
      <c r="D54" s="6">
        <v>2025</v>
      </c>
      <c r="E54" s="2" t="s">
        <v>158</v>
      </c>
      <c r="F54" s="2" t="s">
        <v>266</v>
      </c>
      <c r="G54" s="2" t="s">
        <v>84</v>
      </c>
      <c r="H54" s="2" t="s">
        <v>85</v>
      </c>
      <c r="I54" s="2" t="s">
        <v>100</v>
      </c>
      <c r="J54" s="3"/>
      <c r="K54" s="2" t="s">
        <v>160</v>
      </c>
      <c r="L54" s="2" t="s">
        <v>274</v>
      </c>
      <c r="M54" s="2"/>
      <c r="N54" s="2" t="s">
        <v>88</v>
      </c>
      <c r="O54" s="2"/>
      <c r="P54" s="2"/>
      <c r="Q54" s="2"/>
      <c r="R54" s="2"/>
      <c r="S54" t="s">
        <v>90</v>
      </c>
      <c r="T54" s="2">
        <v>35.96</v>
      </c>
      <c r="U54" s="3">
        <v>0.19</v>
      </c>
      <c r="V54" s="3">
        <v>10</v>
      </c>
      <c r="W54" s="3"/>
      <c r="X54" s="3"/>
      <c r="Y54" s="2"/>
      <c r="Z54" s="2"/>
      <c r="AA54" s="2"/>
      <c r="AB54" s="2"/>
      <c r="AC54" s="3"/>
      <c r="AD54" s="3"/>
      <c r="AE54" s="3"/>
      <c r="AF54" s="2"/>
      <c r="AG54" s="2"/>
      <c r="AH54" s="2"/>
      <c r="AI54" s="3"/>
      <c r="AJ54" s="3"/>
      <c r="AK54" s="2"/>
      <c r="AL54" s="2"/>
      <c r="AM54" s="2"/>
      <c r="AN54" s="2"/>
      <c r="AO54" s="2"/>
      <c r="AP54" s="2"/>
      <c r="AQ54" s="2"/>
      <c r="AR54" s="2"/>
      <c r="AS54" s="2"/>
      <c r="AT54" s="2"/>
      <c r="AU54" s="3">
        <v>139.16999999999999</v>
      </c>
      <c r="AV54" s="3">
        <v>8.01</v>
      </c>
      <c r="AW54" s="7" t="s">
        <v>268</v>
      </c>
      <c r="AX54" s="2" t="s">
        <v>92</v>
      </c>
      <c r="AY54" s="3">
        <v>25</v>
      </c>
      <c r="AZ54" s="4">
        <v>0.9</v>
      </c>
      <c r="BA54" s="3">
        <v>7.8</v>
      </c>
      <c r="BB54" s="3">
        <v>0.91</v>
      </c>
      <c r="BC54" s="7" t="s">
        <v>269</v>
      </c>
      <c r="BD54" s="2" t="s">
        <v>92</v>
      </c>
      <c r="BE54" s="3">
        <v>25</v>
      </c>
      <c r="BF54" s="19">
        <v>0.9</v>
      </c>
      <c r="BG54" s="6">
        <v>5</v>
      </c>
      <c r="BH54" s="2"/>
      <c r="BI54" s="2"/>
      <c r="BJ54" s="2"/>
      <c r="BK54" s="2"/>
      <c r="BL54" s="2"/>
      <c r="BM54" s="2"/>
      <c r="BN54" s="3"/>
      <c r="BO54" s="2"/>
      <c r="BP54" s="2"/>
      <c r="BQ54" s="2"/>
      <c r="BR54" s="3"/>
      <c r="BS54" s="2"/>
      <c r="BT54" s="11">
        <v>3.5999999999999998E-11</v>
      </c>
      <c r="BU54" t="s">
        <v>271</v>
      </c>
      <c r="BV54" s="2" t="s">
        <v>96</v>
      </c>
      <c r="BW54" s="2" t="s">
        <v>97</v>
      </c>
      <c r="BX54" s="2" t="s">
        <v>98</v>
      </c>
      <c r="BY54" s="2" t="s">
        <v>99</v>
      </c>
      <c r="BZ54" s="2" t="s">
        <v>100</v>
      </c>
      <c r="CA54" t="s">
        <v>272</v>
      </c>
      <c r="CB54" s="2"/>
    </row>
    <row r="55" spans="1:80" ht="100.9" hidden="1">
      <c r="A55" s="2">
        <v>28</v>
      </c>
      <c r="B55" s="2" t="s">
        <v>275</v>
      </c>
      <c r="C55" s="2" t="s">
        <v>276</v>
      </c>
      <c r="D55" s="6">
        <v>2025</v>
      </c>
      <c r="E55" s="2" t="s">
        <v>277</v>
      </c>
      <c r="F55" s="2" t="s">
        <v>278</v>
      </c>
      <c r="G55" s="2" t="s">
        <v>84</v>
      </c>
      <c r="H55" s="2" t="s">
        <v>85</v>
      </c>
      <c r="I55" s="2" t="s">
        <v>100</v>
      </c>
      <c r="J55" s="3"/>
      <c r="K55" s="2" t="s">
        <v>115</v>
      </c>
      <c r="L55" s="2"/>
      <c r="M55" s="2"/>
      <c r="N55" s="2"/>
      <c r="O55" s="2"/>
      <c r="P55" s="2"/>
      <c r="Q55" s="2"/>
      <c r="R55" s="2"/>
      <c r="S55" s="2"/>
      <c r="T55" s="3"/>
      <c r="U55" s="3"/>
      <c r="V55" s="3"/>
      <c r="W55" s="3"/>
      <c r="X55" s="3"/>
      <c r="Y55" s="2"/>
      <c r="Z55" s="2"/>
      <c r="AA55" s="2"/>
      <c r="AB55" s="2"/>
      <c r="AC55" s="3"/>
      <c r="AD55" s="3"/>
      <c r="AE55" s="3"/>
      <c r="AF55" s="2"/>
      <c r="AG55" s="2"/>
      <c r="AH55" s="2"/>
      <c r="AI55" s="3"/>
      <c r="AJ55" s="3"/>
      <c r="AK55" s="2"/>
      <c r="AL55" s="2"/>
      <c r="AM55" s="2"/>
      <c r="AN55" s="2"/>
      <c r="AO55" s="2"/>
      <c r="AP55" s="2"/>
      <c r="AQ55" s="2"/>
      <c r="AR55" s="2"/>
      <c r="AS55" s="2"/>
      <c r="AT55" s="2"/>
      <c r="AU55" s="3"/>
      <c r="AV55" s="3"/>
      <c r="AW55" s="2"/>
      <c r="AX55" s="2"/>
      <c r="AY55" s="2"/>
      <c r="AZ55" s="2"/>
      <c r="BA55" s="3"/>
      <c r="BB55" s="3"/>
      <c r="BC55" s="2"/>
      <c r="BD55" s="2"/>
      <c r="BE55" s="3"/>
      <c r="BF55" s="19"/>
      <c r="BG55" s="6"/>
      <c r="BH55" s="2"/>
      <c r="BI55" s="2"/>
      <c r="BJ55" s="2"/>
      <c r="BK55" s="2"/>
      <c r="BL55" s="2"/>
      <c r="BM55" s="2"/>
      <c r="BN55" s="3"/>
      <c r="BO55" s="2"/>
      <c r="BP55" s="2"/>
      <c r="BQ55" s="2"/>
      <c r="BR55" s="3"/>
      <c r="BS55" s="2"/>
      <c r="BT55" s="2"/>
      <c r="BU55" s="2"/>
      <c r="BV55" s="2"/>
      <c r="BW55" s="2"/>
      <c r="BX55" s="2"/>
      <c r="BY55" s="2" t="s">
        <v>99</v>
      </c>
      <c r="BZ55" s="2"/>
      <c r="CA55" s="2"/>
      <c r="CB55" s="2"/>
    </row>
    <row r="56" spans="1:80" ht="100.9" hidden="1">
      <c r="A56" s="2">
        <v>29</v>
      </c>
      <c r="B56" s="2" t="s">
        <v>279</v>
      </c>
      <c r="C56" s="2" t="s">
        <v>280</v>
      </c>
      <c r="D56" s="6">
        <v>2025</v>
      </c>
      <c r="E56" s="2" t="s">
        <v>281</v>
      </c>
      <c r="F56" s="2" t="s">
        <v>282</v>
      </c>
      <c r="G56" s="2" t="s">
        <v>84</v>
      </c>
      <c r="H56" s="2" t="s">
        <v>85</v>
      </c>
      <c r="I56" s="2" t="s">
        <v>100</v>
      </c>
      <c r="J56" s="3"/>
      <c r="K56" s="2" t="s">
        <v>115</v>
      </c>
      <c r="L56" s="2"/>
      <c r="M56" s="2"/>
      <c r="N56" s="2"/>
      <c r="O56" s="2"/>
      <c r="P56" s="2"/>
      <c r="Q56" s="2"/>
      <c r="R56" s="2"/>
      <c r="S56" s="2"/>
      <c r="T56" s="3"/>
      <c r="U56" s="3"/>
      <c r="V56" s="3"/>
      <c r="W56" s="3"/>
      <c r="X56" s="3"/>
      <c r="Y56" s="2"/>
      <c r="Z56" s="2"/>
      <c r="AA56" s="2"/>
      <c r="AB56" s="2"/>
      <c r="AC56" s="3"/>
      <c r="AD56" s="3"/>
      <c r="AE56" s="3"/>
      <c r="AF56" s="2"/>
      <c r="AG56" s="2"/>
      <c r="AH56" s="2"/>
      <c r="AI56" s="3"/>
      <c r="AJ56" s="3"/>
      <c r="AK56" s="2"/>
      <c r="AL56" s="2"/>
      <c r="AM56" s="2"/>
      <c r="AN56" s="2"/>
      <c r="AO56" s="2"/>
      <c r="AP56" s="2"/>
      <c r="AQ56" s="2"/>
      <c r="AR56" s="2"/>
      <c r="AS56" s="2"/>
      <c r="AT56" s="2"/>
      <c r="AU56" s="3"/>
      <c r="AV56" s="3"/>
      <c r="AW56" s="2"/>
      <c r="AX56" s="2"/>
      <c r="AY56" s="2"/>
      <c r="AZ56" s="2"/>
      <c r="BA56" s="3"/>
      <c r="BB56" s="3"/>
      <c r="BC56" s="2"/>
      <c r="BD56" s="2"/>
      <c r="BE56" s="3"/>
      <c r="BF56" s="19"/>
      <c r="BG56" s="6"/>
      <c r="BH56" s="2"/>
      <c r="BI56" s="2"/>
      <c r="BJ56" s="2"/>
      <c r="BK56" s="2"/>
      <c r="BL56" s="2"/>
      <c r="BM56" s="2"/>
      <c r="BN56" s="3"/>
      <c r="BO56" s="2"/>
      <c r="BP56" s="2"/>
      <c r="BQ56" s="2"/>
      <c r="BR56" s="3"/>
      <c r="BS56" s="2"/>
      <c r="BT56" s="2"/>
      <c r="BU56" s="2"/>
      <c r="BV56" s="2"/>
      <c r="BW56" s="2"/>
      <c r="BX56" s="2"/>
      <c r="BY56" s="2" t="s">
        <v>99</v>
      </c>
      <c r="BZ56" s="2"/>
      <c r="CA56" s="2"/>
      <c r="CB56" s="2"/>
    </row>
    <row r="57" spans="1:80" ht="57.6" hidden="1">
      <c r="A57">
        <v>30</v>
      </c>
      <c r="B57" t="s">
        <v>283</v>
      </c>
      <c r="C57" t="s">
        <v>284</v>
      </c>
      <c r="D57" s="6">
        <v>2025</v>
      </c>
      <c r="E57" t="s">
        <v>137</v>
      </c>
      <c r="F57" t="s">
        <v>285</v>
      </c>
      <c r="G57" s="2" t="s">
        <v>84</v>
      </c>
      <c r="H57" s="2" t="s">
        <v>85</v>
      </c>
      <c r="I57" s="2" t="s">
        <v>100</v>
      </c>
      <c r="J57" s="3"/>
      <c r="K57" s="2" t="s">
        <v>115</v>
      </c>
      <c r="T57" s="3"/>
      <c r="U57" s="3"/>
      <c r="V57" s="3"/>
      <c r="W57" s="3"/>
      <c r="X57" s="3"/>
      <c r="AC57" s="3"/>
      <c r="AD57" s="3"/>
      <c r="AE57" s="3"/>
      <c r="AI57" s="3"/>
      <c r="AJ57" s="3"/>
      <c r="AU57" s="3"/>
      <c r="AV57" s="3"/>
      <c r="BA57" s="3"/>
      <c r="BB57" s="3"/>
      <c r="BE57" s="3"/>
      <c r="BF57" s="19"/>
      <c r="BG57" s="6"/>
      <c r="BN57" s="3"/>
      <c r="BR57" s="3"/>
      <c r="BY57" s="2" t="s">
        <v>99</v>
      </c>
    </row>
    <row r="58" spans="1:80" ht="129.6" hidden="1">
      <c r="A58" s="2">
        <v>31</v>
      </c>
      <c r="B58" s="2" t="s">
        <v>286</v>
      </c>
      <c r="C58" s="2" t="s">
        <v>287</v>
      </c>
      <c r="D58" s="6">
        <v>2025</v>
      </c>
      <c r="E58" s="2" t="s">
        <v>179</v>
      </c>
      <c r="F58" s="2" t="s">
        <v>288</v>
      </c>
      <c r="G58" s="2" t="s">
        <v>84</v>
      </c>
      <c r="H58" s="2" t="s">
        <v>85</v>
      </c>
      <c r="I58" s="2" t="s">
        <v>100</v>
      </c>
      <c r="J58" s="3"/>
      <c r="K58" s="2" t="s">
        <v>115</v>
      </c>
      <c r="L58" s="2"/>
      <c r="M58" s="2"/>
      <c r="N58" s="2"/>
      <c r="O58" s="2"/>
      <c r="P58" s="2"/>
      <c r="Q58" s="2"/>
      <c r="R58" s="2"/>
      <c r="S58" s="2"/>
      <c r="T58" s="3"/>
      <c r="U58" s="3"/>
      <c r="V58" s="3"/>
      <c r="W58" s="3"/>
      <c r="X58" s="3"/>
      <c r="Y58" s="2"/>
      <c r="Z58" s="2"/>
      <c r="AA58" s="2"/>
      <c r="AB58" s="2"/>
      <c r="AC58" s="3"/>
      <c r="AD58" s="3"/>
      <c r="AE58" s="3"/>
      <c r="AF58" s="2"/>
      <c r="AG58" s="2"/>
      <c r="AH58" s="2"/>
      <c r="AI58" s="3"/>
      <c r="AJ58" s="3"/>
      <c r="AK58" s="2"/>
      <c r="AL58" s="2"/>
      <c r="AM58" s="2"/>
      <c r="AN58" s="2"/>
      <c r="AO58" s="2"/>
      <c r="AP58" s="2"/>
      <c r="AQ58" s="2"/>
      <c r="AR58" s="2"/>
      <c r="AS58" s="2"/>
      <c r="AT58" s="2"/>
      <c r="AU58" s="3"/>
      <c r="AV58" s="3"/>
      <c r="AW58" s="2"/>
      <c r="AX58" s="2"/>
      <c r="AY58" s="2"/>
      <c r="AZ58" s="2"/>
      <c r="BA58" s="3"/>
      <c r="BB58" s="3"/>
      <c r="BC58" s="2"/>
      <c r="BD58" s="2"/>
      <c r="BE58" s="3"/>
      <c r="BF58" s="19"/>
      <c r="BG58" s="6"/>
      <c r="BH58" s="2"/>
      <c r="BI58" s="2"/>
      <c r="BJ58" s="2"/>
      <c r="BK58" s="2"/>
      <c r="BL58" s="2"/>
      <c r="BM58" s="2"/>
      <c r="BN58" s="3"/>
      <c r="BO58" s="2"/>
      <c r="BP58" s="2"/>
      <c r="BQ58" s="2"/>
      <c r="BR58" s="3"/>
      <c r="BS58" s="2"/>
      <c r="BT58" s="2"/>
      <c r="BU58" s="2"/>
      <c r="BV58" s="2"/>
      <c r="BW58" s="2"/>
      <c r="BX58" s="2"/>
      <c r="BY58" s="2" t="s">
        <v>99</v>
      </c>
      <c r="BZ58" s="2"/>
      <c r="CA58" s="2"/>
      <c r="CB58" s="2"/>
    </row>
    <row r="59" spans="1:80" ht="57.6" hidden="1">
      <c r="A59" s="2">
        <v>32</v>
      </c>
      <c r="B59" s="2" t="s">
        <v>289</v>
      </c>
      <c r="C59" s="2" t="s">
        <v>290</v>
      </c>
      <c r="D59" s="6">
        <v>2025</v>
      </c>
      <c r="E59" s="2" t="s">
        <v>118</v>
      </c>
      <c r="F59" s="2" t="s">
        <v>291</v>
      </c>
      <c r="G59" s="2" t="s">
        <v>84</v>
      </c>
      <c r="H59" s="2" t="s">
        <v>85</v>
      </c>
      <c r="I59" s="2" t="s">
        <v>100</v>
      </c>
      <c r="J59" s="3"/>
      <c r="K59" s="2" t="s">
        <v>115</v>
      </c>
      <c r="L59" s="2"/>
      <c r="M59" s="2"/>
      <c r="N59" s="2"/>
      <c r="O59" s="2"/>
      <c r="P59" s="2"/>
      <c r="Q59" s="2"/>
      <c r="R59" s="2"/>
      <c r="S59" s="2"/>
      <c r="T59" s="3"/>
      <c r="U59" s="3"/>
      <c r="V59" s="3"/>
      <c r="W59" s="3"/>
      <c r="X59" s="3"/>
      <c r="Y59" s="2"/>
      <c r="Z59" s="2"/>
      <c r="AA59" s="2"/>
      <c r="AB59" s="2"/>
      <c r="AC59" s="3"/>
      <c r="AD59" s="3"/>
      <c r="AE59" s="3"/>
      <c r="AF59" s="2"/>
      <c r="AG59" s="2"/>
      <c r="AH59" s="2"/>
      <c r="AI59" s="3"/>
      <c r="AJ59" s="3"/>
      <c r="AK59" s="2"/>
      <c r="AL59" s="2"/>
      <c r="AM59" s="2"/>
      <c r="AN59" s="2"/>
      <c r="AO59" s="2"/>
      <c r="AP59" s="2"/>
      <c r="AQ59" s="2"/>
      <c r="AR59" s="2"/>
      <c r="AS59" s="2"/>
      <c r="AT59" s="2"/>
      <c r="AU59" s="3"/>
      <c r="AV59" s="3"/>
      <c r="AW59" s="2"/>
      <c r="AX59" s="2"/>
      <c r="AY59" s="2"/>
      <c r="AZ59" s="2"/>
      <c r="BA59" s="3"/>
      <c r="BB59" s="3"/>
      <c r="BC59" s="2"/>
      <c r="BD59" s="2"/>
      <c r="BE59" s="3"/>
      <c r="BF59" s="19"/>
      <c r="BG59" s="6"/>
      <c r="BH59" s="2"/>
      <c r="BI59" s="2"/>
      <c r="BJ59" s="2"/>
      <c r="BK59" s="2"/>
      <c r="BL59" s="2"/>
      <c r="BM59" s="2"/>
      <c r="BN59" s="3"/>
      <c r="BO59" s="2"/>
      <c r="BP59" s="2"/>
      <c r="BQ59" s="2"/>
      <c r="BR59" s="3"/>
      <c r="BS59" s="2"/>
      <c r="BT59" s="2"/>
      <c r="BU59" s="2"/>
      <c r="BV59" s="2"/>
      <c r="BW59" s="2"/>
      <c r="BX59" s="2"/>
      <c r="BY59" s="2" t="s">
        <v>99</v>
      </c>
      <c r="BZ59" s="2"/>
      <c r="CA59" s="2"/>
      <c r="CB59" s="2"/>
    </row>
    <row r="60" spans="1:80" ht="360" hidden="1">
      <c r="A60" s="5">
        <v>33</v>
      </c>
      <c r="B60" s="5" t="s">
        <v>292</v>
      </c>
      <c r="C60" s="5" t="s">
        <v>293</v>
      </c>
      <c r="D60" s="6">
        <v>2025</v>
      </c>
      <c r="E60" s="5" t="s">
        <v>294</v>
      </c>
      <c r="F60" s="5" t="s">
        <v>295</v>
      </c>
      <c r="G60" s="2" t="s">
        <v>84</v>
      </c>
      <c r="H60" s="2" t="s">
        <v>85</v>
      </c>
      <c r="I60" s="5" t="s">
        <v>84</v>
      </c>
      <c r="J60" s="3">
        <v>0.86</v>
      </c>
      <c r="K60" s="5"/>
      <c r="L60" s="5" t="s">
        <v>296</v>
      </c>
      <c r="M60" s="5" t="s">
        <v>229</v>
      </c>
      <c r="N60" s="5" t="s">
        <v>141</v>
      </c>
      <c r="O60" s="2" t="s">
        <v>84</v>
      </c>
      <c r="P60" s="2" t="s">
        <v>84</v>
      </c>
      <c r="Q60" s="5" t="s">
        <v>89</v>
      </c>
      <c r="R60" s="21">
        <v>0.15</v>
      </c>
      <c r="S60" s="5" t="s">
        <v>90</v>
      </c>
      <c r="T60" s="3">
        <v>177.8</v>
      </c>
      <c r="U60" s="3">
        <v>0.02</v>
      </c>
      <c r="V60" s="3" t="s">
        <v>218</v>
      </c>
      <c r="W60" s="3"/>
      <c r="X60" s="3"/>
      <c r="Y60" s="5"/>
      <c r="Z60" s="5"/>
      <c r="AA60" s="5"/>
      <c r="AB60" s="5"/>
      <c r="AC60" s="3"/>
      <c r="AD60" s="3"/>
      <c r="AE60" s="3"/>
      <c r="AF60" s="5"/>
      <c r="AG60" s="5"/>
      <c r="AH60" s="5"/>
      <c r="AI60" s="3"/>
      <c r="AJ60" s="3"/>
      <c r="AK60" s="5"/>
      <c r="AL60" s="5"/>
      <c r="AM60" s="5"/>
      <c r="AN60" s="5"/>
      <c r="AO60" s="5"/>
      <c r="AP60" s="5"/>
      <c r="AQ60" s="5"/>
      <c r="AR60" s="5"/>
      <c r="AS60" s="5"/>
      <c r="AT60" s="5"/>
      <c r="AU60" s="3"/>
      <c r="AV60" s="3"/>
      <c r="AW60" s="5"/>
      <c r="AX60" s="5"/>
      <c r="AY60" s="5"/>
      <c r="AZ60" s="5"/>
      <c r="BA60" s="3">
        <v>4.1399999999999997</v>
      </c>
      <c r="BB60" s="3">
        <v>0.02</v>
      </c>
      <c r="BC60" s="5" t="s">
        <v>297</v>
      </c>
      <c r="BD60" s="5" t="s">
        <v>92</v>
      </c>
      <c r="BE60" s="3">
        <v>25</v>
      </c>
      <c r="BF60" s="19">
        <v>0.52800000000000002</v>
      </c>
      <c r="BG60" s="6" t="s">
        <v>218</v>
      </c>
      <c r="BH60" s="5"/>
      <c r="BI60" s="5"/>
      <c r="BJ60" s="5"/>
      <c r="BK60" s="5"/>
      <c r="BL60" s="5"/>
      <c r="BM60" s="5"/>
      <c r="BN60" s="3"/>
      <c r="BO60" s="5"/>
      <c r="BP60" s="5"/>
      <c r="BQ60" s="5"/>
      <c r="BR60" s="3"/>
      <c r="BS60" s="5"/>
      <c r="BT60" s="5"/>
      <c r="BU60" s="5"/>
      <c r="BV60" s="5"/>
      <c r="BW60" s="5"/>
      <c r="BX60" s="5" t="s">
        <v>98</v>
      </c>
      <c r="BY60" s="2" t="s">
        <v>99</v>
      </c>
      <c r="BZ60" s="5" t="s">
        <v>100</v>
      </c>
      <c r="CA60" s="5" t="s">
        <v>298</v>
      </c>
      <c r="CB60" s="5"/>
    </row>
    <row r="61" spans="1:80" ht="360" hidden="1">
      <c r="A61" s="5">
        <v>33</v>
      </c>
      <c r="B61" s="5" t="s">
        <v>292</v>
      </c>
      <c r="C61" s="5" t="s">
        <v>293</v>
      </c>
      <c r="D61" s="6">
        <v>2025</v>
      </c>
      <c r="E61" s="5" t="s">
        <v>294</v>
      </c>
      <c r="F61" s="5" t="s">
        <v>295</v>
      </c>
      <c r="G61" s="2" t="s">
        <v>84</v>
      </c>
      <c r="H61" s="2" t="s">
        <v>85</v>
      </c>
      <c r="I61" s="5" t="s">
        <v>84</v>
      </c>
      <c r="J61" s="3">
        <v>0.86</v>
      </c>
      <c r="K61" s="5"/>
      <c r="L61" s="5" t="s">
        <v>296</v>
      </c>
      <c r="M61" s="5" t="s">
        <v>229</v>
      </c>
      <c r="N61" s="5" t="s">
        <v>141</v>
      </c>
      <c r="O61" s="2" t="s">
        <v>84</v>
      </c>
      <c r="P61" s="2" t="s">
        <v>84</v>
      </c>
      <c r="Q61" s="5" t="s">
        <v>89</v>
      </c>
      <c r="R61" s="21">
        <v>0.2</v>
      </c>
      <c r="S61" s="5" t="s">
        <v>90</v>
      </c>
      <c r="T61" s="3">
        <v>183.5</v>
      </c>
      <c r="U61" s="3">
        <v>0.02</v>
      </c>
      <c r="V61" s="3" t="s">
        <v>218</v>
      </c>
      <c r="W61" s="3"/>
      <c r="X61" s="3"/>
      <c r="Y61" s="5"/>
      <c r="Z61" s="5"/>
      <c r="AA61" s="5"/>
      <c r="AB61" s="5"/>
      <c r="AC61" s="3"/>
      <c r="AD61" s="3"/>
      <c r="AE61" s="3"/>
      <c r="AF61" s="5"/>
      <c r="AG61" s="5"/>
      <c r="AH61" s="5"/>
      <c r="AI61" s="3"/>
      <c r="AJ61" s="3"/>
      <c r="AK61" s="5"/>
      <c r="AL61" s="5"/>
      <c r="AM61" s="5"/>
      <c r="AN61" s="5"/>
      <c r="AO61" s="5"/>
      <c r="AP61" s="5"/>
      <c r="AQ61" s="5"/>
      <c r="AR61" s="5"/>
      <c r="AS61" s="5"/>
      <c r="AT61" s="5"/>
      <c r="AU61" s="3"/>
      <c r="AV61" s="3"/>
      <c r="AW61" s="5"/>
      <c r="AX61" s="5"/>
      <c r="AY61" s="5"/>
      <c r="AZ61" s="5"/>
      <c r="BA61" s="3">
        <v>4.2</v>
      </c>
      <c r="BB61" s="3">
        <v>0.06</v>
      </c>
      <c r="BC61" s="5" t="s">
        <v>297</v>
      </c>
      <c r="BD61" s="5" t="s">
        <v>92</v>
      </c>
      <c r="BE61" s="3">
        <v>25</v>
      </c>
      <c r="BF61" s="19">
        <v>0.52800000000000002</v>
      </c>
      <c r="BG61" s="6" t="s">
        <v>218</v>
      </c>
      <c r="BH61" s="5"/>
      <c r="BI61" s="5"/>
      <c r="BJ61" s="5"/>
      <c r="BK61" s="5"/>
      <c r="BL61" s="5"/>
      <c r="BM61" s="5"/>
      <c r="BN61" s="3"/>
      <c r="BO61" s="5"/>
      <c r="BP61" s="5"/>
      <c r="BQ61" s="5"/>
      <c r="BR61" s="3"/>
      <c r="BS61" s="5"/>
      <c r="BT61" s="5"/>
      <c r="BU61" s="5"/>
      <c r="BV61" s="5"/>
      <c r="BW61" s="5"/>
      <c r="BX61" s="5" t="s">
        <v>98</v>
      </c>
      <c r="BY61" s="2" t="s">
        <v>99</v>
      </c>
      <c r="BZ61" s="5" t="s">
        <v>100</v>
      </c>
      <c r="CA61" s="5" t="s">
        <v>298</v>
      </c>
      <c r="CB61" s="5"/>
    </row>
    <row r="62" spans="1:80" ht="100.9" hidden="1">
      <c r="A62" s="2">
        <v>34</v>
      </c>
      <c r="B62" s="2" t="s">
        <v>299</v>
      </c>
      <c r="C62" s="2" t="s">
        <v>300</v>
      </c>
      <c r="D62" s="6">
        <v>2025</v>
      </c>
      <c r="E62" s="2" t="s">
        <v>301</v>
      </c>
      <c r="F62" s="2" t="s">
        <v>302</v>
      </c>
      <c r="G62" s="2" t="s">
        <v>84</v>
      </c>
      <c r="H62" s="2" t="s">
        <v>85</v>
      </c>
      <c r="I62" s="2" t="s">
        <v>84</v>
      </c>
      <c r="J62" s="3">
        <v>0.79</v>
      </c>
      <c r="K62" s="2"/>
      <c r="L62" s="2" t="s">
        <v>303</v>
      </c>
      <c r="M62" s="2" t="s">
        <v>304</v>
      </c>
      <c r="N62" s="2" t="s">
        <v>141</v>
      </c>
      <c r="O62" s="2" t="s">
        <v>84</v>
      </c>
      <c r="P62" s="2" t="s">
        <v>84</v>
      </c>
      <c r="Q62" s="2" t="s">
        <v>89</v>
      </c>
      <c r="R62" s="19">
        <v>0.3</v>
      </c>
      <c r="S62" s="2" t="s">
        <v>90</v>
      </c>
      <c r="T62" s="3">
        <v>250</v>
      </c>
      <c r="U62" s="3">
        <v>50</v>
      </c>
      <c r="V62" s="3" t="s">
        <v>218</v>
      </c>
      <c r="W62" s="3"/>
      <c r="X62" s="3"/>
      <c r="Y62" s="2"/>
      <c r="Z62" s="2"/>
      <c r="AA62" s="2"/>
      <c r="AB62" s="2"/>
      <c r="AC62" s="3"/>
      <c r="AD62" s="3"/>
      <c r="AE62" s="3"/>
      <c r="AF62" s="2"/>
      <c r="AG62" s="2"/>
      <c r="AH62" s="2"/>
      <c r="AI62" s="3"/>
      <c r="AJ62" s="3"/>
      <c r="AK62" s="2"/>
      <c r="AL62" s="2"/>
      <c r="AM62" s="2"/>
      <c r="AN62" s="2"/>
      <c r="AO62" s="2"/>
      <c r="AP62" s="2"/>
      <c r="AQ62" s="2"/>
      <c r="AR62" s="2"/>
      <c r="AS62" s="2"/>
      <c r="AT62" s="2"/>
      <c r="AU62" s="3">
        <v>4.5999999999999999E-3</v>
      </c>
      <c r="AV62" s="3">
        <v>1.7000000000000001E-4</v>
      </c>
      <c r="AW62" s="5" t="s">
        <v>305</v>
      </c>
      <c r="AX62" s="2" t="s">
        <v>92</v>
      </c>
      <c r="AY62" s="3">
        <v>25</v>
      </c>
      <c r="AZ62" s="4">
        <v>0.75</v>
      </c>
      <c r="BA62" s="3">
        <v>3.7000000000000001E-10</v>
      </c>
      <c r="BB62" s="3">
        <v>1.4E-11</v>
      </c>
      <c r="BC62" s="5" t="s">
        <v>306</v>
      </c>
      <c r="BD62" s="2" t="s">
        <v>92</v>
      </c>
      <c r="BE62" s="3">
        <v>25</v>
      </c>
      <c r="BF62" s="19">
        <v>0.75</v>
      </c>
      <c r="BG62" s="6" t="s">
        <v>218</v>
      </c>
      <c r="BH62" s="2"/>
      <c r="BI62" s="2"/>
      <c r="BJ62" s="2"/>
      <c r="BK62" s="2"/>
      <c r="BL62" s="2"/>
      <c r="BM62" s="2"/>
      <c r="BN62" s="3"/>
      <c r="BO62" s="2"/>
      <c r="BP62" s="2"/>
      <c r="BQ62" s="2"/>
      <c r="BR62" s="3"/>
      <c r="BS62" s="2"/>
      <c r="BT62" s="2"/>
      <c r="BU62" s="2"/>
      <c r="BV62" s="2"/>
      <c r="BW62" s="2"/>
      <c r="BX62" s="2" t="s">
        <v>98</v>
      </c>
      <c r="BY62" s="2" t="s">
        <v>99</v>
      </c>
      <c r="BZ62" s="2" t="s">
        <v>100</v>
      </c>
      <c r="CA62" s="2" t="s">
        <v>307</v>
      </c>
      <c r="CB62" s="2"/>
    </row>
    <row r="63" spans="1:80" ht="100.9" hidden="1">
      <c r="A63" s="2">
        <v>35</v>
      </c>
      <c r="B63" s="2" t="s">
        <v>308</v>
      </c>
      <c r="C63" s="2" t="s">
        <v>309</v>
      </c>
      <c r="D63" s="6">
        <v>2025</v>
      </c>
      <c r="E63" s="2" t="s">
        <v>310</v>
      </c>
      <c r="F63" s="2" t="s">
        <v>311</v>
      </c>
      <c r="G63" s="2" t="s">
        <v>84</v>
      </c>
      <c r="H63" s="2" t="s">
        <v>85</v>
      </c>
      <c r="I63" s="2" t="s">
        <v>100</v>
      </c>
      <c r="J63" s="3"/>
      <c r="K63" s="2" t="s">
        <v>115</v>
      </c>
      <c r="L63" s="2"/>
      <c r="M63" s="2"/>
      <c r="N63" s="2"/>
      <c r="O63" s="2"/>
      <c r="P63" s="2"/>
      <c r="Q63" s="2"/>
      <c r="R63" s="2"/>
      <c r="S63" s="2"/>
      <c r="T63" s="3"/>
      <c r="U63" s="3"/>
      <c r="V63" s="3"/>
      <c r="W63" s="3"/>
      <c r="X63" s="3"/>
      <c r="Y63" s="2"/>
      <c r="Z63" s="2"/>
      <c r="AA63" s="2"/>
      <c r="AB63" s="2"/>
      <c r="AC63" s="3"/>
      <c r="AD63" s="3"/>
      <c r="AE63" s="3"/>
      <c r="AF63" s="2"/>
      <c r="AG63" s="2"/>
      <c r="AH63" s="2"/>
      <c r="AI63" s="3"/>
      <c r="AJ63" s="3"/>
      <c r="AK63" s="2"/>
      <c r="AL63" s="2"/>
      <c r="AM63" s="2"/>
      <c r="AN63" s="2"/>
      <c r="AO63" s="2"/>
      <c r="AP63" s="2"/>
      <c r="AQ63" s="2"/>
      <c r="AR63" s="2"/>
      <c r="AS63" s="2"/>
      <c r="AT63" s="2"/>
      <c r="AU63" s="3"/>
      <c r="AV63" s="3"/>
      <c r="AW63" s="2"/>
      <c r="AX63" s="2"/>
      <c r="AY63" s="2"/>
      <c r="AZ63" s="2"/>
      <c r="BA63" s="3"/>
      <c r="BB63" s="3"/>
      <c r="BC63" s="2"/>
      <c r="BD63" s="2"/>
      <c r="BE63" s="3"/>
      <c r="BF63" s="19"/>
      <c r="BG63" s="6"/>
      <c r="BH63" s="2"/>
      <c r="BI63" s="2"/>
      <c r="BJ63" s="2"/>
      <c r="BK63" s="2"/>
      <c r="BL63" s="2"/>
      <c r="BM63" s="2"/>
      <c r="BN63" s="3"/>
      <c r="BO63" s="2"/>
      <c r="BP63" s="2"/>
      <c r="BQ63" s="2"/>
      <c r="BR63" s="3"/>
      <c r="BS63" s="2"/>
      <c r="BT63" s="2"/>
      <c r="BU63" s="2"/>
      <c r="BV63" s="2"/>
      <c r="BW63" s="2"/>
      <c r="BX63" s="2"/>
      <c r="BY63" s="2" t="s">
        <v>99</v>
      </c>
      <c r="BZ63" s="2"/>
      <c r="CA63" s="2"/>
      <c r="CB63" s="2"/>
    </row>
    <row r="64" spans="1:80" ht="86.45" hidden="1">
      <c r="A64" s="2">
        <v>36</v>
      </c>
      <c r="B64" s="2" t="s">
        <v>312</v>
      </c>
      <c r="C64" s="2" t="s">
        <v>313</v>
      </c>
      <c r="D64" s="6">
        <v>2025</v>
      </c>
      <c r="E64" s="2" t="s">
        <v>226</v>
      </c>
      <c r="F64" s="2" t="s">
        <v>314</v>
      </c>
      <c r="G64" s="2" t="s">
        <v>84</v>
      </c>
      <c r="H64" s="2" t="s">
        <v>85</v>
      </c>
      <c r="I64" s="2" t="s">
        <v>100</v>
      </c>
      <c r="J64" s="3"/>
      <c r="K64" s="2" t="s">
        <v>115</v>
      </c>
      <c r="L64" s="2"/>
      <c r="M64" s="2"/>
      <c r="N64" s="2"/>
      <c r="O64" s="2"/>
      <c r="P64" s="2"/>
      <c r="Q64" s="2"/>
      <c r="R64" s="2"/>
      <c r="S64" s="2"/>
      <c r="T64" s="3"/>
      <c r="U64" s="3"/>
      <c r="V64" s="3"/>
      <c r="W64" s="3"/>
      <c r="X64" s="3"/>
      <c r="Y64" s="2"/>
      <c r="Z64" s="2"/>
      <c r="AA64" s="2"/>
      <c r="AB64" s="2"/>
      <c r="AC64" s="3"/>
      <c r="AD64" s="3"/>
      <c r="AE64" s="3"/>
      <c r="AF64" s="2"/>
      <c r="AG64" s="2"/>
      <c r="AH64" s="2"/>
      <c r="AI64" s="3"/>
      <c r="AJ64" s="3"/>
      <c r="AK64" s="2"/>
      <c r="AL64" s="2"/>
      <c r="AM64" s="2"/>
      <c r="AN64" s="2"/>
      <c r="AO64" s="2"/>
      <c r="AP64" s="2"/>
      <c r="AQ64" s="2"/>
      <c r="AR64" s="2"/>
      <c r="AS64" s="2"/>
      <c r="AT64" s="2"/>
      <c r="AU64" s="3"/>
      <c r="AV64" s="3"/>
      <c r="AW64" s="2"/>
      <c r="AX64" s="2"/>
      <c r="AY64" s="2"/>
      <c r="AZ64" s="2"/>
      <c r="BA64" s="3"/>
      <c r="BB64" s="3"/>
      <c r="BC64" s="2"/>
      <c r="BD64" s="2"/>
      <c r="BE64" s="3"/>
      <c r="BF64" s="19"/>
      <c r="BG64" s="6"/>
      <c r="BH64" s="2"/>
      <c r="BI64" s="2"/>
      <c r="BJ64" s="2"/>
      <c r="BK64" s="2"/>
      <c r="BL64" s="2"/>
      <c r="BM64" s="2"/>
      <c r="BN64" s="3"/>
      <c r="BO64" s="2"/>
      <c r="BP64" s="2"/>
      <c r="BQ64" s="2"/>
      <c r="BR64" s="3"/>
      <c r="BS64" s="2"/>
      <c r="BT64" s="2"/>
      <c r="BU64" s="2"/>
      <c r="BV64" s="2"/>
      <c r="BW64" s="2"/>
      <c r="BX64" s="2"/>
      <c r="BY64" s="2" t="s">
        <v>99</v>
      </c>
      <c r="BZ64" s="2"/>
      <c r="CA64" s="2"/>
      <c r="CB64" s="2"/>
    </row>
    <row r="65" spans="1:100" ht="158.44999999999999" hidden="1">
      <c r="A65" s="2">
        <v>37</v>
      </c>
      <c r="B65" s="2" t="s">
        <v>315</v>
      </c>
      <c r="C65" s="2" t="s">
        <v>316</v>
      </c>
      <c r="D65" s="6">
        <v>2025</v>
      </c>
      <c r="E65" s="2" t="s">
        <v>237</v>
      </c>
      <c r="F65" s="2" t="s">
        <v>317</v>
      </c>
      <c r="G65" s="2" t="s">
        <v>84</v>
      </c>
      <c r="H65" s="2" t="s">
        <v>85</v>
      </c>
      <c r="I65" s="2" t="s">
        <v>100</v>
      </c>
      <c r="J65" s="3"/>
      <c r="K65" s="2" t="s">
        <v>115</v>
      </c>
      <c r="L65" s="2"/>
      <c r="M65" s="2"/>
      <c r="N65" s="2"/>
      <c r="O65" s="2"/>
      <c r="P65" s="2"/>
      <c r="Q65" s="2"/>
      <c r="R65" s="2"/>
      <c r="S65" s="2"/>
      <c r="T65" s="3"/>
      <c r="U65" s="3"/>
      <c r="V65" s="3"/>
      <c r="W65" s="3"/>
      <c r="X65" s="3"/>
      <c r="Y65" s="2"/>
      <c r="Z65" s="2"/>
      <c r="AA65" s="2"/>
      <c r="AB65" s="2"/>
      <c r="AC65" s="3"/>
      <c r="AD65" s="3"/>
      <c r="AE65" s="3"/>
      <c r="AF65" s="2"/>
      <c r="AG65" s="2"/>
      <c r="AH65" s="2"/>
      <c r="AI65" s="3"/>
      <c r="AJ65" s="3"/>
      <c r="AK65" s="2"/>
      <c r="AL65" s="2"/>
      <c r="AM65" s="2"/>
      <c r="AN65" s="2"/>
      <c r="AO65" s="2"/>
      <c r="AP65" s="2"/>
      <c r="AQ65" s="2"/>
      <c r="AR65" s="2"/>
      <c r="AS65" s="2"/>
      <c r="AT65" s="2"/>
      <c r="AU65" s="3"/>
      <c r="AV65" s="3"/>
      <c r="AW65" s="2"/>
      <c r="AX65" s="2"/>
      <c r="AY65" s="2"/>
      <c r="AZ65" s="2"/>
      <c r="BA65" s="3"/>
      <c r="BB65" s="3"/>
      <c r="BC65" s="2"/>
      <c r="BD65" s="2"/>
      <c r="BE65" s="3"/>
      <c r="BF65" s="19"/>
      <c r="BG65" s="6"/>
      <c r="BH65" s="2"/>
      <c r="BI65" s="2"/>
      <c r="BJ65" s="2"/>
      <c r="BK65" s="2"/>
      <c r="BL65" s="2"/>
      <c r="BM65" s="2"/>
      <c r="BN65" s="3"/>
      <c r="BO65" s="2"/>
      <c r="BP65" s="2"/>
      <c r="BQ65" s="2"/>
      <c r="BR65" s="3"/>
      <c r="BS65" s="2"/>
      <c r="BT65" s="2"/>
      <c r="BU65" s="2"/>
      <c r="BV65" s="2"/>
      <c r="BW65" s="2"/>
      <c r="BX65" s="2"/>
      <c r="BY65" s="2" t="s">
        <v>99</v>
      </c>
      <c r="BZ65" s="2"/>
      <c r="CA65" s="2"/>
      <c r="CB65" s="2"/>
    </row>
    <row r="66" spans="1:100" ht="57.6" hidden="1">
      <c r="A66">
        <v>38</v>
      </c>
      <c r="B66" t="s">
        <v>318</v>
      </c>
      <c r="C66" t="s">
        <v>319</v>
      </c>
      <c r="D66" s="6">
        <v>2025</v>
      </c>
      <c r="E66" t="s">
        <v>320</v>
      </c>
      <c r="F66" t="s">
        <v>321</v>
      </c>
      <c r="G66" s="2" t="s">
        <v>84</v>
      </c>
      <c r="H66" s="2" t="s">
        <v>85</v>
      </c>
      <c r="I66" s="2" t="s">
        <v>100</v>
      </c>
      <c r="J66" s="3"/>
      <c r="K66" s="2" t="s">
        <v>115</v>
      </c>
      <c r="T66" s="3"/>
      <c r="U66" s="3"/>
      <c r="V66" s="3"/>
      <c r="W66" s="3"/>
      <c r="X66" s="3"/>
      <c r="AC66" s="3"/>
      <c r="AD66" s="3"/>
      <c r="AE66" s="3"/>
      <c r="AI66" s="3"/>
      <c r="AJ66" s="3"/>
      <c r="AU66" s="3"/>
      <c r="AV66" s="3"/>
      <c r="BA66" s="3"/>
      <c r="BB66" s="3"/>
      <c r="BE66" s="3"/>
      <c r="BF66" s="19"/>
      <c r="BG66" s="6"/>
      <c r="BN66" s="3"/>
      <c r="BR66" s="3"/>
      <c r="BY66" s="2" t="s">
        <v>99</v>
      </c>
    </row>
    <row r="67" spans="1:100" ht="187.15">
      <c r="A67" s="2">
        <v>39</v>
      </c>
      <c r="B67" s="2" t="s">
        <v>322</v>
      </c>
      <c r="C67" s="2" t="s">
        <v>323</v>
      </c>
      <c r="D67" s="6">
        <v>2025</v>
      </c>
      <c r="E67" s="2" t="s">
        <v>324</v>
      </c>
      <c r="F67" s="2" t="s">
        <v>325</v>
      </c>
      <c r="G67" s="2" t="s">
        <v>84</v>
      </c>
      <c r="H67" s="2" t="s">
        <v>85</v>
      </c>
      <c r="I67" s="2" t="s">
        <v>84</v>
      </c>
      <c r="J67" s="3">
        <v>0.79</v>
      </c>
      <c r="K67" s="2"/>
      <c r="L67" s="2" t="s">
        <v>204</v>
      </c>
      <c r="M67" s="2" t="s">
        <v>204</v>
      </c>
      <c r="N67" s="2" t="s">
        <v>129</v>
      </c>
      <c r="O67" s="2" t="s">
        <v>84</v>
      </c>
      <c r="P67" s="2" t="s">
        <v>84</v>
      </c>
      <c r="Q67" s="5" t="s">
        <v>100</v>
      </c>
      <c r="R67" s="21">
        <v>0</v>
      </c>
      <c r="S67" s="2" t="s">
        <v>217</v>
      </c>
      <c r="T67" s="3">
        <v>185</v>
      </c>
      <c r="U67" s="3" t="s">
        <v>218</v>
      </c>
      <c r="V67" s="3" t="s">
        <v>218</v>
      </c>
      <c r="W67" s="3"/>
      <c r="X67" s="3"/>
      <c r="Y67" s="2"/>
      <c r="Z67" s="2"/>
      <c r="AA67" s="2"/>
      <c r="AB67" s="2"/>
      <c r="AC67" s="3">
        <v>0.69499999999999995</v>
      </c>
      <c r="AD67" s="3">
        <v>3.5000000000000003E-2</v>
      </c>
      <c r="AE67" s="5" t="s">
        <v>326</v>
      </c>
      <c r="AF67" s="5" t="s">
        <v>327</v>
      </c>
      <c r="AG67" s="2">
        <v>23</v>
      </c>
      <c r="AH67" s="2">
        <v>0</v>
      </c>
      <c r="AI67" s="3"/>
      <c r="AJ67" s="3"/>
      <c r="AK67" s="2"/>
      <c r="AL67" s="2"/>
      <c r="AM67" s="2"/>
      <c r="AN67" s="2"/>
      <c r="AO67" s="2">
        <v>2.37</v>
      </c>
      <c r="AP67" s="2">
        <v>0.1</v>
      </c>
      <c r="AQ67" s="5" t="s">
        <v>326</v>
      </c>
      <c r="AR67" s="5" t="s">
        <v>327</v>
      </c>
      <c r="AS67" s="2">
        <v>23</v>
      </c>
      <c r="AT67" s="2">
        <v>0</v>
      </c>
      <c r="AU67" s="3"/>
      <c r="AV67" s="3"/>
      <c r="AW67" s="2"/>
      <c r="AX67" s="2"/>
      <c r="AY67" s="2"/>
      <c r="AZ67" s="2"/>
      <c r="BA67" s="3"/>
      <c r="BB67" s="3"/>
      <c r="BC67" s="2"/>
      <c r="BD67" s="2"/>
      <c r="BE67" s="3"/>
      <c r="BF67" s="19"/>
      <c r="BG67" s="6">
        <v>3</v>
      </c>
      <c r="BH67" s="2" t="s">
        <v>328</v>
      </c>
      <c r="BI67" s="2">
        <v>25</v>
      </c>
      <c r="BJ67" s="2"/>
      <c r="BK67" s="2"/>
      <c r="BL67" s="2"/>
      <c r="BM67" s="2"/>
      <c r="BN67" s="3"/>
      <c r="BO67" s="2"/>
      <c r="BP67" s="2"/>
      <c r="BQ67" s="2"/>
      <c r="BR67" s="3" t="s">
        <v>329</v>
      </c>
      <c r="BS67" s="2" t="s">
        <v>330</v>
      </c>
      <c r="BT67" s="2"/>
      <c r="BU67" s="2"/>
      <c r="BV67" s="2" t="s">
        <v>96</v>
      </c>
      <c r="BW67" s="2" t="s">
        <v>133</v>
      </c>
      <c r="BX67" s="2" t="s">
        <v>98</v>
      </c>
      <c r="BY67" s="2" t="s">
        <v>99</v>
      </c>
      <c r="BZ67" s="2" t="s">
        <v>221</v>
      </c>
      <c r="CA67" s="5" t="s">
        <v>331</v>
      </c>
      <c r="CB67" s="2" t="s">
        <v>332</v>
      </c>
    </row>
    <row r="68" spans="1:100" ht="187.15">
      <c r="A68" s="2">
        <v>39</v>
      </c>
      <c r="B68" s="2" t="s">
        <v>322</v>
      </c>
      <c r="C68" s="2" t="s">
        <v>323</v>
      </c>
      <c r="D68" s="6">
        <v>2025</v>
      </c>
      <c r="E68" s="2" t="s">
        <v>324</v>
      </c>
      <c r="F68" s="2" t="s">
        <v>325</v>
      </c>
      <c r="G68" s="2" t="s">
        <v>84</v>
      </c>
      <c r="H68" s="2" t="s">
        <v>85</v>
      </c>
      <c r="I68" s="2" t="s">
        <v>84</v>
      </c>
      <c r="J68" s="3">
        <v>0.79</v>
      </c>
      <c r="K68" s="2"/>
      <c r="L68" s="2" t="s">
        <v>333</v>
      </c>
      <c r="M68" s="2" t="s">
        <v>334</v>
      </c>
      <c r="N68" s="2" t="s">
        <v>129</v>
      </c>
      <c r="O68" s="2" t="s">
        <v>84</v>
      </c>
      <c r="P68" s="2" t="s">
        <v>84</v>
      </c>
      <c r="Q68" s="5" t="s">
        <v>100</v>
      </c>
      <c r="R68" s="21">
        <v>0</v>
      </c>
      <c r="S68" s="2" t="s">
        <v>217</v>
      </c>
      <c r="T68" s="3">
        <v>150</v>
      </c>
      <c r="U68" s="3" t="s">
        <v>218</v>
      </c>
      <c r="V68" s="3" t="s">
        <v>218</v>
      </c>
      <c r="W68" s="3"/>
      <c r="X68" s="3"/>
      <c r="Y68" s="2"/>
      <c r="Z68" s="2"/>
      <c r="AA68" s="2"/>
      <c r="AB68" s="2"/>
      <c r="AC68" s="3">
        <v>2E-3</v>
      </c>
      <c r="AD68" s="3">
        <v>5.0000000000000001E-4</v>
      </c>
      <c r="AE68" s="5" t="s">
        <v>326</v>
      </c>
      <c r="AF68" s="5" t="s">
        <v>327</v>
      </c>
      <c r="AG68" s="2">
        <v>23</v>
      </c>
      <c r="AH68" s="2">
        <v>0</v>
      </c>
      <c r="AI68" s="3"/>
      <c r="AJ68" s="3"/>
      <c r="AK68" s="2"/>
      <c r="AL68" s="2"/>
      <c r="AM68" s="2"/>
      <c r="AN68" s="2"/>
      <c r="AO68" s="2">
        <v>2E-3</v>
      </c>
      <c r="AP68" s="2">
        <v>5.0000000000000001E-4</v>
      </c>
      <c r="AQ68" s="5" t="s">
        <v>326</v>
      </c>
      <c r="AR68" s="5" t="s">
        <v>327</v>
      </c>
      <c r="AS68" s="2">
        <v>23</v>
      </c>
      <c r="AT68" s="2">
        <v>0</v>
      </c>
      <c r="AU68" s="3"/>
      <c r="AV68" s="3"/>
      <c r="AW68" s="2"/>
      <c r="AX68" s="2"/>
      <c r="AY68" s="2"/>
      <c r="AZ68" s="2"/>
      <c r="BA68" s="3"/>
      <c r="BB68" s="3"/>
      <c r="BC68" s="2"/>
      <c r="BD68" s="2"/>
      <c r="BE68" s="3"/>
      <c r="BF68" s="19"/>
      <c r="BG68" s="6">
        <v>3</v>
      </c>
      <c r="BH68" s="2" t="s">
        <v>328</v>
      </c>
      <c r="BI68" s="2">
        <v>25</v>
      </c>
      <c r="BJ68" s="2"/>
      <c r="BK68" s="2"/>
      <c r="BL68" s="2"/>
      <c r="BM68" s="2"/>
      <c r="BN68" s="3"/>
      <c r="BO68" s="2"/>
      <c r="BP68" s="2"/>
      <c r="BQ68" s="2"/>
      <c r="BR68" s="3" t="s">
        <v>329</v>
      </c>
      <c r="BS68" s="2" t="s">
        <v>330</v>
      </c>
      <c r="BT68" s="2"/>
      <c r="BU68" s="2"/>
      <c r="BV68" s="2" t="s">
        <v>96</v>
      </c>
      <c r="BW68" s="2" t="s">
        <v>133</v>
      </c>
      <c r="BX68" s="2" t="s">
        <v>98</v>
      </c>
      <c r="BY68" s="2" t="s">
        <v>99</v>
      </c>
      <c r="BZ68" s="2" t="s">
        <v>221</v>
      </c>
      <c r="CA68" s="5" t="s">
        <v>331</v>
      </c>
      <c r="CB68" s="2" t="s">
        <v>332</v>
      </c>
      <c r="CC68" s="2"/>
      <c r="CD68" s="2"/>
      <c r="CE68" s="2"/>
      <c r="CF68" s="2"/>
      <c r="CG68" s="2"/>
      <c r="CH68" s="3"/>
      <c r="CI68" s="2"/>
      <c r="CJ68" s="3"/>
      <c r="CK68" s="2"/>
      <c r="CL68" s="2"/>
      <c r="CM68" s="2"/>
      <c r="CN68" s="2"/>
      <c r="CO68" s="2"/>
      <c r="CP68" s="2"/>
      <c r="CQ68" s="2"/>
      <c r="CR68" s="2"/>
      <c r="CS68" s="2"/>
      <c r="CT68" s="2"/>
      <c r="CU68" s="2"/>
      <c r="CV68" s="2"/>
    </row>
    <row r="69" spans="1:100" ht="115.15" hidden="1">
      <c r="A69" s="2">
        <v>40</v>
      </c>
      <c r="B69" s="2" t="s">
        <v>335</v>
      </c>
      <c r="C69" s="2" t="s">
        <v>336</v>
      </c>
      <c r="D69" s="6">
        <v>2025</v>
      </c>
      <c r="E69" s="2" t="s">
        <v>337</v>
      </c>
      <c r="F69" s="2" t="s">
        <v>338</v>
      </c>
      <c r="G69" s="2" t="s">
        <v>84</v>
      </c>
      <c r="H69" s="2" t="s">
        <v>85</v>
      </c>
      <c r="I69" s="2" t="s">
        <v>100</v>
      </c>
      <c r="J69" s="3"/>
      <c r="K69" s="2" t="s">
        <v>160</v>
      </c>
      <c r="L69" s="2"/>
      <c r="M69" s="2"/>
      <c r="N69" s="2"/>
      <c r="O69" s="2"/>
      <c r="P69" s="2"/>
      <c r="Q69" s="2"/>
      <c r="R69" s="2"/>
      <c r="S69" s="2"/>
      <c r="T69" s="3"/>
      <c r="U69" s="3"/>
      <c r="V69" s="3"/>
      <c r="W69" s="3"/>
      <c r="X69" s="3"/>
      <c r="Y69" s="2"/>
      <c r="Z69" s="2"/>
      <c r="AA69" s="2"/>
      <c r="AB69" s="2"/>
      <c r="AC69" s="3"/>
      <c r="AD69" s="3"/>
      <c r="AE69" s="3"/>
      <c r="AF69" s="2"/>
      <c r="AG69" s="2"/>
      <c r="AH69" s="2"/>
      <c r="AI69" s="3"/>
      <c r="AJ69" s="3"/>
      <c r="AK69" s="2"/>
      <c r="AL69" s="2"/>
      <c r="AM69" s="2"/>
      <c r="AN69" s="2"/>
      <c r="AO69" s="2"/>
      <c r="AP69" s="2"/>
      <c r="AQ69" s="2"/>
      <c r="AR69" s="2"/>
      <c r="AS69" s="2"/>
      <c r="AT69" s="2"/>
      <c r="AU69" s="3"/>
      <c r="AV69" s="3"/>
      <c r="AW69" s="2"/>
      <c r="AX69" s="2"/>
      <c r="AY69" s="2"/>
      <c r="AZ69" s="2"/>
      <c r="BA69" s="3"/>
      <c r="BB69" s="3"/>
      <c r="BC69" s="2"/>
      <c r="BD69" s="2"/>
      <c r="BE69" s="3"/>
      <c r="BF69" s="19"/>
      <c r="BG69" s="6"/>
      <c r="BH69" s="2"/>
      <c r="BI69" s="2"/>
      <c r="BJ69" s="2"/>
      <c r="BK69" s="2"/>
      <c r="BL69" s="2"/>
      <c r="BM69" s="2"/>
      <c r="BN69" s="3"/>
      <c r="BO69" s="2"/>
      <c r="BP69" s="2"/>
      <c r="BQ69" s="2"/>
      <c r="BR69" s="3"/>
      <c r="BS69" s="2"/>
      <c r="BT69" s="2"/>
      <c r="BU69" s="2"/>
      <c r="BV69" s="2"/>
      <c r="BW69" s="2"/>
      <c r="BX69" s="2"/>
      <c r="BY69" s="2" t="s">
        <v>99</v>
      </c>
      <c r="BZ69" s="2"/>
      <c r="CA69" s="2"/>
      <c r="CB69" s="2"/>
    </row>
    <row r="70" spans="1:100" ht="57.6" hidden="1">
      <c r="A70">
        <v>41</v>
      </c>
      <c r="B70" t="s">
        <v>339</v>
      </c>
      <c r="C70" t="s">
        <v>340</v>
      </c>
      <c r="D70" s="6">
        <v>2025</v>
      </c>
      <c r="E70" t="s">
        <v>341</v>
      </c>
      <c r="F70" t="s">
        <v>342</v>
      </c>
      <c r="G70" s="2" t="s">
        <v>84</v>
      </c>
      <c r="H70" s="2" t="s">
        <v>85</v>
      </c>
      <c r="I70" s="2" t="s">
        <v>100</v>
      </c>
      <c r="J70" s="3"/>
      <c r="K70" s="2" t="s">
        <v>115</v>
      </c>
      <c r="T70" s="3"/>
      <c r="U70" s="3"/>
      <c r="V70" s="3"/>
      <c r="W70" s="3"/>
      <c r="X70" s="3"/>
      <c r="AC70" s="3"/>
      <c r="AD70" s="3"/>
      <c r="AE70" s="3"/>
      <c r="AI70" s="3"/>
      <c r="AJ70" s="3"/>
      <c r="AU70" s="3"/>
      <c r="AV70" s="3"/>
      <c r="BA70" s="3"/>
      <c r="BB70" s="3"/>
      <c r="BE70" s="3"/>
      <c r="BF70" s="19"/>
      <c r="BG70" s="6"/>
      <c r="BN70" s="3"/>
      <c r="BR70" s="3"/>
      <c r="BY70" s="2" t="s">
        <v>99</v>
      </c>
    </row>
    <row r="71" spans="1:100" ht="57.6" hidden="1">
      <c r="A71">
        <v>42</v>
      </c>
      <c r="B71" t="s">
        <v>343</v>
      </c>
      <c r="C71" t="s">
        <v>344</v>
      </c>
      <c r="D71" s="6">
        <v>2025</v>
      </c>
      <c r="E71" t="s">
        <v>345</v>
      </c>
      <c r="F71" t="s">
        <v>346</v>
      </c>
      <c r="G71" s="2" t="s">
        <v>84</v>
      </c>
      <c r="H71" s="2" t="s">
        <v>85</v>
      </c>
      <c r="I71" s="2" t="s">
        <v>100</v>
      </c>
      <c r="J71" s="3"/>
      <c r="K71" s="2" t="s">
        <v>115</v>
      </c>
      <c r="T71" s="3"/>
      <c r="U71" s="3"/>
      <c r="V71" s="3"/>
      <c r="W71" s="3"/>
      <c r="X71" s="3"/>
      <c r="AC71" s="3"/>
      <c r="AD71" s="3"/>
      <c r="AE71" s="3"/>
      <c r="AI71" s="3"/>
      <c r="AJ71" s="3"/>
      <c r="AU71" s="3"/>
      <c r="AV71" s="3"/>
      <c r="BA71" s="3"/>
      <c r="BB71" s="3"/>
      <c r="BE71" s="3"/>
      <c r="BF71" s="19"/>
      <c r="BG71" s="6"/>
      <c r="BN71" s="3"/>
      <c r="BR71" s="3"/>
      <c r="BY71" s="2" t="s">
        <v>99</v>
      </c>
    </row>
    <row r="72" spans="1:100" ht="115.15" hidden="1">
      <c r="A72" s="2">
        <v>43</v>
      </c>
      <c r="B72" s="2" t="s">
        <v>347</v>
      </c>
      <c r="C72" s="2" t="s">
        <v>348</v>
      </c>
      <c r="D72" s="6">
        <v>2025</v>
      </c>
      <c r="E72" s="2" t="s">
        <v>349</v>
      </c>
      <c r="F72" s="2" t="s">
        <v>350</v>
      </c>
      <c r="G72" s="2" t="s">
        <v>84</v>
      </c>
      <c r="H72" s="2" t="s">
        <v>85</v>
      </c>
      <c r="I72" s="2" t="s">
        <v>100</v>
      </c>
      <c r="J72" s="3"/>
      <c r="K72" s="2" t="s">
        <v>115</v>
      </c>
      <c r="L72" s="2"/>
      <c r="M72" s="2"/>
      <c r="N72" s="2"/>
      <c r="O72" s="2"/>
      <c r="P72" s="2"/>
      <c r="Q72" s="2"/>
      <c r="R72" s="2"/>
      <c r="S72" s="2"/>
      <c r="T72" s="3"/>
      <c r="U72" s="3"/>
      <c r="V72" s="3"/>
      <c r="W72" s="3"/>
      <c r="X72" s="3"/>
      <c r="Y72" s="2"/>
      <c r="Z72" s="2"/>
      <c r="AA72" s="2"/>
      <c r="AB72" s="2"/>
      <c r="AC72" s="3"/>
      <c r="AD72" s="3"/>
      <c r="AE72" s="3"/>
      <c r="AF72" s="2"/>
      <c r="AG72" s="2"/>
      <c r="AH72" s="2"/>
      <c r="AI72" s="3"/>
      <c r="AJ72" s="3"/>
      <c r="AK72" s="2"/>
      <c r="AL72" s="2"/>
      <c r="AM72" s="2"/>
      <c r="AN72" s="2"/>
      <c r="AO72" s="2"/>
      <c r="AP72" s="2"/>
      <c r="AQ72" s="2"/>
      <c r="AR72" s="2"/>
      <c r="AS72" s="2"/>
      <c r="AT72" s="2"/>
      <c r="AU72" s="3"/>
      <c r="AV72" s="3"/>
      <c r="AW72" s="2"/>
      <c r="AX72" s="2"/>
      <c r="AY72" s="2"/>
      <c r="AZ72" s="2"/>
      <c r="BA72" s="3"/>
      <c r="BB72" s="3"/>
      <c r="BC72" s="2"/>
      <c r="BD72" s="2"/>
      <c r="BE72" s="3"/>
      <c r="BF72" s="19"/>
      <c r="BG72" s="6"/>
      <c r="BH72" s="2"/>
      <c r="BI72" s="2"/>
      <c r="BJ72" s="2"/>
      <c r="BK72" s="2"/>
      <c r="BL72" s="2"/>
      <c r="BM72" s="2"/>
      <c r="BN72" s="3"/>
      <c r="BO72" s="2"/>
      <c r="BP72" s="2"/>
      <c r="BQ72" s="2"/>
      <c r="BR72" s="3"/>
      <c r="BS72" s="2"/>
      <c r="BT72" s="2"/>
      <c r="BU72" s="2"/>
      <c r="BV72" s="2"/>
      <c r="BW72" s="2"/>
      <c r="BX72" s="2"/>
      <c r="BY72" s="2" t="s">
        <v>99</v>
      </c>
      <c r="BZ72" s="2"/>
      <c r="CA72" s="2"/>
      <c r="CB72" s="2"/>
    </row>
    <row r="73" spans="1:100" ht="409.6" hidden="1">
      <c r="A73" s="2">
        <v>44</v>
      </c>
      <c r="B73" s="2" t="s">
        <v>351</v>
      </c>
      <c r="C73" s="2" t="s">
        <v>352</v>
      </c>
      <c r="D73" s="6">
        <v>2025</v>
      </c>
      <c r="E73" s="2" t="s">
        <v>202</v>
      </c>
      <c r="F73" s="2" t="s">
        <v>353</v>
      </c>
      <c r="G73" s="2" t="s">
        <v>84</v>
      </c>
      <c r="H73" s="2" t="s">
        <v>85</v>
      </c>
      <c r="I73" s="2" t="s">
        <v>84</v>
      </c>
      <c r="J73" s="3">
        <v>0.93</v>
      </c>
      <c r="K73" s="2"/>
      <c r="L73" s="2" t="s">
        <v>354</v>
      </c>
      <c r="M73" s="2" t="s">
        <v>354</v>
      </c>
      <c r="N73" s="2" t="s">
        <v>88</v>
      </c>
      <c r="O73" s="2" t="s">
        <v>84</v>
      </c>
      <c r="P73" s="2" t="s">
        <v>84</v>
      </c>
      <c r="Q73" s="5" t="s">
        <v>89</v>
      </c>
      <c r="R73" s="21">
        <v>0.4</v>
      </c>
      <c r="S73" s="2"/>
      <c r="T73" s="3">
        <v>112</v>
      </c>
      <c r="U73" s="3">
        <v>28</v>
      </c>
      <c r="V73" s="3">
        <v>5</v>
      </c>
      <c r="W73" s="5">
        <v>0.26</v>
      </c>
      <c r="X73" s="5">
        <v>0.02</v>
      </c>
      <c r="Y73" s="5" t="s">
        <v>355</v>
      </c>
      <c r="Z73" s="5" t="s">
        <v>253</v>
      </c>
      <c r="AA73" s="2">
        <v>25</v>
      </c>
      <c r="AB73" s="2">
        <v>50</v>
      </c>
      <c r="AC73" s="3"/>
      <c r="AD73" s="3"/>
      <c r="AE73" s="3"/>
      <c r="AF73" s="5"/>
      <c r="AG73" s="5"/>
      <c r="AH73" s="5"/>
      <c r="AI73" s="3">
        <v>0.9</v>
      </c>
      <c r="AJ73" s="3">
        <v>0.06</v>
      </c>
      <c r="AK73" s="5" t="s">
        <v>355</v>
      </c>
      <c r="AL73" s="5" t="s">
        <v>356</v>
      </c>
      <c r="AM73" s="5">
        <v>25</v>
      </c>
      <c r="AN73" s="5">
        <v>50</v>
      </c>
      <c r="AO73" s="5"/>
      <c r="AP73" s="5"/>
      <c r="AQ73" s="5"/>
      <c r="AR73" s="5"/>
      <c r="AS73" s="5"/>
      <c r="AT73" s="5"/>
      <c r="AU73" s="3"/>
      <c r="AV73" s="3"/>
      <c r="AW73" s="2"/>
      <c r="AX73" s="2"/>
      <c r="AY73" s="2"/>
      <c r="AZ73" s="2"/>
      <c r="BA73" s="3">
        <v>0.04</v>
      </c>
      <c r="BB73" s="3">
        <v>0.01</v>
      </c>
      <c r="BC73" s="5" t="s">
        <v>355</v>
      </c>
      <c r="BD73" s="5" t="s">
        <v>357</v>
      </c>
      <c r="BE73" s="3"/>
      <c r="BF73" s="19"/>
      <c r="BG73" s="6">
        <v>3</v>
      </c>
      <c r="BH73" s="2"/>
      <c r="BI73" s="2"/>
      <c r="BJ73" s="2"/>
      <c r="BK73" s="2"/>
      <c r="BL73" s="2"/>
      <c r="BM73" s="2"/>
      <c r="BN73" s="3"/>
      <c r="BO73" s="2"/>
      <c r="BP73" s="2"/>
      <c r="BQ73" s="2"/>
      <c r="BR73" s="3"/>
      <c r="BS73" s="2"/>
      <c r="BT73" s="2"/>
      <c r="BU73" s="2"/>
      <c r="BV73" s="2"/>
      <c r="BW73" s="2"/>
      <c r="BX73" s="2" t="s">
        <v>98</v>
      </c>
      <c r="BY73" s="2" t="s">
        <v>99</v>
      </c>
      <c r="BZ73" s="2" t="s">
        <v>100</v>
      </c>
      <c r="CA73" s="2" t="s">
        <v>358</v>
      </c>
      <c r="CB73" s="2"/>
    </row>
    <row r="74" spans="1:100" ht="409.6" hidden="1">
      <c r="A74" s="2">
        <v>44</v>
      </c>
      <c r="B74" s="2" t="s">
        <v>351</v>
      </c>
      <c r="C74" s="2" t="s">
        <v>352</v>
      </c>
      <c r="D74" s="6">
        <v>2025</v>
      </c>
      <c r="E74" s="2" t="s">
        <v>202</v>
      </c>
      <c r="F74" s="2" t="s">
        <v>353</v>
      </c>
      <c r="G74" s="2" t="s">
        <v>84</v>
      </c>
      <c r="H74" s="2" t="s">
        <v>85</v>
      </c>
      <c r="I74" s="2" t="s">
        <v>84</v>
      </c>
      <c r="J74" s="3">
        <v>0.93</v>
      </c>
      <c r="K74" s="2"/>
      <c r="L74" s="5" t="s">
        <v>354</v>
      </c>
      <c r="M74" s="5" t="s">
        <v>354</v>
      </c>
      <c r="N74" s="2" t="s">
        <v>88</v>
      </c>
      <c r="O74" s="2" t="s">
        <v>84</v>
      </c>
      <c r="P74" s="2" t="s">
        <v>84</v>
      </c>
      <c r="Q74" s="5" t="s">
        <v>89</v>
      </c>
      <c r="R74" s="21">
        <v>0.5</v>
      </c>
      <c r="S74" s="2" t="s">
        <v>90</v>
      </c>
      <c r="T74" s="3">
        <v>122</v>
      </c>
      <c r="U74" s="3">
        <v>8</v>
      </c>
      <c r="V74" s="3"/>
      <c r="W74" s="5">
        <v>0.02</v>
      </c>
      <c r="X74" s="5">
        <v>0.01</v>
      </c>
      <c r="Y74" s="5" t="s">
        <v>355</v>
      </c>
      <c r="Z74" s="5" t="s">
        <v>253</v>
      </c>
      <c r="AA74" s="2">
        <v>25</v>
      </c>
      <c r="AB74" s="2">
        <v>50</v>
      </c>
      <c r="AC74" s="3"/>
      <c r="AD74" s="3"/>
      <c r="AE74" s="3"/>
      <c r="AF74" s="5"/>
      <c r="AG74" s="5"/>
      <c r="AH74" s="5"/>
      <c r="AI74" s="3">
        <v>0.14000000000000001</v>
      </c>
      <c r="AJ74" s="3">
        <v>0.02</v>
      </c>
      <c r="AK74" s="5" t="s">
        <v>355</v>
      </c>
      <c r="AL74" s="5" t="s">
        <v>356</v>
      </c>
      <c r="AM74" s="5">
        <v>25</v>
      </c>
      <c r="AN74" s="5">
        <v>50</v>
      </c>
      <c r="AO74" s="5"/>
      <c r="AP74" s="5"/>
      <c r="AQ74" s="5"/>
      <c r="AR74" s="5"/>
      <c r="AS74" s="5"/>
      <c r="AT74" s="5"/>
      <c r="AU74" s="3"/>
      <c r="AV74" s="3"/>
      <c r="AW74" s="2"/>
      <c r="AX74" s="2"/>
      <c r="AY74" s="2"/>
      <c r="AZ74" s="2"/>
      <c r="BA74" s="3">
        <v>0.04</v>
      </c>
      <c r="BB74" s="3">
        <v>0.01</v>
      </c>
      <c r="BC74" s="5" t="s">
        <v>355</v>
      </c>
      <c r="BD74" s="5" t="s">
        <v>357</v>
      </c>
      <c r="BE74" s="3"/>
      <c r="BF74" s="19"/>
      <c r="BG74" s="6">
        <v>3</v>
      </c>
      <c r="BH74" s="2"/>
      <c r="BI74" s="2"/>
      <c r="BJ74" s="2"/>
      <c r="BK74" s="2"/>
      <c r="BL74" s="2"/>
      <c r="BM74" s="2"/>
      <c r="BN74" s="3"/>
      <c r="BO74" s="2"/>
      <c r="BP74" s="2"/>
      <c r="BQ74" s="2"/>
      <c r="BR74" s="3"/>
      <c r="BS74" s="2"/>
      <c r="BT74" s="2"/>
      <c r="BU74" s="2"/>
      <c r="BV74" s="2"/>
      <c r="BW74" s="2"/>
      <c r="BX74" s="2" t="s">
        <v>98</v>
      </c>
      <c r="BY74" s="2" t="s">
        <v>99</v>
      </c>
      <c r="BZ74" s="2" t="s">
        <v>100</v>
      </c>
      <c r="CA74" s="2" t="s">
        <v>358</v>
      </c>
      <c r="CB74" s="2"/>
    </row>
    <row r="75" spans="1:100" ht="86.45" hidden="1">
      <c r="A75" s="2">
        <v>45</v>
      </c>
      <c r="B75" s="2" t="s">
        <v>359</v>
      </c>
      <c r="C75" s="2" t="s">
        <v>360</v>
      </c>
      <c r="D75" s="6">
        <v>2025</v>
      </c>
      <c r="E75" s="2" t="s">
        <v>361</v>
      </c>
      <c r="F75" s="2" t="s">
        <v>362</v>
      </c>
      <c r="G75" s="2" t="s">
        <v>84</v>
      </c>
      <c r="H75" s="2" t="s">
        <v>85</v>
      </c>
      <c r="I75" s="2" t="s">
        <v>221</v>
      </c>
      <c r="J75" s="3"/>
      <c r="K75" s="2" t="s">
        <v>160</v>
      </c>
      <c r="L75" s="2" t="s">
        <v>303</v>
      </c>
      <c r="M75" s="2"/>
      <c r="N75" s="2" t="s">
        <v>141</v>
      </c>
      <c r="O75" s="2"/>
      <c r="P75" s="2"/>
      <c r="Q75" s="2"/>
      <c r="R75" s="2"/>
      <c r="S75" s="2"/>
      <c r="T75" s="3"/>
      <c r="U75" s="3"/>
      <c r="V75" s="3"/>
      <c r="W75" s="3"/>
      <c r="X75" s="3"/>
      <c r="Y75" s="2"/>
      <c r="Z75" s="2"/>
      <c r="AA75" s="2"/>
      <c r="AB75" s="2"/>
      <c r="AC75" s="3"/>
      <c r="AD75" s="3"/>
      <c r="AE75" s="3"/>
      <c r="AF75" s="2"/>
      <c r="AG75" s="2"/>
      <c r="AH75" s="2"/>
      <c r="AI75" s="3"/>
      <c r="AJ75" s="3"/>
      <c r="AK75" s="2"/>
      <c r="AL75" s="2"/>
      <c r="AM75" s="2"/>
      <c r="AN75" s="2"/>
      <c r="AO75" s="2"/>
      <c r="AP75" s="2"/>
      <c r="AQ75" s="2"/>
      <c r="AR75" s="2"/>
      <c r="AS75" s="2"/>
      <c r="AT75" s="2"/>
      <c r="AU75" s="3"/>
      <c r="AV75" s="3"/>
      <c r="AW75" s="2"/>
      <c r="AX75" s="2"/>
      <c r="AY75" s="2"/>
      <c r="AZ75" s="2"/>
      <c r="BA75" s="3"/>
      <c r="BB75" s="3"/>
      <c r="BC75" s="2"/>
      <c r="BD75" s="2"/>
      <c r="BE75" s="3"/>
      <c r="BF75" s="19"/>
      <c r="BG75" s="6"/>
      <c r="BH75" s="2"/>
      <c r="BI75" s="2"/>
      <c r="BJ75" s="2"/>
      <c r="BK75" s="2"/>
      <c r="BL75" s="2"/>
      <c r="BM75" s="2"/>
      <c r="BN75" s="3"/>
      <c r="BO75" s="2"/>
      <c r="BP75" s="2"/>
      <c r="BQ75" s="2"/>
      <c r="BR75" s="3"/>
      <c r="BS75" s="2"/>
      <c r="BT75" s="2"/>
      <c r="BU75" s="2"/>
      <c r="BV75" s="2"/>
      <c r="BW75" s="2"/>
      <c r="BX75" s="2"/>
      <c r="BY75" s="2" t="s">
        <v>99</v>
      </c>
      <c r="BZ75" s="2"/>
      <c r="CA75" s="2"/>
      <c r="CB75" s="2"/>
    </row>
    <row r="76" spans="1:100" ht="43.15" hidden="1">
      <c r="A76">
        <v>46</v>
      </c>
      <c r="B76" t="s">
        <v>363</v>
      </c>
      <c r="C76" t="s">
        <v>364</v>
      </c>
      <c r="D76" s="6">
        <v>2025</v>
      </c>
      <c r="E76" t="s">
        <v>365</v>
      </c>
      <c r="F76" t="s">
        <v>366</v>
      </c>
      <c r="G76" s="2" t="s">
        <v>84</v>
      </c>
      <c r="H76" s="2" t="s">
        <v>85</v>
      </c>
      <c r="I76" s="2" t="s">
        <v>100</v>
      </c>
      <c r="J76" s="3"/>
      <c r="K76" s="2" t="s">
        <v>160</v>
      </c>
      <c r="T76" s="3"/>
      <c r="U76" s="3"/>
      <c r="V76" s="3"/>
      <c r="W76" s="3"/>
      <c r="X76" s="3"/>
      <c r="AC76" s="3"/>
      <c r="AD76" s="3"/>
      <c r="AE76" s="3"/>
      <c r="AI76" s="3"/>
      <c r="AJ76" s="3"/>
      <c r="AU76" s="3"/>
      <c r="AV76" s="3"/>
      <c r="BA76" s="3"/>
      <c r="BB76" s="3"/>
      <c r="BE76" s="3"/>
      <c r="BF76" s="19"/>
      <c r="BG76" s="6"/>
      <c r="BN76" s="3"/>
      <c r="BR76" s="3"/>
      <c r="BY76" s="2" t="s">
        <v>99</v>
      </c>
    </row>
    <row r="77" spans="1:100" ht="57.6" hidden="1">
      <c r="A77">
        <v>47</v>
      </c>
      <c r="B77" t="s">
        <v>367</v>
      </c>
      <c r="C77" t="s">
        <v>368</v>
      </c>
      <c r="D77" s="6">
        <v>2025</v>
      </c>
      <c r="E77" t="s">
        <v>365</v>
      </c>
      <c r="F77" t="s">
        <v>369</v>
      </c>
      <c r="G77" s="2" t="s">
        <v>84</v>
      </c>
      <c r="H77" s="2" t="s">
        <v>85</v>
      </c>
      <c r="I77" s="2" t="s">
        <v>100</v>
      </c>
      <c r="J77" s="3"/>
      <c r="K77" s="2" t="s">
        <v>115</v>
      </c>
      <c r="T77" s="3"/>
      <c r="U77" s="3"/>
      <c r="V77" s="3"/>
      <c r="W77" s="3"/>
      <c r="X77" s="3"/>
      <c r="AC77" s="3"/>
      <c r="AD77" s="3"/>
      <c r="AE77" s="3"/>
      <c r="AI77" s="3"/>
      <c r="AJ77" s="3"/>
      <c r="AU77" s="3"/>
      <c r="AV77" s="3"/>
      <c r="BA77" s="3"/>
      <c r="BB77" s="3"/>
      <c r="BE77" s="3"/>
      <c r="BF77" s="19"/>
      <c r="BG77" s="6"/>
      <c r="BN77" s="3"/>
      <c r="BR77" s="3"/>
      <c r="BY77" s="2" t="s">
        <v>99</v>
      </c>
    </row>
    <row r="78" spans="1:100" ht="57.6" hidden="1">
      <c r="A78">
        <v>48</v>
      </c>
      <c r="B78" t="s">
        <v>370</v>
      </c>
      <c r="C78" t="s">
        <v>371</v>
      </c>
      <c r="D78" s="6">
        <v>2025</v>
      </c>
      <c r="E78" t="s">
        <v>372</v>
      </c>
      <c r="F78" t="s">
        <v>373</v>
      </c>
      <c r="G78" s="2" t="s">
        <v>84</v>
      </c>
      <c r="H78" s="2" t="s">
        <v>85</v>
      </c>
      <c r="I78" s="2" t="s">
        <v>100</v>
      </c>
      <c r="J78" s="3"/>
      <c r="K78" s="2" t="s">
        <v>115</v>
      </c>
      <c r="T78" s="3"/>
      <c r="U78" s="3"/>
      <c r="V78" s="3"/>
      <c r="W78" s="3"/>
      <c r="X78" s="3"/>
      <c r="AC78" s="3"/>
      <c r="AD78" s="3"/>
      <c r="AE78" s="3"/>
      <c r="AI78" s="3"/>
      <c r="AJ78" s="3"/>
      <c r="AU78" s="3"/>
      <c r="AV78" s="3"/>
      <c r="BA78" s="3"/>
      <c r="BB78" s="3"/>
      <c r="BE78" s="3"/>
      <c r="BF78" s="19"/>
      <c r="BG78" s="6"/>
      <c r="BN78" s="3"/>
      <c r="BR78" s="3"/>
      <c r="BY78" s="2" t="s">
        <v>99</v>
      </c>
    </row>
    <row r="79" spans="1:100" ht="115.15" hidden="1">
      <c r="A79" s="2">
        <v>49</v>
      </c>
      <c r="B79" s="2" t="s">
        <v>374</v>
      </c>
      <c r="C79" s="2" t="s">
        <v>375</v>
      </c>
      <c r="D79" s="6">
        <v>2025</v>
      </c>
      <c r="E79" s="2" t="s">
        <v>345</v>
      </c>
      <c r="F79" s="2" t="s">
        <v>376</v>
      </c>
      <c r="G79" s="2" t="s">
        <v>84</v>
      </c>
      <c r="H79" s="2" t="s">
        <v>85</v>
      </c>
      <c r="I79" s="2" t="s">
        <v>100</v>
      </c>
      <c r="J79" s="3"/>
      <c r="K79" s="2" t="s">
        <v>160</v>
      </c>
      <c r="L79" s="2" t="s">
        <v>267</v>
      </c>
      <c r="M79" s="2"/>
      <c r="N79" s="2" t="s">
        <v>88</v>
      </c>
      <c r="O79" s="2"/>
      <c r="P79" s="2"/>
      <c r="Q79" s="2" t="s">
        <v>377</v>
      </c>
      <c r="R79" s="2"/>
      <c r="S79" s="2" t="s">
        <v>90</v>
      </c>
      <c r="T79" s="3">
        <v>48.2</v>
      </c>
      <c r="U79" s="3">
        <v>3.93</v>
      </c>
      <c r="V79" s="3">
        <v>10</v>
      </c>
      <c r="W79" s="3"/>
      <c r="X79" s="3"/>
      <c r="Y79" s="2"/>
      <c r="Z79" s="2"/>
      <c r="AA79" s="2"/>
      <c r="AB79" s="2"/>
      <c r="AC79" s="3"/>
      <c r="AD79" s="3"/>
      <c r="AE79" s="3"/>
      <c r="AF79" s="2"/>
      <c r="AG79" s="2"/>
      <c r="AH79" s="2"/>
      <c r="AI79" s="3"/>
      <c r="AJ79" s="3"/>
      <c r="AK79" s="2"/>
      <c r="AL79" s="2"/>
      <c r="AM79" s="2"/>
      <c r="AN79" s="2"/>
      <c r="AO79" s="2"/>
      <c r="AP79" s="2"/>
      <c r="AQ79" s="2"/>
      <c r="AR79" s="2"/>
      <c r="AS79" s="2"/>
      <c r="AT79" s="2"/>
      <c r="AU79" s="3"/>
      <c r="AV79" s="3"/>
      <c r="AW79" s="2"/>
      <c r="AX79" s="2"/>
      <c r="AY79" s="2"/>
      <c r="AZ79" s="2"/>
      <c r="BA79" s="3">
        <v>1.5300000000000001E-7</v>
      </c>
      <c r="BB79" s="3">
        <v>8.9999999999999995E-9</v>
      </c>
      <c r="BC79" t="s">
        <v>378</v>
      </c>
      <c r="BD79" s="2" t="s">
        <v>92</v>
      </c>
      <c r="BE79" s="3">
        <v>23</v>
      </c>
      <c r="BF79" s="19">
        <v>0.5</v>
      </c>
      <c r="BG79" s="6"/>
      <c r="BH79" s="2"/>
      <c r="BI79" s="2"/>
      <c r="BJ79" s="2"/>
      <c r="BK79" s="2"/>
      <c r="BL79" s="2"/>
      <c r="BM79" s="2"/>
      <c r="BN79" s="3"/>
      <c r="BO79" s="2"/>
      <c r="BP79" s="2"/>
      <c r="BQ79" s="2"/>
      <c r="BR79" s="3"/>
      <c r="BS79" s="2"/>
      <c r="BT79" s="2"/>
      <c r="BU79" s="2"/>
      <c r="BV79" s="2"/>
      <c r="BW79" s="2"/>
      <c r="BX79" s="2"/>
      <c r="BY79" s="2" t="s">
        <v>99</v>
      </c>
      <c r="BZ79" s="2"/>
      <c r="CA79" s="2"/>
      <c r="CB79" s="2"/>
    </row>
    <row r="80" spans="1:100" ht="115.15" hidden="1">
      <c r="A80" s="2">
        <v>49</v>
      </c>
      <c r="B80" s="2" t="s">
        <v>374</v>
      </c>
      <c r="C80" s="2" t="s">
        <v>375</v>
      </c>
      <c r="D80" s="6">
        <v>2025</v>
      </c>
      <c r="E80" s="2" t="s">
        <v>345</v>
      </c>
      <c r="F80" s="2" t="s">
        <v>376</v>
      </c>
      <c r="G80" s="2" t="s">
        <v>84</v>
      </c>
      <c r="H80" s="2" t="s">
        <v>85</v>
      </c>
      <c r="I80" s="2" t="s">
        <v>100</v>
      </c>
      <c r="J80" s="3"/>
      <c r="K80" s="2" t="s">
        <v>160</v>
      </c>
      <c r="L80" s="2" t="s">
        <v>267</v>
      </c>
      <c r="M80" s="2"/>
      <c r="N80" s="2" t="s">
        <v>88</v>
      </c>
      <c r="O80" s="2"/>
      <c r="P80" s="2"/>
      <c r="Q80" s="2" t="s">
        <v>377</v>
      </c>
      <c r="R80" s="2"/>
      <c r="S80" s="2" t="s">
        <v>90</v>
      </c>
      <c r="T80" s="3">
        <v>51.2</v>
      </c>
      <c r="U80" s="3">
        <v>4.16</v>
      </c>
      <c r="V80" s="3">
        <v>10</v>
      </c>
      <c r="W80" s="3"/>
      <c r="X80" s="3"/>
      <c r="Y80" s="2"/>
      <c r="Z80" s="2"/>
      <c r="AA80" s="2"/>
      <c r="AB80" s="2"/>
      <c r="AC80" s="3"/>
      <c r="AD80" s="3"/>
      <c r="AE80" s="3"/>
      <c r="AF80" s="2"/>
      <c r="AG80" s="2"/>
      <c r="AH80" s="2"/>
      <c r="AI80" s="3"/>
      <c r="AJ80" s="3"/>
      <c r="AK80" s="2"/>
      <c r="AL80" s="2"/>
      <c r="AM80" s="2"/>
      <c r="AN80" s="2"/>
      <c r="AO80" s="2"/>
      <c r="AP80" s="2"/>
      <c r="AQ80" s="2"/>
      <c r="AR80" s="2"/>
      <c r="AS80" s="2"/>
      <c r="AT80" s="2"/>
      <c r="AU80" s="3"/>
      <c r="AV80" s="3"/>
      <c r="AW80" s="2"/>
      <c r="AX80" s="2"/>
      <c r="AY80" s="2"/>
      <c r="AZ80" s="2"/>
      <c r="BA80" s="3">
        <v>1.54E-7</v>
      </c>
      <c r="BB80" s="3">
        <v>8.0000000000000005E-9</v>
      </c>
      <c r="BC80" s="2" t="s">
        <v>379</v>
      </c>
      <c r="BD80" s="2" t="s">
        <v>92</v>
      </c>
      <c r="BE80" s="3">
        <v>23</v>
      </c>
      <c r="BF80" s="19">
        <v>0.5</v>
      </c>
      <c r="BG80" s="6"/>
      <c r="BH80" s="2"/>
      <c r="BI80" s="2"/>
      <c r="BJ80" s="2"/>
      <c r="BK80" s="2"/>
      <c r="BL80" s="2"/>
      <c r="BM80" s="2"/>
      <c r="BN80" s="3"/>
      <c r="BO80" s="2"/>
      <c r="BP80" s="2"/>
      <c r="BQ80" s="2"/>
      <c r="BR80" s="3"/>
      <c r="BS80" s="2"/>
      <c r="BT80" s="2"/>
      <c r="BU80" s="2"/>
      <c r="BV80" s="2"/>
      <c r="BW80" s="2"/>
      <c r="BX80" s="2"/>
      <c r="BY80" s="2" t="s">
        <v>99</v>
      </c>
      <c r="BZ80" s="2"/>
      <c r="CA80" s="2"/>
      <c r="CB80" s="2"/>
    </row>
    <row r="81" spans="1:80" ht="115.15" hidden="1">
      <c r="A81" s="2">
        <v>49</v>
      </c>
      <c r="B81" s="2" t="s">
        <v>374</v>
      </c>
      <c r="C81" s="2" t="s">
        <v>375</v>
      </c>
      <c r="D81" s="6">
        <v>2025</v>
      </c>
      <c r="E81" s="2" t="s">
        <v>345</v>
      </c>
      <c r="F81" s="2" t="s">
        <v>376</v>
      </c>
      <c r="G81" s="2" t="s">
        <v>84</v>
      </c>
      <c r="H81" s="2" t="s">
        <v>85</v>
      </c>
      <c r="I81" s="2" t="s">
        <v>100</v>
      </c>
      <c r="J81" s="3"/>
      <c r="K81" s="2" t="s">
        <v>160</v>
      </c>
      <c r="L81" s="2" t="s">
        <v>267</v>
      </c>
      <c r="M81" s="2"/>
      <c r="N81" s="2" t="s">
        <v>88</v>
      </c>
      <c r="O81" s="2"/>
      <c r="P81" s="2"/>
      <c r="Q81" s="2" t="s">
        <v>377</v>
      </c>
      <c r="R81" s="2"/>
      <c r="S81" s="2" t="s">
        <v>90</v>
      </c>
      <c r="T81" s="3">
        <v>51.3</v>
      </c>
      <c r="U81" s="3">
        <v>2.63</v>
      </c>
      <c r="V81" s="3">
        <v>10</v>
      </c>
      <c r="W81" s="3"/>
      <c r="X81" s="3"/>
      <c r="Y81" s="2"/>
      <c r="Z81" s="2"/>
      <c r="AA81" s="2"/>
      <c r="AB81" s="2"/>
      <c r="AC81" s="3"/>
      <c r="AD81" s="3"/>
      <c r="AE81" s="3"/>
      <c r="AF81" s="2"/>
      <c r="AG81" s="2"/>
      <c r="AH81" s="2"/>
      <c r="AI81" s="3"/>
      <c r="AJ81" s="3"/>
      <c r="AK81" s="2"/>
      <c r="AL81" s="2"/>
      <c r="AM81" s="2"/>
      <c r="AN81" s="2"/>
      <c r="AO81" s="2"/>
      <c r="AP81" s="2"/>
      <c r="AQ81" s="2"/>
      <c r="AR81" s="2"/>
      <c r="AS81" s="2"/>
      <c r="AT81" s="2"/>
      <c r="AU81" s="3"/>
      <c r="AV81" s="3"/>
      <c r="AW81" s="2"/>
      <c r="AX81" s="2"/>
      <c r="AY81" s="2"/>
      <c r="AZ81" s="2"/>
      <c r="BA81" s="3">
        <v>1.55E-7</v>
      </c>
      <c r="BB81" s="3">
        <v>3E-9</v>
      </c>
      <c r="BC81" t="s">
        <v>378</v>
      </c>
      <c r="BD81" s="2" t="s">
        <v>92</v>
      </c>
      <c r="BE81" s="3">
        <v>23</v>
      </c>
      <c r="BF81" s="19">
        <v>0.5</v>
      </c>
      <c r="BG81" s="6"/>
      <c r="BH81" s="2"/>
      <c r="BI81" s="2"/>
      <c r="BJ81" s="2"/>
      <c r="BK81" s="2"/>
      <c r="BL81" s="2"/>
      <c r="BM81" s="2"/>
      <c r="BN81" s="3"/>
      <c r="BO81" s="2"/>
      <c r="BP81" s="2"/>
      <c r="BQ81" s="2"/>
      <c r="BR81" s="3"/>
      <c r="BS81" s="2"/>
      <c r="BT81" s="2"/>
      <c r="BU81" s="2"/>
      <c r="BV81" s="2"/>
      <c r="BW81" s="2"/>
      <c r="BX81" s="2"/>
      <c r="BY81" s="2" t="s">
        <v>99</v>
      </c>
      <c r="BZ81" s="2"/>
      <c r="CA81" s="2"/>
      <c r="CB81" s="2"/>
    </row>
    <row r="82" spans="1:80" ht="115.15" hidden="1">
      <c r="A82" s="2">
        <v>49</v>
      </c>
      <c r="B82" s="2" t="s">
        <v>374</v>
      </c>
      <c r="C82" s="2" t="s">
        <v>375</v>
      </c>
      <c r="D82" s="6">
        <v>2025</v>
      </c>
      <c r="E82" s="2" t="s">
        <v>345</v>
      </c>
      <c r="F82" s="2" t="s">
        <v>376</v>
      </c>
      <c r="G82" s="2" t="s">
        <v>84</v>
      </c>
      <c r="H82" s="2" t="s">
        <v>85</v>
      </c>
      <c r="I82" s="2" t="s">
        <v>100</v>
      </c>
      <c r="J82" s="3"/>
      <c r="K82" s="2" t="s">
        <v>160</v>
      </c>
      <c r="L82" s="2" t="s">
        <v>267</v>
      </c>
      <c r="M82" s="2"/>
      <c r="N82" s="2" t="s">
        <v>88</v>
      </c>
      <c r="O82" s="2"/>
      <c r="P82" s="2"/>
      <c r="Q82" s="2" t="s">
        <v>377</v>
      </c>
      <c r="R82" s="2"/>
      <c r="S82" s="2" t="s">
        <v>90</v>
      </c>
      <c r="T82" s="3">
        <v>54</v>
      </c>
      <c r="U82" s="3">
        <v>2.79</v>
      </c>
      <c r="V82" s="3">
        <v>10</v>
      </c>
      <c r="W82" s="3"/>
      <c r="X82" s="3"/>
      <c r="Y82" s="2"/>
      <c r="Z82" s="2"/>
      <c r="AA82" s="2"/>
      <c r="AB82" s="2"/>
      <c r="AC82" s="3"/>
      <c r="AD82" s="3"/>
      <c r="AE82" s="3"/>
      <c r="AF82" s="2"/>
      <c r="AG82" s="2"/>
      <c r="AH82" s="2"/>
      <c r="AI82" s="3"/>
      <c r="AJ82" s="3"/>
      <c r="AK82" s="2"/>
      <c r="AL82" s="2"/>
      <c r="AM82" s="2"/>
      <c r="AN82" s="2"/>
      <c r="AO82" s="2"/>
      <c r="AP82" s="2"/>
      <c r="AQ82" s="2"/>
      <c r="AR82" s="2"/>
      <c r="AS82" s="2"/>
      <c r="AT82" s="2"/>
      <c r="AU82" s="3"/>
      <c r="AV82" s="3"/>
      <c r="AW82" s="2"/>
      <c r="AX82" s="2"/>
      <c r="AY82" s="2"/>
      <c r="AZ82" s="2"/>
      <c r="BA82" s="3">
        <v>1.7100000000000001E-7</v>
      </c>
      <c r="BB82" s="3">
        <v>1E-8</v>
      </c>
      <c r="BC82" t="s">
        <v>378</v>
      </c>
      <c r="BD82" s="2" t="s">
        <v>92</v>
      </c>
      <c r="BE82" s="3">
        <v>23</v>
      </c>
      <c r="BF82" s="19">
        <v>0.5</v>
      </c>
      <c r="BG82" s="6"/>
      <c r="BH82" s="2"/>
      <c r="BI82" s="2"/>
      <c r="BJ82" s="2"/>
      <c r="BK82" s="2"/>
      <c r="BL82" s="2"/>
      <c r="BM82" s="2"/>
      <c r="BN82" s="3"/>
      <c r="BO82" s="2"/>
      <c r="BP82" s="2"/>
      <c r="BQ82" s="2"/>
      <c r="BR82" s="3"/>
      <c r="BS82" s="2"/>
      <c r="BT82" s="2"/>
      <c r="BU82" s="2"/>
      <c r="BV82" s="2"/>
      <c r="BW82" s="2"/>
      <c r="BX82" s="2"/>
      <c r="BY82" s="2" t="s">
        <v>99</v>
      </c>
      <c r="BZ82" s="2"/>
      <c r="CA82" s="2"/>
      <c r="CB82" s="2"/>
    </row>
    <row r="83" spans="1:80" ht="115.15" hidden="1">
      <c r="A83" s="2">
        <v>49</v>
      </c>
      <c r="B83" s="2" t="s">
        <v>374</v>
      </c>
      <c r="C83" s="2" t="s">
        <v>375</v>
      </c>
      <c r="D83" s="6">
        <v>2025</v>
      </c>
      <c r="E83" s="2" t="s">
        <v>345</v>
      </c>
      <c r="F83" s="2" t="s">
        <v>376</v>
      </c>
      <c r="G83" s="2" t="s">
        <v>84</v>
      </c>
      <c r="H83" s="2" t="s">
        <v>85</v>
      </c>
      <c r="I83" s="2" t="s">
        <v>100</v>
      </c>
      <c r="J83" s="3"/>
      <c r="K83" s="2" t="s">
        <v>160</v>
      </c>
      <c r="L83" s="2" t="s">
        <v>267</v>
      </c>
      <c r="M83" s="2"/>
      <c r="N83" s="2" t="s">
        <v>88</v>
      </c>
      <c r="O83" s="2"/>
      <c r="P83" s="2"/>
      <c r="Q83" s="2" t="s">
        <v>377</v>
      </c>
      <c r="R83" s="2"/>
      <c r="S83" s="2" t="s">
        <v>90</v>
      </c>
      <c r="T83" s="3">
        <v>54.9</v>
      </c>
      <c r="U83" s="3">
        <v>3.11</v>
      </c>
      <c r="V83" s="3">
        <v>10</v>
      </c>
      <c r="W83" s="3"/>
      <c r="X83" s="3"/>
      <c r="Y83" s="2"/>
      <c r="Z83" s="2"/>
      <c r="AA83" s="2"/>
      <c r="AB83" s="2"/>
      <c r="AC83" s="3"/>
      <c r="AD83" s="3"/>
      <c r="AE83" s="3"/>
      <c r="AF83" s="2"/>
      <c r="AG83" s="2"/>
      <c r="AH83" s="2"/>
      <c r="AI83" s="3"/>
      <c r="AJ83" s="3"/>
      <c r="AK83" s="2"/>
      <c r="AL83" s="2"/>
      <c r="AM83" s="2"/>
      <c r="AN83" s="2"/>
      <c r="AO83" s="2"/>
      <c r="AP83" s="2"/>
      <c r="AQ83" s="2"/>
      <c r="AR83" s="2"/>
      <c r="AS83" s="2"/>
      <c r="AT83" s="2"/>
      <c r="AU83" s="3"/>
      <c r="AV83" s="3"/>
      <c r="AW83" s="2"/>
      <c r="AX83" s="2"/>
      <c r="AY83" s="2"/>
      <c r="AZ83" s="2"/>
      <c r="BA83" s="3">
        <v>1.8E-7</v>
      </c>
      <c r="BB83" s="3">
        <v>1.0999999999999999E-8</v>
      </c>
      <c r="BC83" t="s">
        <v>378</v>
      </c>
      <c r="BD83" s="2" t="s">
        <v>92</v>
      </c>
      <c r="BE83" s="3">
        <v>23</v>
      </c>
      <c r="BF83" s="19">
        <v>0.5</v>
      </c>
      <c r="BG83" s="6"/>
      <c r="BH83" s="2"/>
      <c r="BI83" s="2"/>
      <c r="BJ83" s="2"/>
      <c r="BK83" s="2"/>
      <c r="BL83" s="2"/>
      <c r="BM83" s="2"/>
      <c r="BN83" s="3"/>
      <c r="BO83" s="2"/>
      <c r="BP83" s="2"/>
      <c r="BQ83" s="2"/>
      <c r="BR83" s="3"/>
      <c r="BS83" s="2"/>
      <c r="BT83" s="2"/>
      <c r="BU83" s="2"/>
      <c r="BV83" s="2"/>
      <c r="BW83" s="2"/>
      <c r="BX83" s="2"/>
      <c r="BY83" s="2" t="s">
        <v>99</v>
      </c>
      <c r="BZ83" s="2"/>
      <c r="CA83" s="2"/>
      <c r="CB83" s="2"/>
    </row>
    <row r="84" spans="1:80" ht="115.15" hidden="1">
      <c r="A84" s="2">
        <v>49</v>
      </c>
      <c r="B84" s="2" t="s">
        <v>374</v>
      </c>
      <c r="C84" s="2" t="s">
        <v>375</v>
      </c>
      <c r="D84" s="6">
        <v>2025</v>
      </c>
      <c r="E84" s="2" t="s">
        <v>345</v>
      </c>
      <c r="F84" s="2" t="s">
        <v>376</v>
      </c>
      <c r="G84" s="2" t="s">
        <v>84</v>
      </c>
      <c r="H84" s="2" t="s">
        <v>85</v>
      </c>
      <c r="I84" s="2" t="s">
        <v>100</v>
      </c>
      <c r="J84" s="3"/>
      <c r="K84" s="2" t="s">
        <v>160</v>
      </c>
      <c r="L84" s="2" t="s">
        <v>267</v>
      </c>
      <c r="M84" s="2"/>
      <c r="N84" s="2" t="s">
        <v>88</v>
      </c>
      <c r="O84" s="2"/>
      <c r="P84" s="2"/>
      <c r="Q84" s="2" t="s">
        <v>377</v>
      </c>
      <c r="R84" s="2"/>
      <c r="S84" s="2" t="s">
        <v>90</v>
      </c>
      <c r="T84" s="3">
        <v>54.8</v>
      </c>
      <c r="U84" s="3">
        <v>2.2999999999999998</v>
      </c>
      <c r="V84" s="3">
        <v>10</v>
      </c>
      <c r="W84" s="3"/>
      <c r="X84" s="3"/>
      <c r="Y84" s="2"/>
      <c r="Z84" s="2"/>
      <c r="AA84" s="2"/>
      <c r="AB84" s="2"/>
      <c r="AC84" s="3"/>
      <c r="AD84" s="3"/>
      <c r="AE84" s="3"/>
      <c r="AF84" s="2"/>
      <c r="AG84" s="2"/>
      <c r="AH84" s="2"/>
      <c r="AI84" s="3"/>
      <c r="AJ84" s="3"/>
      <c r="AK84" s="2"/>
      <c r="AL84" s="2"/>
      <c r="AM84" s="2"/>
      <c r="AN84" s="2"/>
      <c r="AO84" s="2"/>
      <c r="AP84" s="2"/>
      <c r="AQ84" s="2"/>
      <c r="AR84" s="2"/>
      <c r="AS84" s="2"/>
      <c r="AT84" s="2"/>
      <c r="AU84" s="3"/>
      <c r="AV84" s="3"/>
      <c r="AW84" s="2"/>
      <c r="AX84" s="2"/>
      <c r="AY84" s="2"/>
      <c r="AZ84" s="2"/>
      <c r="BA84" s="3">
        <v>1.9600000000000001E-7</v>
      </c>
      <c r="BB84" s="3">
        <v>1.6000000000000001E-8</v>
      </c>
      <c r="BC84" t="s">
        <v>378</v>
      </c>
      <c r="BD84" s="2" t="s">
        <v>92</v>
      </c>
      <c r="BE84" s="3">
        <v>23</v>
      </c>
      <c r="BF84" s="19">
        <v>0.5</v>
      </c>
      <c r="BG84" s="6"/>
      <c r="BH84" s="2"/>
      <c r="BI84" s="2"/>
      <c r="BJ84" s="2"/>
      <c r="BK84" s="2"/>
      <c r="BL84" s="2"/>
      <c r="BM84" s="2"/>
      <c r="BN84" s="3"/>
      <c r="BO84" s="2"/>
      <c r="BP84" s="2"/>
      <c r="BQ84" s="2"/>
      <c r="BR84" s="3"/>
      <c r="BS84" s="2"/>
      <c r="BT84" s="2"/>
      <c r="BU84" s="2"/>
      <c r="BV84" s="2"/>
      <c r="BW84" s="2"/>
      <c r="BX84" s="2"/>
      <c r="BY84" s="2" t="s">
        <v>99</v>
      </c>
      <c r="BZ84" s="2"/>
      <c r="CA84" s="2"/>
      <c r="CB84" s="2"/>
    </row>
    <row r="85" spans="1:80" ht="115.15" hidden="1">
      <c r="A85" s="2">
        <v>50</v>
      </c>
      <c r="B85" s="2" t="s">
        <v>380</v>
      </c>
      <c r="C85" s="2" t="s">
        <v>381</v>
      </c>
      <c r="D85" s="6">
        <v>2024</v>
      </c>
      <c r="E85" s="2" t="s">
        <v>118</v>
      </c>
      <c r="F85" s="2" t="s">
        <v>382</v>
      </c>
      <c r="G85" s="2" t="s">
        <v>84</v>
      </c>
      <c r="H85" s="2" t="s">
        <v>85</v>
      </c>
      <c r="I85" s="2" t="s">
        <v>100</v>
      </c>
      <c r="J85" s="3"/>
      <c r="K85" s="2" t="s">
        <v>160</v>
      </c>
      <c r="L85" s="2"/>
      <c r="M85" s="2"/>
      <c r="N85" s="2"/>
      <c r="O85" s="2"/>
      <c r="P85" s="2"/>
      <c r="Q85" s="2"/>
      <c r="R85" s="2"/>
      <c r="S85" s="2"/>
      <c r="T85" s="3"/>
      <c r="U85" s="3"/>
      <c r="V85" s="3"/>
      <c r="W85" s="3"/>
      <c r="X85" s="3"/>
      <c r="Y85" s="2"/>
      <c r="Z85" s="2"/>
      <c r="AA85" s="2"/>
      <c r="AB85" s="2"/>
      <c r="AC85" s="3"/>
      <c r="AD85" s="3"/>
      <c r="AE85" s="3"/>
      <c r="AF85" s="2"/>
      <c r="AG85" s="2"/>
      <c r="AH85" s="2"/>
      <c r="AI85" s="3"/>
      <c r="AJ85" s="3"/>
      <c r="AK85" s="2"/>
      <c r="AL85" s="2"/>
      <c r="AM85" s="2"/>
      <c r="AN85" s="2"/>
      <c r="AO85" s="2"/>
      <c r="AP85" s="2"/>
      <c r="AQ85" s="2"/>
      <c r="AR85" s="2"/>
      <c r="AS85" s="2"/>
      <c r="AT85" s="2"/>
      <c r="AU85" s="3"/>
      <c r="AV85" s="3"/>
      <c r="AW85" s="2"/>
      <c r="AX85" s="2"/>
      <c r="AY85" s="2"/>
      <c r="AZ85" s="2"/>
      <c r="BA85" s="3"/>
      <c r="BB85" s="3"/>
      <c r="BC85" s="2"/>
      <c r="BD85" s="2"/>
      <c r="BE85" s="3"/>
      <c r="BF85" s="19"/>
      <c r="BG85" s="6"/>
      <c r="BH85" s="2"/>
      <c r="BI85" s="2"/>
      <c r="BJ85" s="2"/>
      <c r="BK85" s="2"/>
      <c r="BL85" s="2"/>
      <c r="BM85" s="2"/>
      <c r="BN85" s="3"/>
      <c r="BO85" s="2"/>
      <c r="BP85" s="2"/>
      <c r="BQ85" s="2"/>
      <c r="BR85" s="3"/>
      <c r="BS85" s="2"/>
      <c r="BT85" s="2"/>
      <c r="BU85" s="2"/>
      <c r="BV85" s="2"/>
      <c r="BW85" s="2"/>
      <c r="BX85" s="2"/>
      <c r="BY85" s="2" t="s">
        <v>99</v>
      </c>
      <c r="BZ85" s="2"/>
      <c r="CA85" s="2"/>
      <c r="CB85" s="2"/>
    </row>
    <row r="86" spans="1:80" ht="86.45" hidden="1">
      <c r="A86" s="2">
        <v>51</v>
      </c>
      <c r="B86" s="2" t="s">
        <v>383</v>
      </c>
      <c r="C86" s="2" t="s">
        <v>384</v>
      </c>
      <c r="D86" s="6">
        <v>2024</v>
      </c>
      <c r="E86" s="2" t="s">
        <v>118</v>
      </c>
      <c r="F86" s="2" t="s">
        <v>385</v>
      </c>
      <c r="G86" s="2" t="s">
        <v>84</v>
      </c>
      <c r="H86" s="2" t="s">
        <v>85</v>
      </c>
      <c r="I86" s="2" t="s">
        <v>100</v>
      </c>
      <c r="J86" s="3"/>
      <c r="K86" s="2" t="s">
        <v>115</v>
      </c>
      <c r="L86" s="2"/>
      <c r="M86" s="2"/>
      <c r="N86" s="2"/>
      <c r="O86" s="2"/>
      <c r="P86" s="2"/>
      <c r="Q86" s="2"/>
      <c r="R86" s="2"/>
      <c r="S86" s="2"/>
      <c r="T86" s="3"/>
      <c r="U86" s="3"/>
      <c r="V86" s="3"/>
      <c r="W86" s="3"/>
      <c r="X86" s="3"/>
      <c r="Y86" s="2"/>
      <c r="Z86" s="2"/>
      <c r="AA86" s="2"/>
      <c r="AB86" s="2"/>
      <c r="AC86" s="3"/>
      <c r="AD86" s="3"/>
      <c r="AE86" s="3"/>
      <c r="AF86" s="2"/>
      <c r="AG86" s="2"/>
      <c r="AH86" s="2"/>
      <c r="AI86" s="3"/>
      <c r="AJ86" s="3"/>
      <c r="AK86" s="2"/>
      <c r="AL86" s="2"/>
      <c r="AM86" s="2"/>
      <c r="AN86" s="2"/>
      <c r="AO86" s="2"/>
      <c r="AP86" s="2"/>
      <c r="AQ86" s="2"/>
      <c r="AR86" s="2"/>
      <c r="AS86" s="2"/>
      <c r="AT86" s="2"/>
      <c r="AU86" s="3"/>
      <c r="AV86" s="3"/>
      <c r="AW86" s="2"/>
      <c r="AX86" s="2"/>
      <c r="AY86" s="2"/>
      <c r="AZ86" s="2"/>
      <c r="BA86" s="3"/>
      <c r="BB86" s="3"/>
      <c r="BC86" s="2"/>
      <c r="BD86" s="2"/>
      <c r="BE86" s="3"/>
      <c r="BF86" s="19"/>
      <c r="BG86" s="6"/>
      <c r="BH86" s="2"/>
      <c r="BI86" s="2"/>
      <c r="BJ86" s="2"/>
      <c r="BK86" s="2"/>
      <c r="BL86" s="2"/>
      <c r="BM86" s="2"/>
      <c r="BN86" s="3"/>
      <c r="BO86" s="2"/>
      <c r="BP86" s="2"/>
      <c r="BQ86" s="2"/>
      <c r="BR86" s="3"/>
      <c r="BS86" s="2"/>
      <c r="BT86" s="2"/>
      <c r="BU86" s="2"/>
      <c r="BV86" s="2"/>
      <c r="BW86" s="2"/>
      <c r="BX86" s="2"/>
      <c r="BY86" s="2" t="s">
        <v>99</v>
      </c>
      <c r="BZ86" s="2"/>
      <c r="CA86" s="2"/>
      <c r="CB86" s="2"/>
    </row>
    <row r="87" spans="1:80" ht="129.6" hidden="1">
      <c r="A87" s="2">
        <v>52</v>
      </c>
      <c r="B87" s="2" t="s">
        <v>386</v>
      </c>
      <c r="C87" s="2" t="s">
        <v>387</v>
      </c>
      <c r="D87" s="6">
        <v>2024</v>
      </c>
      <c r="E87" s="2" t="s">
        <v>388</v>
      </c>
      <c r="F87" s="2" t="s">
        <v>389</v>
      </c>
      <c r="G87" s="2" t="s">
        <v>84</v>
      </c>
      <c r="H87" s="2" t="s">
        <v>85</v>
      </c>
      <c r="I87" s="2" t="s">
        <v>100</v>
      </c>
      <c r="J87" s="3"/>
      <c r="K87" s="2" t="s">
        <v>115</v>
      </c>
      <c r="L87" s="2"/>
      <c r="M87" s="2"/>
      <c r="N87" s="2"/>
      <c r="O87" s="2"/>
      <c r="P87" s="2"/>
      <c r="Q87" s="2"/>
      <c r="R87" s="2"/>
      <c r="S87" s="2"/>
      <c r="T87" s="3"/>
      <c r="U87" s="3"/>
      <c r="V87" s="3"/>
      <c r="W87" s="3"/>
      <c r="X87" s="3"/>
      <c r="Y87" s="2"/>
      <c r="Z87" s="2"/>
      <c r="AA87" s="2"/>
      <c r="AB87" s="2"/>
      <c r="AC87" s="3"/>
      <c r="AD87" s="3"/>
      <c r="AE87" s="3"/>
      <c r="AF87" s="2"/>
      <c r="AG87" s="2"/>
      <c r="AH87" s="2"/>
      <c r="AI87" s="3"/>
      <c r="AJ87" s="3"/>
      <c r="AK87" s="2"/>
      <c r="AL87" s="2"/>
      <c r="AM87" s="2"/>
      <c r="AN87" s="2"/>
      <c r="AO87" s="2"/>
      <c r="AP87" s="2"/>
      <c r="AQ87" s="2"/>
      <c r="AR87" s="2"/>
      <c r="AS87" s="2"/>
      <c r="AT87" s="2"/>
      <c r="AU87" s="3"/>
      <c r="AV87" s="3"/>
      <c r="AW87" s="2"/>
      <c r="AX87" s="2"/>
      <c r="AY87" s="2"/>
      <c r="AZ87" s="2"/>
      <c r="BA87" s="3"/>
      <c r="BB87" s="3"/>
      <c r="BC87" s="2"/>
      <c r="BD87" s="2"/>
      <c r="BE87" s="3"/>
      <c r="BF87" s="19"/>
      <c r="BG87" s="6"/>
      <c r="BH87" s="2"/>
      <c r="BI87" s="2"/>
      <c r="BJ87" s="2"/>
      <c r="BK87" s="2"/>
      <c r="BL87" s="2"/>
      <c r="BM87" s="2"/>
      <c r="BN87" s="3"/>
      <c r="BO87" s="2"/>
      <c r="BP87" s="2"/>
      <c r="BQ87" s="2"/>
      <c r="BR87" s="3"/>
      <c r="BS87" s="2"/>
      <c r="BT87" s="2"/>
      <c r="BU87" s="2"/>
      <c r="BV87" s="2"/>
      <c r="BW87" s="2"/>
      <c r="BX87" s="2"/>
      <c r="BY87" s="2" t="s">
        <v>99</v>
      </c>
      <c r="BZ87" s="2"/>
      <c r="CA87" s="2"/>
      <c r="CB87" s="2"/>
    </row>
    <row r="88" spans="1:80" ht="409.6">
      <c r="A88" s="2">
        <v>53</v>
      </c>
      <c r="B88" s="2" t="s">
        <v>390</v>
      </c>
      <c r="C88" s="2" t="s">
        <v>391</v>
      </c>
      <c r="D88" s="6">
        <v>2024</v>
      </c>
      <c r="E88" s="2" t="s">
        <v>163</v>
      </c>
      <c r="F88" s="2" t="s">
        <v>392</v>
      </c>
      <c r="G88" s="2" t="s">
        <v>84</v>
      </c>
      <c r="H88" s="2" t="s">
        <v>85</v>
      </c>
      <c r="I88" s="2" t="s">
        <v>84</v>
      </c>
      <c r="J88" s="3">
        <v>0.79</v>
      </c>
      <c r="K88" s="2"/>
      <c r="L88" s="2" t="s">
        <v>393</v>
      </c>
      <c r="M88" s="2" t="s">
        <v>334</v>
      </c>
      <c r="N88" s="2" t="s">
        <v>129</v>
      </c>
      <c r="O88" s="2" t="s">
        <v>84</v>
      </c>
      <c r="P88" s="2" t="s">
        <v>84</v>
      </c>
      <c r="Q88" s="5" t="s">
        <v>100</v>
      </c>
      <c r="R88" s="21">
        <v>0</v>
      </c>
      <c r="S88" s="2" t="s">
        <v>217</v>
      </c>
      <c r="T88" s="3">
        <v>253</v>
      </c>
      <c r="U88" s="3">
        <v>36</v>
      </c>
      <c r="V88" s="3" t="s">
        <v>218</v>
      </c>
      <c r="W88" s="3"/>
      <c r="X88" s="3"/>
      <c r="Y88" s="2"/>
      <c r="Z88" s="2"/>
      <c r="AA88" s="2"/>
      <c r="AB88" s="2"/>
      <c r="AC88" s="3">
        <v>1.62</v>
      </c>
      <c r="AD88" s="3">
        <v>0</v>
      </c>
      <c r="AE88" s="5" t="s">
        <v>394</v>
      </c>
      <c r="AF88" s="2" t="s">
        <v>327</v>
      </c>
      <c r="AG88" s="2">
        <v>23</v>
      </c>
      <c r="AH88" s="2">
        <v>0</v>
      </c>
      <c r="AI88" s="3"/>
      <c r="AJ88" s="3"/>
      <c r="AK88" s="2"/>
      <c r="AL88" s="2"/>
      <c r="AM88" s="2"/>
      <c r="AN88" s="2"/>
      <c r="AO88" s="2">
        <v>3.31</v>
      </c>
      <c r="AP88" s="2">
        <v>0.03</v>
      </c>
      <c r="AQ88" s="5" t="s">
        <v>394</v>
      </c>
      <c r="AR88" s="23" t="s">
        <v>327</v>
      </c>
      <c r="AS88" s="2">
        <v>23</v>
      </c>
      <c r="AT88" s="2">
        <v>0</v>
      </c>
      <c r="AU88" s="3"/>
      <c r="AV88" s="3"/>
      <c r="AW88" s="2"/>
      <c r="AX88" s="2"/>
      <c r="AY88" s="2"/>
      <c r="AZ88" s="2"/>
      <c r="BA88" s="3"/>
      <c r="BB88" s="3"/>
      <c r="BC88" s="2"/>
      <c r="BD88" s="2"/>
      <c r="BE88" s="3"/>
      <c r="BF88" s="19"/>
      <c r="BG88" s="6" t="s">
        <v>218</v>
      </c>
      <c r="BH88" s="2" t="s">
        <v>395</v>
      </c>
      <c r="BI88" s="2"/>
      <c r="BJ88" s="2"/>
      <c r="BK88" s="2"/>
      <c r="BL88" s="2"/>
      <c r="BM88" s="2"/>
      <c r="BN88" s="3">
        <v>0.36</v>
      </c>
      <c r="BO88" s="5" t="s">
        <v>396</v>
      </c>
      <c r="BP88" s="5">
        <v>1.37</v>
      </c>
      <c r="BQ88" s="5" t="s">
        <v>397</v>
      </c>
      <c r="BR88" s="3"/>
      <c r="BS88" s="5"/>
      <c r="BT88" s="2"/>
      <c r="BU88" s="2"/>
      <c r="BV88" s="2" t="s">
        <v>96</v>
      </c>
      <c r="BW88" s="2" t="s">
        <v>398</v>
      </c>
      <c r="BX88" s="2" t="s">
        <v>98</v>
      </c>
      <c r="BY88" s="2" t="s">
        <v>99</v>
      </c>
      <c r="BZ88" s="2" t="s">
        <v>100</v>
      </c>
      <c r="CA88" s="5" t="s">
        <v>399</v>
      </c>
      <c r="CB88" s="2"/>
    </row>
    <row r="89" spans="1:80" ht="409.6" hidden="1">
      <c r="A89" s="2">
        <v>53</v>
      </c>
      <c r="B89" s="2" t="s">
        <v>390</v>
      </c>
      <c r="C89" s="2" t="s">
        <v>391</v>
      </c>
      <c r="D89" s="6">
        <v>2024</v>
      </c>
      <c r="E89" s="2" t="s">
        <v>163</v>
      </c>
      <c r="F89" s="2" t="s">
        <v>392</v>
      </c>
      <c r="G89" s="2" t="s">
        <v>84</v>
      </c>
      <c r="H89" s="2" t="s">
        <v>85</v>
      </c>
      <c r="I89" s="2" t="s">
        <v>84</v>
      </c>
      <c r="J89" s="3">
        <v>0.79</v>
      </c>
      <c r="K89" s="2"/>
      <c r="L89" s="2" t="s">
        <v>393</v>
      </c>
      <c r="M89" s="2" t="s">
        <v>334</v>
      </c>
      <c r="N89" s="2" t="s">
        <v>129</v>
      </c>
      <c r="O89" s="2" t="s">
        <v>84</v>
      </c>
      <c r="P89" s="2" t="s">
        <v>84</v>
      </c>
      <c r="Q89" s="5" t="s">
        <v>100</v>
      </c>
      <c r="R89" s="21">
        <v>0</v>
      </c>
      <c r="S89" s="2" t="s">
        <v>217</v>
      </c>
      <c r="T89" s="3">
        <v>253</v>
      </c>
      <c r="U89" s="3">
        <v>36</v>
      </c>
      <c r="V89" s="3" t="s">
        <v>218</v>
      </c>
      <c r="W89" s="3"/>
      <c r="X89" s="3"/>
      <c r="Y89" s="2"/>
      <c r="Z89" s="2"/>
      <c r="AA89" s="2"/>
      <c r="AB89" s="2"/>
      <c r="AC89" s="3">
        <v>0.96</v>
      </c>
      <c r="AD89" s="3">
        <v>0.01</v>
      </c>
      <c r="AE89" s="5" t="s">
        <v>394</v>
      </c>
      <c r="AF89" s="2" t="s">
        <v>327</v>
      </c>
      <c r="AG89" s="2">
        <v>23</v>
      </c>
      <c r="AH89" s="2">
        <v>85</v>
      </c>
      <c r="AI89" s="3"/>
      <c r="AJ89" s="3"/>
      <c r="AK89" s="2"/>
      <c r="AL89" s="2"/>
      <c r="AM89" s="2"/>
      <c r="AN89" s="2"/>
      <c r="AO89" s="2">
        <v>2.79</v>
      </c>
      <c r="AP89" s="2">
        <v>0</v>
      </c>
      <c r="AQ89" s="5" t="s">
        <v>394</v>
      </c>
      <c r="AR89" s="23" t="s">
        <v>327</v>
      </c>
      <c r="AS89" s="2">
        <v>23</v>
      </c>
      <c r="AT89" s="2">
        <v>85</v>
      </c>
      <c r="AU89" s="3"/>
      <c r="AV89" s="3"/>
      <c r="AW89" s="2"/>
      <c r="AX89" s="2"/>
      <c r="AY89" s="2"/>
      <c r="AZ89" s="2"/>
      <c r="BA89" s="3"/>
      <c r="BB89" s="3"/>
      <c r="BC89" s="2"/>
      <c r="BD89" s="2"/>
      <c r="BE89" s="3"/>
      <c r="BF89" s="19"/>
      <c r="BG89" s="6" t="s">
        <v>218</v>
      </c>
      <c r="BH89" s="2"/>
      <c r="BI89" s="2"/>
      <c r="BJ89" s="2"/>
      <c r="BK89" s="2"/>
      <c r="BL89" s="2"/>
      <c r="BM89" s="2"/>
      <c r="BN89" s="3">
        <v>0.36</v>
      </c>
      <c r="BO89" s="5" t="s">
        <v>396</v>
      </c>
      <c r="BP89" s="5">
        <v>1.37</v>
      </c>
      <c r="BQ89" s="5" t="s">
        <v>397</v>
      </c>
      <c r="BR89" s="3"/>
      <c r="BS89" s="2"/>
      <c r="BT89" s="2"/>
      <c r="BU89" s="2"/>
      <c r="BV89" s="2" t="s">
        <v>96</v>
      </c>
      <c r="BW89" s="2" t="s">
        <v>398</v>
      </c>
      <c r="BX89" s="2" t="s">
        <v>98</v>
      </c>
      <c r="BY89" s="2" t="s">
        <v>99</v>
      </c>
      <c r="BZ89" s="2" t="s">
        <v>100</v>
      </c>
      <c r="CA89" s="5" t="s">
        <v>399</v>
      </c>
      <c r="CB89" s="2"/>
    </row>
    <row r="90" spans="1:80" ht="409.6" hidden="1">
      <c r="A90" s="2">
        <v>53</v>
      </c>
      <c r="B90" s="2" t="s">
        <v>390</v>
      </c>
      <c r="C90" s="2" t="s">
        <v>391</v>
      </c>
      <c r="D90" s="6">
        <v>2024</v>
      </c>
      <c r="E90" s="2" t="s">
        <v>163</v>
      </c>
      <c r="F90" s="2" t="s">
        <v>392</v>
      </c>
      <c r="G90" s="2" t="s">
        <v>84</v>
      </c>
      <c r="H90" s="2" t="s">
        <v>85</v>
      </c>
      <c r="I90" s="2" t="s">
        <v>84</v>
      </c>
      <c r="J90" s="3">
        <v>0.79</v>
      </c>
      <c r="K90" s="2"/>
      <c r="L90" s="2" t="s">
        <v>393</v>
      </c>
      <c r="M90" s="2" t="s">
        <v>334</v>
      </c>
      <c r="N90" s="2" t="s">
        <v>129</v>
      </c>
      <c r="O90" s="2" t="s">
        <v>84</v>
      </c>
      <c r="P90" s="2" t="s">
        <v>84</v>
      </c>
      <c r="Q90" s="5" t="s">
        <v>100</v>
      </c>
      <c r="R90" s="21">
        <v>0</v>
      </c>
      <c r="S90" s="2" t="s">
        <v>217</v>
      </c>
      <c r="T90" s="3">
        <v>253</v>
      </c>
      <c r="U90" s="3">
        <v>36</v>
      </c>
      <c r="V90" s="3" t="s">
        <v>218</v>
      </c>
      <c r="W90" s="3"/>
      <c r="X90" s="3"/>
      <c r="Y90" s="2"/>
      <c r="Z90" s="2"/>
      <c r="AA90" s="2"/>
      <c r="AB90" s="2"/>
      <c r="AC90" s="3">
        <v>1.91</v>
      </c>
      <c r="AD90" s="3">
        <v>0.12</v>
      </c>
      <c r="AE90" s="5" t="s">
        <v>394</v>
      </c>
      <c r="AF90" s="2" t="s">
        <v>327</v>
      </c>
      <c r="AG90" s="2">
        <v>38</v>
      </c>
      <c r="AH90" s="2">
        <v>0</v>
      </c>
      <c r="AI90" s="3"/>
      <c r="AJ90" s="3"/>
      <c r="AK90" s="2"/>
      <c r="AL90" s="2"/>
      <c r="AM90" s="2"/>
      <c r="AN90" s="2"/>
      <c r="AO90" s="2">
        <v>10.02</v>
      </c>
      <c r="AP90" s="2">
        <v>0.26</v>
      </c>
      <c r="AQ90" s="5" t="s">
        <v>394</v>
      </c>
      <c r="AR90" s="23" t="s">
        <v>327</v>
      </c>
      <c r="AS90" s="2">
        <v>38</v>
      </c>
      <c r="AT90" s="2">
        <v>0</v>
      </c>
      <c r="AU90" s="3"/>
      <c r="AV90" s="3"/>
      <c r="AW90" s="2"/>
      <c r="AX90" s="2"/>
      <c r="AY90" s="2"/>
      <c r="AZ90" s="2"/>
      <c r="BA90" s="3"/>
      <c r="BB90" s="3"/>
      <c r="BC90" s="2"/>
      <c r="BD90" s="2"/>
      <c r="BE90" s="3"/>
      <c r="BF90" s="19"/>
      <c r="BG90" s="6" t="s">
        <v>218</v>
      </c>
      <c r="BH90" s="2"/>
      <c r="BI90" s="2"/>
      <c r="BJ90" s="2"/>
      <c r="BK90" s="2"/>
      <c r="BL90" s="2"/>
      <c r="BM90" s="2"/>
      <c r="BN90" s="3">
        <v>0.36</v>
      </c>
      <c r="BO90" s="5" t="s">
        <v>396</v>
      </c>
      <c r="BP90" s="5">
        <v>1.37</v>
      </c>
      <c r="BQ90" s="5" t="s">
        <v>397</v>
      </c>
      <c r="BR90" s="3"/>
      <c r="BS90" s="2"/>
      <c r="BT90" s="2"/>
      <c r="BU90" s="2"/>
      <c r="BV90" s="2" t="s">
        <v>96</v>
      </c>
      <c r="BW90" s="2" t="s">
        <v>398</v>
      </c>
      <c r="BX90" s="2" t="s">
        <v>98</v>
      </c>
      <c r="BY90" s="2" t="s">
        <v>99</v>
      </c>
      <c r="BZ90" s="2" t="s">
        <v>100</v>
      </c>
      <c r="CA90" s="5" t="s">
        <v>399</v>
      </c>
      <c r="CB90" s="2"/>
    </row>
    <row r="91" spans="1:80" ht="409.6" hidden="1">
      <c r="A91" s="2">
        <v>53</v>
      </c>
      <c r="B91" s="2" t="s">
        <v>390</v>
      </c>
      <c r="C91" s="2" t="s">
        <v>391</v>
      </c>
      <c r="D91" s="6">
        <v>2024</v>
      </c>
      <c r="E91" s="2" t="s">
        <v>163</v>
      </c>
      <c r="F91" s="2" t="s">
        <v>392</v>
      </c>
      <c r="G91" s="2" t="s">
        <v>84</v>
      </c>
      <c r="H91" s="2" t="s">
        <v>85</v>
      </c>
      <c r="I91" s="2" t="s">
        <v>84</v>
      </c>
      <c r="J91" s="3">
        <v>0.79</v>
      </c>
      <c r="K91" s="2"/>
      <c r="L91" s="2" t="s">
        <v>393</v>
      </c>
      <c r="M91" s="2" t="s">
        <v>334</v>
      </c>
      <c r="N91" s="2" t="s">
        <v>129</v>
      </c>
      <c r="O91" s="2" t="s">
        <v>84</v>
      </c>
      <c r="P91" s="2" t="s">
        <v>84</v>
      </c>
      <c r="Q91" s="5" t="s">
        <v>100</v>
      </c>
      <c r="R91" s="21">
        <v>0</v>
      </c>
      <c r="S91" s="2" t="s">
        <v>217</v>
      </c>
      <c r="T91" s="3">
        <v>253</v>
      </c>
      <c r="U91" s="3">
        <v>36</v>
      </c>
      <c r="V91" s="3" t="s">
        <v>218</v>
      </c>
      <c r="W91" s="3"/>
      <c r="X91" s="3"/>
      <c r="Y91" s="2"/>
      <c r="Z91" s="2"/>
      <c r="AA91" s="2"/>
      <c r="AB91" s="2"/>
      <c r="AC91" s="3">
        <v>3.48</v>
      </c>
      <c r="AD91" s="3">
        <v>7.0000000000000007E-2</v>
      </c>
      <c r="AE91" s="5" t="s">
        <v>394</v>
      </c>
      <c r="AF91" s="2" t="s">
        <v>327</v>
      </c>
      <c r="AG91" s="2">
        <v>38</v>
      </c>
      <c r="AH91" s="2">
        <v>90</v>
      </c>
      <c r="AI91" s="3"/>
      <c r="AJ91" s="3"/>
      <c r="AK91" s="2"/>
      <c r="AL91" s="2"/>
      <c r="AM91" s="2"/>
      <c r="AN91" s="2"/>
      <c r="AO91" s="2">
        <v>2.27</v>
      </c>
      <c r="AP91" s="2">
        <v>0.01</v>
      </c>
      <c r="AQ91" s="5" t="s">
        <v>394</v>
      </c>
      <c r="AR91" s="23" t="s">
        <v>327</v>
      </c>
      <c r="AS91" s="2">
        <v>38</v>
      </c>
      <c r="AT91" s="2">
        <v>90</v>
      </c>
      <c r="AU91" s="3"/>
      <c r="AV91" s="3"/>
      <c r="AW91" s="2"/>
      <c r="AX91" s="2"/>
      <c r="AY91" s="2"/>
      <c r="AZ91" s="2"/>
      <c r="BA91" s="3"/>
      <c r="BB91" s="3"/>
      <c r="BC91" s="2"/>
      <c r="BD91" s="2"/>
      <c r="BE91" s="3"/>
      <c r="BF91" s="19"/>
      <c r="BG91" s="6" t="s">
        <v>218</v>
      </c>
      <c r="BH91" s="2"/>
      <c r="BI91" s="2"/>
      <c r="BJ91" s="2"/>
      <c r="BK91" s="2"/>
      <c r="BL91" s="2"/>
      <c r="BM91" s="2"/>
      <c r="BN91" s="3">
        <v>0.36</v>
      </c>
      <c r="BO91" s="5" t="s">
        <v>396</v>
      </c>
      <c r="BP91" s="5">
        <v>1.37</v>
      </c>
      <c r="BQ91" s="5" t="s">
        <v>397</v>
      </c>
      <c r="BR91" s="3"/>
      <c r="BS91" s="2"/>
      <c r="BT91" s="2"/>
      <c r="BU91" s="2"/>
      <c r="BV91" s="2" t="s">
        <v>96</v>
      </c>
      <c r="BW91" s="2" t="s">
        <v>398</v>
      </c>
      <c r="BX91" s="2" t="s">
        <v>98</v>
      </c>
      <c r="BY91" s="2" t="s">
        <v>99</v>
      </c>
      <c r="BZ91" s="2" t="s">
        <v>100</v>
      </c>
      <c r="CA91" s="5" t="s">
        <v>399</v>
      </c>
      <c r="CB91" s="2"/>
    </row>
    <row r="92" spans="1:80" ht="409.6" hidden="1">
      <c r="A92" s="2">
        <v>53</v>
      </c>
      <c r="B92" s="2" t="s">
        <v>390</v>
      </c>
      <c r="C92" s="2" t="s">
        <v>391</v>
      </c>
      <c r="D92" s="6">
        <v>2024</v>
      </c>
      <c r="E92" s="2" t="s">
        <v>163</v>
      </c>
      <c r="F92" s="2" t="s">
        <v>392</v>
      </c>
      <c r="G92" s="2" t="s">
        <v>84</v>
      </c>
      <c r="H92" s="2" t="s">
        <v>85</v>
      </c>
      <c r="I92" s="2" t="s">
        <v>84</v>
      </c>
      <c r="J92" s="3">
        <v>0.79</v>
      </c>
      <c r="K92" s="2"/>
      <c r="L92" s="5" t="s">
        <v>400</v>
      </c>
      <c r="M92" s="5" t="s">
        <v>334</v>
      </c>
      <c r="N92" s="2" t="s">
        <v>129</v>
      </c>
      <c r="O92" s="2" t="s">
        <v>84</v>
      </c>
      <c r="P92" s="2" t="s">
        <v>84</v>
      </c>
      <c r="Q92" s="5" t="s">
        <v>100</v>
      </c>
      <c r="R92" s="21">
        <v>0</v>
      </c>
      <c r="S92" s="2" t="s">
        <v>217</v>
      </c>
      <c r="T92" s="3">
        <v>284</v>
      </c>
      <c r="U92" s="3">
        <v>5</v>
      </c>
      <c r="V92" s="3" t="s">
        <v>218</v>
      </c>
      <c r="W92" s="3"/>
      <c r="X92" s="3"/>
      <c r="Y92" s="2"/>
      <c r="Z92" s="2"/>
      <c r="AA92" s="2"/>
      <c r="AB92" s="2"/>
      <c r="AC92" s="3">
        <v>1.36</v>
      </c>
      <c r="AD92" s="3">
        <v>0.02</v>
      </c>
      <c r="AE92" s="5" t="s">
        <v>394</v>
      </c>
      <c r="AF92" s="2" t="s">
        <v>327</v>
      </c>
      <c r="AG92" s="2">
        <v>23</v>
      </c>
      <c r="AH92" s="2">
        <v>0</v>
      </c>
      <c r="AI92" s="3"/>
      <c r="AJ92" s="3"/>
      <c r="AK92" s="2"/>
      <c r="AL92" s="2"/>
      <c r="AM92" s="2"/>
      <c r="AN92" s="2"/>
      <c r="AO92" s="2">
        <v>3.14</v>
      </c>
      <c r="AP92" s="2">
        <v>0</v>
      </c>
      <c r="AQ92" s="5" t="s">
        <v>394</v>
      </c>
      <c r="AR92" s="23" t="s">
        <v>327</v>
      </c>
      <c r="AS92" s="2">
        <v>23</v>
      </c>
      <c r="AT92" s="2">
        <v>0</v>
      </c>
      <c r="AU92" s="3"/>
      <c r="AV92" s="3"/>
      <c r="AW92" s="2"/>
      <c r="AX92" s="2"/>
      <c r="AY92" s="2"/>
      <c r="AZ92" s="2"/>
      <c r="BA92" s="3"/>
      <c r="BB92" s="3"/>
      <c r="BC92" s="2"/>
      <c r="BD92" s="2"/>
      <c r="BE92" s="3"/>
      <c r="BF92" s="19"/>
      <c r="BG92" s="6" t="s">
        <v>218</v>
      </c>
      <c r="BH92" s="2"/>
      <c r="BI92" s="2"/>
      <c r="BJ92" s="2"/>
      <c r="BK92" s="2"/>
      <c r="BL92" s="2"/>
      <c r="BM92" s="2"/>
      <c r="BN92" s="3">
        <v>0.36</v>
      </c>
      <c r="BO92" s="5" t="s">
        <v>396</v>
      </c>
      <c r="BP92" s="5">
        <v>1.37</v>
      </c>
      <c r="BQ92" s="5" t="s">
        <v>397</v>
      </c>
      <c r="BR92" s="3"/>
      <c r="BS92" s="2"/>
      <c r="BT92" s="2"/>
      <c r="BU92" s="2"/>
      <c r="BV92" s="2" t="s">
        <v>96</v>
      </c>
      <c r="BW92" s="2" t="s">
        <v>398</v>
      </c>
      <c r="BX92" s="2" t="s">
        <v>98</v>
      </c>
      <c r="BY92" s="2" t="s">
        <v>99</v>
      </c>
      <c r="BZ92" s="2" t="s">
        <v>100</v>
      </c>
      <c r="CA92" s="5" t="s">
        <v>399</v>
      </c>
      <c r="CB92" s="2"/>
    </row>
    <row r="93" spans="1:80" ht="409.6" hidden="1">
      <c r="A93" s="2">
        <v>53</v>
      </c>
      <c r="B93" s="2" t="s">
        <v>390</v>
      </c>
      <c r="C93" s="2" t="s">
        <v>391</v>
      </c>
      <c r="D93" s="6">
        <v>2024</v>
      </c>
      <c r="E93" s="2" t="s">
        <v>163</v>
      </c>
      <c r="F93" s="2" t="s">
        <v>392</v>
      </c>
      <c r="G93" s="2" t="s">
        <v>84</v>
      </c>
      <c r="H93" s="2" t="s">
        <v>85</v>
      </c>
      <c r="I93" s="2" t="s">
        <v>84</v>
      </c>
      <c r="J93" s="3">
        <v>0.79</v>
      </c>
      <c r="K93" s="2"/>
      <c r="L93" s="5" t="s">
        <v>400</v>
      </c>
      <c r="M93" s="5" t="s">
        <v>334</v>
      </c>
      <c r="N93" s="2" t="s">
        <v>129</v>
      </c>
      <c r="O93" s="2" t="s">
        <v>84</v>
      </c>
      <c r="P93" s="2" t="s">
        <v>84</v>
      </c>
      <c r="Q93" s="5" t="s">
        <v>100</v>
      </c>
      <c r="R93" s="21">
        <v>0</v>
      </c>
      <c r="S93" s="2" t="s">
        <v>217</v>
      </c>
      <c r="T93" s="3">
        <v>284</v>
      </c>
      <c r="U93" s="3">
        <v>5</v>
      </c>
      <c r="V93" s="3" t="s">
        <v>218</v>
      </c>
      <c r="W93" s="3"/>
      <c r="X93" s="3"/>
      <c r="Y93" s="2"/>
      <c r="Z93" s="2"/>
      <c r="AA93" s="2"/>
      <c r="AB93" s="2"/>
      <c r="AC93" s="3">
        <v>1</v>
      </c>
      <c r="AD93" s="3">
        <v>0.01</v>
      </c>
      <c r="AE93" s="5" t="s">
        <v>394</v>
      </c>
      <c r="AF93" s="2" t="s">
        <v>327</v>
      </c>
      <c r="AG93" s="2">
        <v>23</v>
      </c>
      <c r="AH93" s="2">
        <v>85</v>
      </c>
      <c r="AI93" s="3"/>
      <c r="AJ93" s="3"/>
      <c r="AK93" s="2"/>
      <c r="AL93" s="2"/>
      <c r="AM93" s="2"/>
      <c r="AN93" s="2"/>
      <c r="AO93" s="2">
        <v>0.85</v>
      </c>
      <c r="AP93" s="2">
        <v>0.01</v>
      </c>
      <c r="AQ93" s="5" t="s">
        <v>394</v>
      </c>
      <c r="AR93" s="23" t="s">
        <v>327</v>
      </c>
      <c r="AS93" s="2">
        <v>23</v>
      </c>
      <c r="AT93" s="2">
        <v>85</v>
      </c>
      <c r="AU93" s="3"/>
      <c r="AV93" s="3"/>
      <c r="AW93" s="2"/>
      <c r="AX93" s="2"/>
      <c r="AY93" s="2"/>
      <c r="AZ93" s="2"/>
      <c r="BA93" s="3"/>
      <c r="BB93" s="3"/>
      <c r="BC93" s="2"/>
      <c r="BD93" s="2"/>
      <c r="BE93" s="3"/>
      <c r="BF93" s="19"/>
      <c r="BG93" s="6" t="s">
        <v>218</v>
      </c>
      <c r="BH93" s="2"/>
      <c r="BI93" s="2"/>
      <c r="BJ93" s="2"/>
      <c r="BK93" s="2"/>
      <c r="BL93" s="2"/>
      <c r="BM93" s="2"/>
      <c r="BN93" s="3">
        <v>0.36</v>
      </c>
      <c r="BO93" s="5" t="s">
        <v>396</v>
      </c>
      <c r="BP93" s="5">
        <v>1.37</v>
      </c>
      <c r="BQ93" s="5" t="s">
        <v>397</v>
      </c>
      <c r="BR93" s="3"/>
      <c r="BS93" s="2"/>
      <c r="BT93" s="2"/>
      <c r="BU93" s="2"/>
      <c r="BV93" s="2" t="s">
        <v>96</v>
      </c>
      <c r="BW93" s="2" t="s">
        <v>398</v>
      </c>
      <c r="BX93" s="2" t="s">
        <v>98</v>
      </c>
      <c r="BY93" s="2" t="s">
        <v>99</v>
      </c>
      <c r="BZ93" s="2" t="s">
        <v>100</v>
      </c>
      <c r="CA93" s="5" t="s">
        <v>399</v>
      </c>
      <c r="CB93" s="2"/>
    </row>
    <row r="94" spans="1:80" ht="409.6" hidden="1">
      <c r="A94" s="2">
        <v>53</v>
      </c>
      <c r="B94" s="2" t="s">
        <v>390</v>
      </c>
      <c r="C94" s="2" t="s">
        <v>391</v>
      </c>
      <c r="D94" s="6">
        <v>2024</v>
      </c>
      <c r="E94" s="2" t="s">
        <v>163</v>
      </c>
      <c r="F94" s="2" t="s">
        <v>392</v>
      </c>
      <c r="G94" s="2" t="s">
        <v>84</v>
      </c>
      <c r="H94" s="2" t="s">
        <v>85</v>
      </c>
      <c r="I94" s="2" t="s">
        <v>84</v>
      </c>
      <c r="J94" s="3">
        <v>0.79</v>
      </c>
      <c r="K94" s="2"/>
      <c r="L94" s="5" t="s">
        <v>400</v>
      </c>
      <c r="M94" s="5" t="s">
        <v>334</v>
      </c>
      <c r="N94" s="2" t="s">
        <v>129</v>
      </c>
      <c r="O94" s="2" t="s">
        <v>84</v>
      </c>
      <c r="P94" s="2" t="s">
        <v>84</v>
      </c>
      <c r="Q94" s="5" t="s">
        <v>100</v>
      </c>
      <c r="R94" s="21">
        <v>0</v>
      </c>
      <c r="S94" s="2" t="s">
        <v>217</v>
      </c>
      <c r="T94" s="3">
        <v>284</v>
      </c>
      <c r="U94" s="3">
        <v>5</v>
      </c>
      <c r="V94" s="3" t="s">
        <v>218</v>
      </c>
      <c r="W94" s="3"/>
      <c r="X94" s="3"/>
      <c r="Y94" s="2"/>
      <c r="Z94" s="2"/>
      <c r="AA94" s="2"/>
      <c r="AB94" s="2"/>
      <c r="AC94" s="3">
        <v>2.2000000000000002</v>
      </c>
      <c r="AD94" s="3">
        <v>0.16</v>
      </c>
      <c r="AE94" s="5" t="s">
        <v>394</v>
      </c>
      <c r="AF94" s="2" t="s">
        <v>327</v>
      </c>
      <c r="AG94" s="2">
        <v>38</v>
      </c>
      <c r="AH94" s="2">
        <v>0</v>
      </c>
      <c r="AI94" s="3"/>
      <c r="AJ94" s="3"/>
      <c r="AK94" s="2"/>
      <c r="AL94" s="2"/>
      <c r="AM94" s="2"/>
      <c r="AN94" s="2"/>
      <c r="AO94" s="2">
        <v>13.28</v>
      </c>
      <c r="AP94" s="2">
        <v>0.85</v>
      </c>
      <c r="AQ94" s="5" t="s">
        <v>394</v>
      </c>
      <c r="AR94" s="23" t="s">
        <v>327</v>
      </c>
      <c r="AS94" s="2">
        <v>38</v>
      </c>
      <c r="AT94" s="2">
        <v>0</v>
      </c>
      <c r="AU94" s="3"/>
      <c r="AV94" s="3"/>
      <c r="AW94" s="2"/>
      <c r="AX94" s="2"/>
      <c r="AY94" s="2"/>
      <c r="AZ94" s="2"/>
      <c r="BA94" s="3"/>
      <c r="BB94" s="3"/>
      <c r="BC94" s="2"/>
      <c r="BD94" s="2"/>
      <c r="BE94" s="3"/>
      <c r="BF94" s="19"/>
      <c r="BG94" s="6" t="s">
        <v>218</v>
      </c>
      <c r="BH94" s="2"/>
      <c r="BI94" s="2"/>
      <c r="BJ94" s="2"/>
      <c r="BK94" s="2"/>
      <c r="BL94" s="2"/>
      <c r="BM94" s="2"/>
      <c r="BN94" s="3">
        <v>0.36</v>
      </c>
      <c r="BO94" s="5" t="s">
        <v>396</v>
      </c>
      <c r="BP94" s="5">
        <v>1.37</v>
      </c>
      <c r="BQ94" s="5" t="s">
        <v>397</v>
      </c>
      <c r="BR94" s="3"/>
      <c r="BS94" s="2"/>
      <c r="BT94" s="2"/>
      <c r="BU94" s="2"/>
      <c r="BV94" s="2" t="s">
        <v>96</v>
      </c>
      <c r="BW94" s="2" t="s">
        <v>398</v>
      </c>
      <c r="BX94" s="2" t="s">
        <v>98</v>
      </c>
      <c r="BY94" s="2" t="s">
        <v>99</v>
      </c>
      <c r="BZ94" s="2" t="s">
        <v>100</v>
      </c>
      <c r="CA94" s="5" t="s">
        <v>399</v>
      </c>
      <c r="CB94" s="2"/>
    </row>
    <row r="95" spans="1:80" ht="409.6" hidden="1">
      <c r="A95" s="2">
        <v>53</v>
      </c>
      <c r="B95" s="2" t="s">
        <v>390</v>
      </c>
      <c r="C95" s="2" t="s">
        <v>391</v>
      </c>
      <c r="D95" s="6">
        <v>2024</v>
      </c>
      <c r="E95" s="2" t="s">
        <v>163</v>
      </c>
      <c r="F95" s="2" t="s">
        <v>392</v>
      </c>
      <c r="G95" s="2" t="s">
        <v>84</v>
      </c>
      <c r="H95" s="2" t="s">
        <v>85</v>
      </c>
      <c r="I95" s="2" t="s">
        <v>84</v>
      </c>
      <c r="J95" s="3">
        <v>0.79</v>
      </c>
      <c r="K95" s="2"/>
      <c r="L95" s="5" t="s">
        <v>400</v>
      </c>
      <c r="M95" s="5" t="s">
        <v>334</v>
      </c>
      <c r="N95" s="2" t="s">
        <v>129</v>
      </c>
      <c r="O95" s="2" t="s">
        <v>84</v>
      </c>
      <c r="P95" s="2" t="s">
        <v>84</v>
      </c>
      <c r="Q95" s="5" t="s">
        <v>100</v>
      </c>
      <c r="R95" s="21">
        <v>0</v>
      </c>
      <c r="S95" s="2" t="s">
        <v>217</v>
      </c>
      <c r="T95" s="3">
        <v>284</v>
      </c>
      <c r="U95" s="3">
        <v>5</v>
      </c>
      <c r="V95" s="3" t="s">
        <v>218</v>
      </c>
      <c r="W95" s="3"/>
      <c r="X95" s="3"/>
      <c r="Y95" s="2"/>
      <c r="Z95" s="2"/>
      <c r="AA95" s="2"/>
      <c r="AB95" s="2"/>
      <c r="AC95" s="3">
        <v>2</v>
      </c>
      <c r="AD95" s="3">
        <v>0.09</v>
      </c>
      <c r="AE95" s="5" t="s">
        <v>394</v>
      </c>
      <c r="AF95" s="2" t="s">
        <v>327</v>
      </c>
      <c r="AG95" s="2">
        <v>38</v>
      </c>
      <c r="AH95" s="2">
        <v>90</v>
      </c>
      <c r="AI95" s="3"/>
      <c r="AJ95" s="3"/>
      <c r="AK95" s="2"/>
      <c r="AL95" s="2"/>
      <c r="AM95" s="2"/>
      <c r="AN95" s="2"/>
      <c r="AO95" s="2">
        <v>10.84</v>
      </c>
      <c r="AP95" s="2">
        <v>0.3</v>
      </c>
      <c r="AQ95" s="5" t="s">
        <v>394</v>
      </c>
      <c r="AR95" s="23" t="s">
        <v>327</v>
      </c>
      <c r="AS95" s="2">
        <v>38</v>
      </c>
      <c r="AT95" s="2">
        <v>90</v>
      </c>
      <c r="AU95" s="3"/>
      <c r="AV95" s="3"/>
      <c r="AW95" s="2"/>
      <c r="AX95" s="2"/>
      <c r="AY95" s="2"/>
      <c r="AZ95" s="2"/>
      <c r="BA95" s="3"/>
      <c r="BB95" s="3"/>
      <c r="BC95" s="2"/>
      <c r="BD95" s="2"/>
      <c r="BE95" s="3"/>
      <c r="BF95" s="19"/>
      <c r="BG95" s="6" t="s">
        <v>218</v>
      </c>
      <c r="BH95" s="2"/>
      <c r="BI95" s="2"/>
      <c r="BJ95" s="2"/>
      <c r="BK95" s="2"/>
      <c r="BL95" s="2"/>
      <c r="BM95" s="2"/>
      <c r="BN95" s="3">
        <v>0.36</v>
      </c>
      <c r="BO95" s="5" t="s">
        <v>396</v>
      </c>
      <c r="BP95" s="5">
        <v>1.37</v>
      </c>
      <c r="BQ95" s="5" t="s">
        <v>397</v>
      </c>
      <c r="BR95" s="3"/>
      <c r="BS95" s="2"/>
      <c r="BT95" s="2"/>
      <c r="BU95" s="2"/>
      <c r="BV95" s="2" t="s">
        <v>96</v>
      </c>
      <c r="BW95" s="2" t="s">
        <v>398</v>
      </c>
      <c r="BX95" s="2" t="s">
        <v>98</v>
      </c>
      <c r="BY95" s="2" t="s">
        <v>99</v>
      </c>
      <c r="BZ95" s="2" t="s">
        <v>100</v>
      </c>
      <c r="CA95" s="5" t="s">
        <v>399</v>
      </c>
      <c r="CB95" s="2"/>
    </row>
    <row r="96" spans="1:80" ht="409.6" hidden="1">
      <c r="A96" s="2">
        <v>53</v>
      </c>
      <c r="B96" s="2" t="s">
        <v>390</v>
      </c>
      <c r="C96" s="2" t="s">
        <v>391</v>
      </c>
      <c r="D96" s="6">
        <v>2024</v>
      </c>
      <c r="E96" s="2" t="s">
        <v>163</v>
      </c>
      <c r="F96" s="2" t="s">
        <v>392</v>
      </c>
      <c r="G96" s="2" t="s">
        <v>84</v>
      </c>
      <c r="H96" s="2" t="s">
        <v>85</v>
      </c>
      <c r="I96" s="2" t="s">
        <v>84</v>
      </c>
      <c r="J96" s="3">
        <v>0.79</v>
      </c>
      <c r="K96" s="2"/>
      <c r="L96" s="5" t="s">
        <v>401</v>
      </c>
      <c r="M96" s="5" t="s">
        <v>334</v>
      </c>
      <c r="N96" s="2" t="s">
        <v>129</v>
      </c>
      <c r="O96" s="2" t="s">
        <v>84</v>
      </c>
      <c r="P96" s="2" t="s">
        <v>84</v>
      </c>
      <c r="Q96" s="5" t="s">
        <v>100</v>
      </c>
      <c r="R96" s="21">
        <v>0</v>
      </c>
      <c r="S96" s="2" t="s">
        <v>217</v>
      </c>
      <c r="T96" s="3">
        <v>196</v>
      </c>
      <c r="U96" s="3">
        <v>35</v>
      </c>
      <c r="V96" s="3" t="s">
        <v>218</v>
      </c>
      <c r="W96" s="3"/>
      <c r="X96" s="3"/>
      <c r="Y96" s="2"/>
      <c r="Z96" s="2"/>
      <c r="AA96" s="2"/>
      <c r="AB96" s="2"/>
      <c r="AC96" s="3">
        <v>1.02</v>
      </c>
      <c r="AD96" s="3">
        <v>0.01</v>
      </c>
      <c r="AE96" s="5" t="s">
        <v>394</v>
      </c>
      <c r="AF96" s="2" t="s">
        <v>327</v>
      </c>
      <c r="AG96" s="2">
        <v>23</v>
      </c>
      <c r="AH96" s="2">
        <v>85</v>
      </c>
      <c r="AI96" s="3"/>
      <c r="AJ96" s="3"/>
      <c r="AK96" s="2"/>
      <c r="AL96" s="2"/>
      <c r="AM96" s="2"/>
      <c r="AN96" s="2"/>
      <c r="AO96" s="2">
        <v>3.4</v>
      </c>
      <c r="AP96" s="2">
        <v>0.03</v>
      </c>
      <c r="AQ96" s="5" t="s">
        <v>394</v>
      </c>
      <c r="AR96" s="23" t="s">
        <v>327</v>
      </c>
      <c r="AS96" s="2">
        <v>23</v>
      </c>
      <c r="AT96" s="2">
        <v>0</v>
      </c>
      <c r="AU96" s="3"/>
      <c r="AV96" s="3"/>
      <c r="AW96" s="2"/>
      <c r="AX96" s="2"/>
      <c r="AY96" s="2"/>
      <c r="AZ96" s="2"/>
      <c r="BA96" s="3"/>
      <c r="BB96" s="3"/>
      <c r="BC96" s="2"/>
      <c r="BD96" s="2"/>
      <c r="BE96" s="3"/>
      <c r="BF96" s="19"/>
      <c r="BG96" s="6" t="s">
        <v>218</v>
      </c>
      <c r="BH96" s="2"/>
      <c r="BI96" s="2"/>
      <c r="BJ96" s="2"/>
      <c r="BK96" s="2"/>
      <c r="BL96" s="2"/>
      <c r="BM96" s="2"/>
      <c r="BN96" s="3">
        <v>0.36</v>
      </c>
      <c r="BO96" s="5" t="s">
        <v>396</v>
      </c>
      <c r="BP96" s="5">
        <v>1.37</v>
      </c>
      <c r="BQ96" s="5" t="s">
        <v>397</v>
      </c>
      <c r="BR96" s="3"/>
      <c r="BS96" s="2"/>
      <c r="BT96" s="2"/>
      <c r="BU96" s="2"/>
      <c r="BV96" s="2" t="s">
        <v>96</v>
      </c>
      <c r="BW96" s="2" t="s">
        <v>398</v>
      </c>
      <c r="BX96" s="2" t="s">
        <v>98</v>
      </c>
      <c r="BY96" s="2" t="s">
        <v>99</v>
      </c>
      <c r="BZ96" s="2" t="s">
        <v>100</v>
      </c>
      <c r="CA96" s="5" t="s">
        <v>399</v>
      </c>
      <c r="CB96" s="2"/>
    </row>
    <row r="97" spans="1:80" ht="409.6" hidden="1">
      <c r="A97" s="2">
        <v>53</v>
      </c>
      <c r="B97" s="2" t="s">
        <v>390</v>
      </c>
      <c r="C97" s="2" t="s">
        <v>391</v>
      </c>
      <c r="D97" s="6">
        <v>2024</v>
      </c>
      <c r="E97" s="2" t="s">
        <v>163</v>
      </c>
      <c r="F97" s="2" t="s">
        <v>392</v>
      </c>
      <c r="G97" s="2" t="s">
        <v>84</v>
      </c>
      <c r="H97" s="2" t="s">
        <v>85</v>
      </c>
      <c r="I97" s="2" t="s">
        <v>84</v>
      </c>
      <c r="J97" s="3">
        <v>0.79</v>
      </c>
      <c r="K97" s="2"/>
      <c r="L97" s="5" t="s">
        <v>401</v>
      </c>
      <c r="M97" s="5" t="s">
        <v>334</v>
      </c>
      <c r="N97" s="2" t="s">
        <v>129</v>
      </c>
      <c r="O97" s="2" t="s">
        <v>84</v>
      </c>
      <c r="P97" s="2" t="s">
        <v>84</v>
      </c>
      <c r="Q97" s="5" t="s">
        <v>100</v>
      </c>
      <c r="R97" s="21">
        <v>0</v>
      </c>
      <c r="S97" s="2" t="s">
        <v>217</v>
      </c>
      <c r="T97" s="3">
        <v>196</v>
      </c>
      <c r="U97" s="3">
        <v>35</v>
      </c>
      <c r="V97" s="3" t="s">
        <v>218</v>
      </c>
      <c r="W97" s="3"/>
      <c r="X97" s="3"/>
      <c r="Y97" s="2"/>
      <c r="Z97" s="2"/>
      <c r="AA97" s="2"/>
      <c r="AB97" s="2"/>
      <c r="AC97" s="3">
        <v>0.91</v>
      </c>
      <c r="AD97" s="3">
        <v>0</v>
      </c>
      <c r="AE97" s="5" t="s">
        <v>394</v>
      </c>
      <c r="AF97" s="2" t="s">
        <v>327</v>
      </c>
      <c r="AG97" s="2">
        <v>23</v>
      </c>
      <c r="AH97" s="2">
        <v>85</v>
      </c>
      <c r="AI97" s="3"/>
      <c r="AJ97" s="3"/>
      <c r="AK97" s="2"/>
      <c r="AL97" s="2"/>
      <c r="AM97" s="2"/>
      <c r="AN97" s="2"/>
      <c r="AO97" s="2">
        <v>3.61</v>
      </c>
      <c r="AP97" s="2">
        <v>0.06</v>
      </c>
      <c r="AQ97" s="5" t="s">
        <v>394</v>
      </c>
      <c r="AR97" s="23" t="s">
        <v>327</v>
      </c>
      <c r="AS97" s="2">
        <v>23</v>
      </c>
      <c r="AT97" s="2">
        <v>85</v>
      </c>
      <c r="AU97" s="3"/>
      <c r="AV97" s="3"/>
      <c r="AW97" s="2"/>
      <c r="AX97" s="2"/>
      <c r="AY97" s="2"/>
      <c r="AZ97" s="2"/>
      <c r="BA97" s="3"/>
      <c r="BB97" s="3"/>
      <c r="BC97" s="2"/>
      <c r="BD97" s="2"/>
      <c r="BE97" s="3"/>
      <c r="BF97" s="19"/>
      <c r="BG97" s="6" t="s">
        <v>218</v>
      </c>
      <c r="BH97" s="2"/>
      <c r="BI97" s="2"/>
      <c r="BJ97" s="2"/>
      <c r="BK97" s="2"/>
      <c r="BL97" s="2"/>
      <c r="BM97" s="2"/>
      <c r="BN97" s="3">
        <v>0.36</v>
      </c>
      <c r="BO97" s="5" t="s">
        <v>396</v>
      </c>
      <c r="BP97" s="5">
        <v>1.37</v>
      </c>
      <c r="BQ97" s="5" t="s">
        <v>397</v>
      </c>
      <c r="BR97" s="3"/>
      <c r="BS97" s="2"/>
      <c r="BT97" s="2"/>
      <c r="BU97" s="2"/>
      <c r="BV97" s="2" t="s">
        <v>96</v>
      </c>
      <c r="BW97" s="2" t="s">
        <v>398</v>
      </c>
      <c r="BX97" s="2" t="s">
        <v>98</v>
      </c>
      <c r="BY97" s="2" t="s">
        <v>99</v>
      </c>
      <c r="BZ97" s="2" t="s">
        <v>100</v>
      </c>
      <c r="CA97" s="5" t="s">
        <v>399</v>
      </c>
      <c r="CB97" s="2"/>
    </row>
    <row r="98" spans="1:80" ht="409.6" hidden="1">
      <c r="A98" s="2">
        <v>53</v>
      </c>
      <c r="B98" s="2" t="s">
        <v>390</v>
      </c>
      <c r="C98" s="2" t="s">
        <v>391</v>
      </c>
      <c r="D98" s="6">
        <v>2024</v>
      </c>
      <c r="E98" s="2" t="s">
        <v>163</v>
      </c>
      <c r="F98" s="2" t="s">
        <v>392</v>
      </c>
      <c r="G98" s="2" t="s">
        <v>84</v>
      </c>
      <c r="H98" s="2" t="s">
        <v>85</v>
      </c>
      <c r="I98" s="2" t="s">
        <v>84</v>
      </c>
      <c r="J98" s="3">
        <v>0.79</v>
      </c>
      <c r="K98" s="2"/>
      <c r="L98" s="5" t="s">
        <v>402</v>
      </c>
      <c r="M98" s="5" t="s">
        <v>334</v>
      </c>
      <c r="N98" s="2" t="s">
        <v>129</v>
      </c>
      <c r="O98" s="2" t="s">
        <v>84</v>
      </c>
      <c r="P98" s="2" t="s">
        <v>84</v>
      </c>
      <c r="Q98" s="5" t="s">
        <v>100</v>
      </c>
      <c r="R98" s="21">
        <v>0</v>
      </c>
      <c r="S98" s="2" t="s">
        <v>217</v>
      </c>
      <c r="T98" s="3">
        <v>286</v>
      </c>
      <c r="U98" s="3">
        <v>7</v>
      </c>
      <c r="V98" s="3" t="s">
        <v>218</v>
      </c>
      <c r="W98" s="3"/>
      <c r="X98" s="3"/>
      <c r="Y98" s="2"/>
      <c r="Z98" s="2"/>
      <c r="AA98" s="2"/>
      <c r="AB98" s="2"/>
      <c r="AC98" s="3">
        <v>0.61</v>
      </c>
      <c r="AD98" s="3">
        <v>0.01</v>
      </c>
      <c r="AE98" s="5" t="s">
        <v>394</v>
      </c>
      <c r="AF98" s="2" t="s">
        <v>327</v>
      </c>
      <c r="AG98" s="2">
        <v>23</v>
      </c>
      <c r="AH98" s="2">
        <v>0</v>
      </c>
      <c r="AI98" s="3"/>
      <c r="AJ98" s="3"/>
      <c r="AK98" s="2"/>
      <c r="AL98" s="2"/>
      <c r="AM98" s="2"/>
      <c r="AN98" s="2"/>
      <c r="AO98" s="2">
        <v>0.92</v>
      </c>
      <c r="AP98" s="2">
        <v>0</v>
      </c>
      <c r="AQ98" s="5" t="s">
        <v>394</v>
      </c>
      <c r="AR98" s="23" t="s">
        <v>327</v>
      </c>
      <c r="AS98" s="2">
        <v>23</v>
      </c>
      <c r="AT98" s="2">
        <v>0</v>
      </c>
      <c r="AU98" s="3"/>
      <c r="AV98" s="3"/>
      <c r="AW98" s="2"/>
      <c r="AX98" s="2"/>
      <c r="AY98" s="2"/>
      <c r="AZ98" s="2"/>
      <c r="BA98" s="3"/>
      <c r="BB98" s="3"/>
      <c r="BC98" s="2"/>
      <c r="BD98" s="2"/>
      <c r="BE98" s="3"/>
      <c r="BF98" s="19"/>
      <c r="BG98" s="6" t="s">
        <v>218</v>
      </c>
      <c r="BH98" s="2"/>
      <c r="BI98" s="2"/>
      <c r="BJ98" s="2"/>
      <c r="BK98" s="2"/>
      <c r="BL98" s="2"/>
      <c r="BM98" s="2"/>
      <c r="BN98" s="3">
        <v>0.36</v>
      </c>
      <c r="BO98" s="5" t="s">
        <v>396</v>
      </c>
      <c r="BP98" s="5">
        <v>1.37</v>
      </c>
      <c r="BQ98" s="5" t="s">
        <v>397</v>
      </c>
      <c r="BR98" s="3"/>
      <c r="BS98" s="2"/>
      <c r="BT98" s="2"/>
      <c r="BU98" s="2"/>
      <c r="BV98" s="2" t="s">
        <v>96</v>
      </c>
      <c r="BW98" s="2" t="s">
        <v>398</v>
      </c>
      <c r="BX98" s="2" t="s">
        <v>98</v>
      </c>
      <c r="BY98" s="2" t="s">
        <v>99</v>
      </c>
      <c r="BZ98" s="2" t="s">
        <v>100</v>
      </c>
      <c r="CA98" s="5" t="s">
        <v>399</v>
      </c>
      <c r="CB98" s="2"/>
    </row>
    <row r="99" spans="1:80" ht="409.6" hidden="1">
      <c r="A99" s="2">
        <v>53</v>
      </c>
      <c r="B99" s="2" t="s">
        <v>390</v>
      </c>
      <c r="C99" s="2" t="s">
        <v>391</v>
      </c>
      <c r="D99" s="6">
        <v>2024</v>
      </c>
      <c r="E99" s="2" t="s">
        <v>163</v>
      </c>
      <c r="F99" s="2" t="s">
        <v>392</v>
      </c>
      <c r="G99" s="2" t="s">
        <v>84</v>
      </c>
      <c r="H99" s="2" t="s">
        <v>85</v>
      </c>
      <c r="I99" s="2" t="s">
        <v>84</v>
      </c>
      <c r="J99" s="3">
        <v>0.79</v>
      </c>
      <c r="K99" s="2"/>
      <c r="L99" s="5" t="s">
        <v>402</v>
      </c>
      <c r="M99" s="5" t="s">
        <v>334</v>
      </c>
      <c r="N99" s="2" t="s">
        <v>129</v>
      </c>
      <c r="O99" s="2" t="s">
        <v>84</v>
      </c>
      <c r="P99" s="2" t="s">
        <v>84</v>
      </c>
      <c r="Q99" s="5" t="s">
        <v>100</v>
      </c>
      <c r="R99" s="21">
        <v>0</v>
      </c>
      <c r="S99" s="2" t="s">
        <v>217</v>
      </c>
      <c r="T99" s="3">
        <v>286</v>
      </c>
      <c r="U99" s="3">
        <v>7</v>
      </c>
      <c r="V99" s="3" t="s">
        <v>218</v>
      </c>
      <c r="W99" s="3"/>
      <c r="X99" s="3"/>
      <c r="Y99" s="2"/>
      <c r="Z99" s="2"/>
      <c r="AA99" s="2"/>
      <c r="AB99" s="2"/>
      <c r="AC99" s="3">
        <v>0.84</v>
      </c>
      <c r="AD99" s="3">
        <v>0</v>
      </c>
      <c r="AE99" s="5" t="s">
        <v>394</v>
      </c>
      <c r="AF99" s="2" t="s">
        <v>327</v>
      </c>
      <c r="AG99" s="2">
        <v>23</v>
      </c>
      <c r="AH99" s="2">
        <v>85</v>
      </c>
      <c r="AI99" s="3"/>
      <c r="AJ99" s="3"/>
      <c r="AK99" s="2"/>
      <c r="AL99" s="2"/>
      <c r="AM99" s="2"/>
      <c r="AN99" s="2"/>
      <c r="AO99" s="2">
        <v>1.18</v>
      </c>
      <c r="AP99" s="2">
        <v>0.01</v>
      </c>
      <c r="AQ99" s="5" t="s">
        <v>394</v>
      </c>
      <c r="AR99" s="23" t="s">
        <v>327</v>
      </c>
      <c r="AS99" s="2">
        <v>23</v>
      </c>
      <c r="AT99" s="2">
        <v>85</v>
      </c>
      <c r="AU99" s="3"/>
      <c r="AV99" s="3"/>
      <c r="AW99" s="2"/>
      <c r="AX99" s="2"/>
      <c r="AY99" s="2"/>
      <c r="AZ99" s="2"/>
      <c r="BA99" s="3"/>
      <c r="BB99" s="3"/>
      <c r="BC99" s="2"/>
      <c r="BD99" s="2"/>
      <c r="BE99" s="3"/>
      <c r="BF99" s="19"/>
      <c r="BG99" s="6" t="s">
        <v>218</v>
      </c>
      <c r="BH99" s="2"/>
      <c r="BI99" s="2"/>
      <c r="BJ99" s="2"/>
      <c r="BK99" s="2"/>
      <c r="BL99" s="2"/>
      <c r="BM99" s="2"/>
      <c r="BN99" s="3">
        <v>0.36</v>
      </c>
      <c r="BO99" s="5" t="s">
        <v>396</v>
      </c>
      <c r="BP99" s="5">
        <v>1.37</v>
      </c>
      <c r="BQ99" s="5" t="s">
        <v>397</v>
      </c>
      <c r="BR99" s="3"/>
      <c r="BS99" s="2"/>
      <c r="BT99" s="2"/>
      <c r="BU99" s="2"/>
      <c r="BV99" s="2" t="s">
        <v>96</v>
      </c>
      <c r="BW99" s="2" t="s">
        <v>398</v>
      </c>
      <c r="BX99" s="2" t="s">
        <v>98</v>
      </c>
      <c r="BY99" s="2" t="s">
        <v>99</v>
      </c>
      <c r="BZ99" s="2" t="s">
        <v>100</v>
      </c>
      <c r="CA99" s="5" t="s">
        <v>399</v>
      </c>
      <c r="CB99" s="2"/>
    </row>
    <row r="100" spans="1:80" ht="409.6" hidden="1">
      <c r="A100" s="2">
        <v>53</v>
      </c>
      <c r="B100" s="2" t="s">
        <v>390</v>
      </c>
      <c r="C100" s="2" t="s">
        <v>391</v>
      </c>
      <c r="D100" s="6">
        <v>2024</v>
      </c>
      <c r="E100" s="2" t="s">
        <v>163</v>
      </c>
      <c r="F100" s="2" t="s">
        <v>392</v>
      </c>
      <c r="G100" s="2" t="s">
        <v>84</v>
      </c>
      <c r="H100" s="2" t="s">
        <v>85</v>
      </c>
      <c r="I100" s="2" t="s">
        <v>84</v>
      </c>
      <c r="J100" s="3">
        <v>0.79</v>
      </c>
      <c r="K100" s="2"/>
      <c r="L100" s="5" t="s">
        <v>402</v>
      </c>
      <c r="M100" s="5" t="s">
        <v>334</v>
      </c>
      <c r="N100" s="2" t="s">
        <v>129</v>
      </c>
      <c r="O100" s="2" t="s">
        <v>84</v>
      </c>
      <c r="P100" s="2" t="s">
        <v>84</v>
      </c>
      <c r="Q100" s="5" t="s">
        <v>100</v>
      </c>
      <c r="R100" s="21">
        <v>0</v>
      </c>
      <c r="S100" s="2" t="s">
        <v>217</v>
      </c>
      <c r="T100" s="3">
        <v>286</v>
      </c>
      <c r="U100" s="3">
        <v>7</v>
      </c>
      <c r="V100" s="3" t="s">
        <v>218</v>
      </c>
      <c r="W100" s="3"/>
      <c r="X100" s="3"/>
      <c r="Y100" s="2"/>
      <c r="Z100" s="2"/>
      <c r="AA100" s="2"/>
      <c r="AB100" s="2"/>
      <c r="AC100" s="3">
        <v>1.32</v>
      </c>
      <c r="AD100" s="3">
        <v>0.27</v>
      </c>
      <c r="AE100" s="5" t="s">
        <v>394</v>
      </c>
      <c r="AF100" s="2" t="s">
        <v>327</v>
      </c>
      <c r="AG100" s="2">
        <v>38</v>
      </c>
      <c r="AH100" s="2">
        <v>0</v>
      </c>
      <c r="AI100" s="3"/>
      <c r="AJ100" s="3"/>
      <c r="AK100" s="2"/>
      <c r="AL100" s="2"/>
      <c r="AM100" s="2"/>
      <c r="AN100" s="2"/>
      <c r="AO100" s="2">
        <v>8.76</v>
      </c>
      <c r="AP100" s="2">
        <v>0.04</v>
      </c>
      <c r="AQ100" s="5" t="s">
        <v>394</v>
      </c>
      <c r="AR100" s="23" t="s">
        <v>327</v>
      </c>
      <c r="AS100" s="2">
        <v>38</v>
      </c>
      <c r="AT100" s="2">
        <v>0</v>
      </c>
      <c r="AU100" s="3"/>
      <c r="AV100" s="3"/>
      <c r="AW100" s="2"/>
      <c r="AX100" s="2"/>
      <c r="AY100" s="2"/>
      <c r="AZ100" s="2"/>
      <c r="BA100" s="3"/>
      <c r="BB100" s="3"/>
      <c r="BC100" s="2"/>
      <c r="BD100" s="2"/>
      <c r="BE100" s="3"/>
      <c r="BF100" s="19"/>
      <c r="BG100" s="6" t="s">
        <v>218</v>
      </c>
      <c r="BH100" s="2"/>
      <c r="BI100" s="2"/>
      <c r="BJ100" s="2"/>
      <c r="BK100" s="2"/>
      <c r="BL100" s="2"/>
      <c r="BM100" s="2"/>
      <c r="BN100" s="3">
        <v>0.36</v>
      </c>
      <c r="BO100" s="5" t="s">
        <v>396</v>
      </c>
      <c r="BP100" s="5">
        <v>1.37</v>
      </c>
      <c r="BQ100" s="5" t="s">
        <v>397</v>
      </c>
      <c r="BR100" s="3"/>
      <c r="BS100" s="2"/>
      <c r="BT100" s="2"/>
      <c r="BU100" s="2"/>
      <c r="BV100" s="2" t="s">
        <v>96</v>
      </c>
      <c r="BW100" s="2" t="s">
        <v>398</v>
      </c>
      <c r="BX100" s="2" t="s">
        <v>98</v>
      </c>
      <c r="BY100" s="2" t="s">
        <v>99</v>
      </c>
      <c r="BZ100" s="2" t="s">
        <v>100</v>
      </c>
      <c r="CA100" s="5" t="s">
        <v>399</v>
      </c>
      <c r="CB100" s="2"/>
    </row>
    <row r="101" spans="1:80" ht="409.6" hidden="1">
      <c r="A101" s="2">
        <v>53</v>
      </c>
      <c r="B101" s="2" t="s">
        <v>390</v>
      </c>
      <c r="C101" s="2" t="s">
        <v>391</v>
      </c>
      <c r="D101" s="6">
        <v>2024</v>
      </c>
      <c r="E101" s="2" t="s">
        <v>163</v>
      </c>
      <c r="F101" s="2" t="s">
        <v>392</v>
      </c>
      <c r="G101" s="2" t="s">
        <v>84</v>
      </c>
      <c r="H101" s="2" t="s">
        <v>85</v>
      </c>
      <c r="I101" s="2" t="s">
        <v>84</v>
      </c>
      <c r="J101" s="3">
        <v>0.79</v>
      </c>
      <c r="K101" s="2"/>
      <c r="L101" s="5" t="s">
        <v>402</v>
      </c>
      <c r="M101" s="5" t="s">
        <v>334</v>
      </c>
      <c r="N101" s="2" t="s">
        <v>129</v>
      </c>
      <c r="O101" s="2" t="s">
        <v>84</v>
      </c>
      <c r="P101" s="2" t="s">
        <v>84</v>
      </c>
      <c r="Q101" s="5" t="s">
        <v>100</v>
      </c>
      <c r="R101" s="21">
        <v>0</v>
      </c>
      <c r="S101" s="2" t="s">
        <v>217</v>
      </c>
      <c r="T101" s="3">
        <v>286</v>
      </c>
      <c r="U101" s="3">
        <v>7</v>
      </c>
      <c r="V101" s="3" t="s">
        <v>218</v>
      </c>
      <c r="W101" s="3"/>
      <c r="X101" s="3"/>
      <c r="Y101" s="2"/>
      <c r="Z101" s="2"/>
      <c r="AA101" s="2"/>
      <c r="AB101" s="2"/>
      <c r="AC101" s="3">
        <v>1.79</v>
      </c>
      <c r="AD101" s="3">
        <v>0.23</v>
      </c>
      <c r="AE101" s="5" t="s">
        <v>394</v>
      </c>
      <c r="AF101" s="2" t="s">
        <v>327</v>
      </c>
      <c r="AG101" s="2">
        <v>38</v>
      </c>
      <c r="AH101" s="2">
        <v>90</v>
      </c>
      <c r="AI101" s="3"/>
      <c r="AJ101" s="3"/>
      <c r="AK101" s="2"/>
      <c r="AL101" s="2"/>
      <c r="AM101" s="2"/>
      <c r="AN101" s="2"/>
      <c r="AO101" s="2">
        <v>14.23</v>
      </c>
      <c r="AP101" s="2">
        <v>0.28999999999999998</v>
      </c>
      <c r="AQ101" s="5" t="s">
        <v>394</v>
      </c>
      <c r="AR101" s="23" t="s">
        <v>327</v>
      </c>
      <c r="AS101" s="2">
        <v>38</v>
      </c>
      <c r="AT101" s="2">
        <v>90</v>
      </c>
      <c r="AU101" s="3"/>
      <c r="AV101" s="3"/>
      <c r="AW101" s="2"/>
      <c r="AX101" s="2"/>
      <c r="AY101" s="2"/>
      <c r="AZ101" s="2"/>
      <c r="BA101" s="3"/>
      <c r="BB101" s="3"/>
      <c r="BC101" s="2"/>
      <c r="BD101" s="2"/>
      <c r="BE101" s="3"/>
      <c r="BF101" s="19"/>
      <c r="BG101" s="6" t="s">
        <v>218</v>
      </c>
      <c r="BH101" s="2"/>
      <c r="BI101" s="2"/>
      <c r="BJ101" s="2"/>
      <c r="BK101" s="2"/>
      <c r="BL101" s="2"/>
      <c r="BM101" s="2"/>
      <c r="BN101" s="3">
        <v>0.36</v>
      </c>
      <c r="BO101" s="5" t="s">
        <v>396</v>
      </c>
      <c r="BP101" s="5">
        <v>1.37</v>
      </c>
      <c r="BQ101" s="5" t="s">
        <v>397</v>
      </c>
      <c r="BR101" s="3"/>
      <c r="BS101" s="2"/>
      <c r="BT101" s="2"/>
      <c r="BU101" s="2"/>
      <c r="BV101" s="2" t="s">
        <v>96</v>
      </c>
      <c r="BW101" s="2" t="s">
        <v>398</v>
      </c>
      <c r="BX101" s="2" t="s">
        <v>98</v>
      </c>
      <c r="BY101" s="2" t="s">
        <v>99</v>
      </c>
      <c r="BZ101" s="2" t="s">
        <v>100</v>
      </c>
      <c r="CA101" s="5" t="s">
        <v>399</v>
      </c>
      <c r="CB101" s="2"/>
    </row>
    <row r="102" spans="1:80" ht="57.6" hidden="1">
      <c r="A102">
        <v>54</v>
      </c>
      <c r="B102" t="s">
        <v>403</v>
      </c>
      <c r="C102" t="s">
        <v>404</v>
      </c>
      <c r="D102" s="6">
        <v>2024</v>
      </c>
      <c r="E102" t="s">
        <v>405</v>
      </c>
      <c r="F102" t="s">
        <v>406</v>
      </c>
      <c r="G102" s="2" t="s">
        <v>84</v>
      </c>
      <c r="H102" s="2" t="s">
        <v>85</v>
      </c>
      <c r="I102" s="2" t="s">
        <v>100</v>
      </c>
      <c r="J102" s="3"/>
      <c r="K102" s="2" t="s">
        <v>115</v>
      </c>
      <c r="T102" s="3"/>
      <c r="U102" s="3"/>
      <c r="V102" s="3"/>
      <c r="W102" s="3"/>
      <c r="X102" s="3"/>
      <c r="AC102" s="3"/>
      <c r="AD102" s="3"/>
      <c r="AE102" s="3"/>
      <c r="AI102" s="3"/>
      <c r="AJ102" s="3"/>
      <c r="AU102" s="3"/>
      <c r="AV102" s="3"/>
      <c r="BA102" s="3"/>
      <c r="BB102" s="3"/>
      <c r="BE102" s="3"/>
      <c r="BF102" s="19"/>
      <c r="BG102" s="6"/>
      <c r="BN102" s="3"/>
      <c r="BR102" s="3"/>
      <c r="BY102" s="2" t="s">
        <v>99</v>
      </c>
    </row>
    <row r="103" spans="1:80" ht="409.6" hidden="1">
      <c r="A103" s="5">
        <v>55</v>
      </c>
      <c r="B103" s="5" t="s">
        <v>407</v>
      </c>
      <c r="C103" s="5" t="s">
        <v>408</v>
      </c>
      <c r="D103" s="6">
        <v>2024</v>
      </c>
      <c r="E103" s="5" t="s">
        <v>122</v>
      </c>
      <c r="F103" s="5" t="s">
        <v>409</v>
      </c>
      <c r="G103" s="2" t="s">
        <v>84</v>
      </c>
      <c r="H103" s="2" t="s">
        <v>85</v>
      </c>
      <c r="I103" s="5" t="s">
        <v>84</v>
      </c>
      <c r="J103" s="3">
        <v>0.93</v>
      </c>
      <c r="K103" s="5"/>
      <c r="L103" s="5" t="s">
        <v>303</v>
      </c>
      <c r="M103" s="5" t="s">
        <v>303</v>
      </c>
      <c r="N103" s="5" t="s">
        <v>141</v>
      </c>
      <c r="O103" s="2" t="s">
        <v>84</v>
      </c>
      <c r="P103" s="2" t="s">
        <v>84</v>
      </c>
      <c r="Q103" s="5" t="s">
        <v>410</v>
      </c>
      <c r="R103" s="21"/>
      <c r="S103" s="5" t="s">
        <v>90</v>
      </c>
      <c r="T103" s="3">
        <v>270</v>
      </c>
      <c r="U103" s="3">
        <v>10</v>
      </c>
      <c r="V103" s="3">
        <v>3</v>
      </c>
      <c r="W103" s="3"/>
      <c r="X103" s="3"/>
      <c r="Y103" s="5"/>
      <c r="Z103" s="5"/>
      <c r="AA103" s="5"/>
      <c r="AB103" s="5"/>
      <c r="AC103" s="3"/>
      <c r="AD103" s="3"/>
      <c r="AE103" s="3"/>
      <c r="AF103" s="5"/>
      <c r="AG103" s="5"/>
      <c r="AH103" s="5"/>
      <c r="AI103" s="3"/>
      <c r="AJ103" s="3"/>
      <c r="AK103" s="5"/>
      <c r="AL103" s="5"/>
      <c r="AM103" s="5"/>
      <c r="AN103" s="5"/>
      <c r="AO103" s="5"/>
      <c r="AP103" s="5"/>
      <c r="AQ103" s="5"/>
      <c r="AR103" s="5"/>
      <c r="AS103" s="5"/>
      <c r="AT103" s="5"/>
      <c r="AU103" s="3"/>
      <c r="AV103" s="3"/>
      <c r="AW103" s="5"/>
      <c r="AX103" s="5"/>
      <c r="AY103" s="5"/>
      <c r="AZ103" s="5"/>
      <c r="BA103" s="3">
        <v>4.0910000000000001E-10</v>
      </c>
      <c r="BB103" s="3">
        <v>3.59E-11</v>
      </c>
      <c r="BC103" s="5" t="s">
        <v>378</v>
      </c>
      <c r="BD103" s="5" t="s">
        <v>92</v>
      </c>
      <c r="BE103" s="3">
        <v>25</v>
      </c>
      <c r="BF103" s="19">
        <v>0.5</v>
      </c>
      <c r="BG103" s="6">
        <v>3</v>
      </c>
      <c r="BH103" s="5"/>
      <c r="BI103" s="5"/>
      <c r="BJ103" s="5"/>
      <c r="BK103" s="5"/>
      <c r="BL103" s="5"/>
      <c r="BM103" s="5"/>
      <c r="BN103" s="3"/>
      <c r="BO103" s="5"/>
      <c r="BP103" s="5"/>
      <c r="BQ103" s="5"/>
      <c r="BR103" s="3"/>
      <c r="BS103" s="5"/>
      <c r="BT103" s="5"/>
      <c r="BU103" s="5"/>
      <c r="BV103" s="5"/>
      <c r="BW103" s="5"/>
      <c r="BX103" s="5" t="s">
        <v>98</v>
      </c>
      <c r="BY103" s="2" t="s">
        <v>99</v>
      </c>
      <c r="BZ103" s="5" t="s">
        <v>100</v>
      </c>
      <c r="CA103" s="5" t="s">
        <v>411</v>
      </c>
      <c r="CB103" s="2" t="s">
        <v>102</v>
      </c>
    </row>
    <row r="104" spans="1:80" ht="57.6" hidden="1">
      <c r="A104">
        <v>56</v>
      </c>
      <c r="B104" t="s">
        <v>412</v>
      </c>
      <c r="C104" t="s">
        <v>413</v>
      </c>
      <c r="D104" s="6">
        <v>2024</v>
      </c>
      <c r="E104" t="s">
        <v>414</v>
      </c>
      <c r="F104" t="s">
        <v>415</v>
      </c>
      <c r="G104" s="2" t="s">
        <v>84</v>
      </c>
      <c r="H104" s="2" t="s">
        <v>85</v>
      </c>
      <c r="I104" t="s">
        <v>100</v>
      </c>
      <c r="J104" s="3"/>
      <c r="K104" s="2" t="s">
        <v>115</v>
      </c>
      <c r="L104" t="s">
        <v>229</v>
      </c>
      <c r="N104" t="s">
        <v>141</v>
      </c>
      <c r="T104" s="3"/>
      <c r="U104" s="3"/>
      <c r="V104" s="3"/>
      <c r="W104" s="3"/>
      <c r="X104" s="3"/>
      <c r="AC104" s="3"/>
      <c r="AD104" s="3"/>
      <c r="AE104" s="3"/>
      <c r="AI104" s="3"/>
      <c r="AJ104" s="3"/>
      <c r="AU104" s="3"/>
      <c r="AV104" s="3"/>
      <c r="BA104" s="3"/>
      <c r="BB104" s="3"/>
      <c r="BE104" s="3">
        <v>22</v>
      </c>
      <c r="BF104" s="19">
        <v>0.97</v>
      </c>
      <c r="BG104" s="6"/>
      <c r="BN104" s="3"/>
      <c r="BR104" s="3"/>
      <c r="BY104" s="2" t="s">
        <v>99</v>
      </c>
    </row>
    <row r="105" spans="1:80" ht="57.6" hidden="1">
      <c r="A105">
        <v>57</v>
      </c>
      <c r="B105" t="s">
        <v>416</v>
      </c>
      <c r="C105" t="s">
        <v>417</v>
      </c>
      <c r="D105" s="6">
        <v>2024</v>
      </c>
      <c r="E105" t="s">
        <v>418</v>
      </c>
      <c r="F105" t="s">
        <v>419</v>
      </c>
      <c r="G105" s="2" t="s">
        <v>84</v>
      </c>
      <c r="H105" s="2" t="s">
        <v>85</v>
      </c>
      <c r="I105" s="2" t="s">
        <v>100</v>
      </c>
      <c r="J105" s="3"/>
      <c r="K105" s="2" t="s">
        <v>115</v>
      </c>
      <c r="T105" s="3"/>
      <c r="U105" s="3"/>
      <c r="V105" s="3"/>
      <c r="W105" s="3"/>
      <c r="X105" s="3"/>
      <c r="AC105" s="3"/>
      <c r="AD105" s="3"/>
      <c r="AE105" s="3"/>
      <c r="AI105" s="3"/>
      <c r="AJ105" s="3"/>
      <c r="AU105" s="3"/>
      <c r="AV105" s="3"/>
      <c r="BA105" s="3"/>
      <c r="BB105" s="3"/>
      <c r="BE105" s="3"/>
      <c r="BF105" s="19"/>
      <c r="BG105" s="6"/>
      <c r="BN105" s="3"/>
      <c r="BR105" s="3"/>
      <c r="BY105" s="2" t="s">
        <v>99</v>
      </c>
    </row>
    <row r="106" spans="1:80" ht="86.45" hidden="1">
      <c r="A106" s="2">
        <v>58</v>
      </c>
      <c r="B106" s="2" t="s">
        <v>420</v>
      </c>
      <c r="C106" s="2" t="s">
        <v>421</v>
      </c>
      <c r="D106" s="6">
        <v>2024</v>
      </c>
      <c r="E106" s="2" t="s">
        <v>118</v>
      </c>
      <c r="F106" s="2" t="s">
        <v>422</v>
      </c>
      <c r="G106" s="2" t="s">
        <v>84</v>
      </c>
      <c r="H106" s="2" t="s">
        <v>85</v>
      </c>
      <c r="I106" s="2" t="s">
        <v>100</v>
      </c>
      <c r="J106" s="3"/>
      <c r="K106" s="2" t="s">
        <v>160</v>
      </c>
      <c r="L106" s="2" t="s">
        <v>423</v>
      </c>
      <c r="M106" s="2"/>
      <c r="N106" s="2" t="s">
        <v>141</v>
      </c>
      <c r="O106" s="2"/>
      <c r="P106" s="2"/>
      <c r="S106" s="2"/>
      <c r="T106" s="3">
        <v>186.75</v>
      </c>
      <c r="U106" s="3" t="s">
        <v>230</v>
      </c>
      <c r="V106" s="3">
        <v>3</v>
      </c>
      <c r="W106" s="3"/>
      <c r="X106" s="3"/>
      <c r="Y106" s="2"/>
      <c r="Z106" s="2"/>
      <c r="AA106" s="2"/>
      <c r="AB106" s="2"/>
      <c r="AC106" s="3">
        <v>39.19</v>
      </c>
      <c r="AD106" s="3"/>
      <c r="AE106" t="s">
        <v>424</v>
      </c>
      <c r="AF106" t="s">
        <v>253</v>
      </c>
      <c r="AG106" s="2">
        <v>23</v>
      </c>
      <c r="AH106" s="2">
        <v>0</v>
      </c>
      <c r="AI106" s="3"/>
      <c r="AJ106" s="3"/>
      <c r="AK106" s="2"/>
      <c r="AL106" s="2"/>
      <c r="AM106" s="2"/>
      <c r="AN106" s="2"/>
      <c r="AO106" s="2"/>
      <c r="AP106" s="2"/>
      <c r="AQ106" s="2"/>
      <c r="AR106" s="2"/>
      <c r="AS106" s="2"/>
      <c r="AT106" s="2"/>
      <c r="AU106" s="3">
        <v>74.319999999999993</v>
      </c>
      <c r="AV106" s="3"/>
      <c r="AW106" t="s">
        <v>425</v>
      </c>
      <c r="AX106" s="2" t="s">
        <v>92</v>
      </c>
      <c r="AY106" s="2">
        <v>23</v>
      </c>
      <c r="AZ106" s="2">
        <v>50</v>
      </c>
      <c r="BA106" s="3"/>
      <c r="BB106" s="3"/>
      <c r="BC106" s="2"/>
      <c r="BE106" s="3"/>
      <c r="BF106" s="19"/>
      <c r="BG106" s="6"/>
      <c r="BH106" s="2"/>
      <c r="BI106" s="2"/>
      <c r="BJ106" s="2"/>
      <c r="BK106" s="2"/>
      <c r="BL106" s="2"/>
      <c r="BM106" s="2"/>
      <c r="BN106" s="3"/>
      <c r="BO106" s="2"/>
      <c r="BP106" s="2"/>
      <c r="BQ106" s="2"/>
      <c r="BR106" s="3"/>
      <c r="BS106" s="2"/>
      <c r="BT106" s="2"/>
      <c r="BU106" s="2"/>
      <c r="BV106" s="2"/>
      <c r="BW106" s="2"/>
      <c r="BX106" s="2"/>
      <c r="BY106" s="2" t="s">
        <v>99</v>
      </c>
      <c r="BZ106" s="2"/>
      <c r="CA106" s="2"/>
      <c r="CB106" s="2"/>
    </row>
    <row r="107" spans="1:80" ht="115.15" hidden="1">
      <c r="A107" s="2">
        <v>58</v>
      </c>
      <c r="B107" s="2" t="s">
        <v>420</v>
      </c>
      <c r="C107" s="2" t="s">
        <v>421</v>
      </c>
      <c r="D107" s="6">
        <v>2024</v>
      </c>
      <c r="E107" s="2" t="s">
        <v>118</v>
      </c>
      <c r="F107" s="2" t="s">
        <v>422</v>
      </c>
      <c r="G107" s="2" t="s">
        <v>84</v>
      </c>
      <c r="H107" s="2" t="s">
        <v>85</v>
      </c>
      <c r="I107" s="2" t="s">
        <v>100</v>
      </c>
      <c r="J107" s="3"/>
      <c r="K107" s="2" t="s">
        <v>160</v>
      </c>
      <c r="L107" s="2" t="s">
        <v>423</v>
      </c>
      <c r="M107" s="2"/>
      <c r="N107" s="2" t="s">
        <v>141</v>
      </c>
      <c r="O107" s="2"/>
      <c r="P107" s="2"/>
      <c r="Q107" s="2" t="s">
        <v>426</v>
      </c>
      <c r="R107" s="2"/>
      <c r="S107" s="2"/>
      <c r="T107" s="3">
        <v>210.6</v>
      </c>
      <c r="U107" s="3" t="s">
        <v>230</v>
      </c>
      <c r="V107" s="3">
        <v>3</v>
      </c>
      <c r="W107" s="3"/>
      <c r="X107" s="3"/>
      <c r="Y107" s="2"/>
      <c r="Z107" s="2"/>
      <c r="AA107" s="2"/>
      <c r="AB107" s="2"/>
      <c r="AC107" s="3">
        <v>44.59</v>
      </c>
      <c r="AD107" s="3"/>
      <c r="AE107" t="s">
        <v>424</v>
      </c>
      <c r="AF107" t="s">
        <v>253</v>
      </c>
      <c r="AG107" s="2">
        <v>23</v>
      </c>
      <c r="AH107" s="2">
        <v>0</v>
      </c>
      <c r="AI107" s="3"/>
      <c r="AJ107" s="3"/>
      <c r="AK107" s="2"/>
      <c r="AL107" s="2"/>
      <c r="AM107" s="2"/>
      <c r="AN107" s="2"/>
      <c r="AO107" s="2"/>
      <c r="AP107" s="2"/>
      <c r="AQ107" s="2"/>
      <c r="AR107" s="2"/>
      <c r="AS107" s="2"/>
      <c r="AT107" s="2"/>
      <c r="AU107" s="3">
        <v>137.84</v>
      </c>
      <c r="AV107" s="3"/>
      <c r="AW107" t="s">
        <v>425</v>
      </c>
      <c r="AX107" s="2" t="s">
        <v>92</v>
      </c>
      <c r="AY107" s="2">
        <v>23</v>
      </c>
      <c r="AZ107" s="2">
        <v>50</v>
      </c>
      <c r="BA107" s="3"/>
      <c r="BB107" s="3"/>
      <c r="BC107" s="2"/>
      <c r="BE107" s="3"/>
      <c r="BF107" s="19"/>
      <c r="BG107" s="6"/>
      <c r="BH107" s="2"/>
      <c r="BI107" s="2"/>
      <c r="BJ107" s="2"/>
      <c r="BK107" s="2"/>
      <c r="BL107" s="2"/>
      <c r="BM107" s="2"/>
      <c r="BN107" s="3"/>
      <c r="BO107" s="2"/>
      <c r="BP107" s="2"/>
      <c r="BQ107" s="2"/>
      <c r="BR107" s="3"/>
      <c r="BS107" s="2"/>
      <c r="BT107" s="2"/>
      <c r="BU107" s="2"/>
      <c r="BV107" s="2"/>
      <c r="BW107" s="2"/>
      <c r="BX107" s="2"/>
      <c r="BY107" s="2" t="s">
        <v>99</v>
      </c>
      <c r="BZ107" s="2"/>
      <c r="CA107" s="2"/>
      <c r="CB107" s="2" t="s">
        <v>427</v>
      </c>
    </row>
    <row r="108" spans="1:80" ht="115.15" hidden="1">
      <c r="A108" s="2">
        <v>58</v>
      </c>
      <c r="B108" s="2" t="s">
        <v>420</v>
      </c>
      <c r="C108" s="2" t="s">
        <v>421</v>
      </c>
      <c r="D108" s="6">
        <v>2024</v>
      </c>
      <c r="E108" s="2" t="s">
        <v>118</v>
      </c>
      <c r="F108" s="2" t="s">
        <v>422</v>
      </c>
      <c r="G108" s="2" t="s">
        <v>84</v>
      </c>
      <c r="H108" s="2" t="s">
        <v>85</v>
      </c>
      <c r="I108" s="2" t="s">
        <v>100</v>
      </c>
      <c r="J108" s="3"/>
      <c r="K108" s="2" t="s">
        <v>160</v>
      </c>
      <c r="L108" s="2" t="s">
        <v>423</v>
      </c>
      <c r="M108" s="2"/>
      <c r="N108" s="2" t="s">
        <v>141</v>
      </c>
      <c r="O108" s="2"/>
      <c r="P108" s="2"/>
      <c r="Q108" s="2" t="s">
        <v>428</v>
      </c>
      <c r="R108" s="2"/>
      <c r="S108" s="2"/>
      <c r="T108" s="3">
        <v>268.20999999999998</v>
      </c>
      <c r="U108" s="3" t="s">
        <v>230</v>
      </c>
      <c r="V108" s="3">
        <v>3</v>
      </c>
      <c r="W108" s="3"/>
      <c r="X108" s="3"/>
      <c r="Y108" s="2"/>
      <c r="Z108" s="2"/>
      <c r="AA108" s="2"/>
      <c r="AB108" s="2"/>
      <c r="AC108" s="3">
        <v>55.41</v>
      </c>
      <c r="AD108" s="3"/>
      <c r="AE108" t="s">
        <v>424</v>
      </c>
      <c r="AF108" t="s">
        <v>253</v>
      </c>
      <c r="AG108" s="2">
        <v>23</v>
      </c>
      <c r="AH108" s="2">
        <v>0</v>
      </c>
      <c r="AI108" s="3"/>
      <c r="AJ108" s="3"/>
      <c r="AK108" s="2"/>
      <c r="AL108" s="2"/>
      <c r="AM108" s="2"/>
      <c r="AN108" s="2"/>
      <c r="AO108" s="2"/>
      <c r="AP108" s="2"/>
      <c r="AQ108" s="2"/>
      <c r="AR108" s="2"/>
      <c r="AS108" s="2"/>
      <c r="AT108" s="2"/>
      <c r="AU108" s="3">
        <v>166.22</v>
      </c>
      <c r="AV108" s="3"/>
      <c r="AW108" t="s">
        <v>425</v>
      </c>
      <c r="AX108" s="2" t="s">
        <v>92</v>
      </c>
      <c r="AY108" s="2">
        <v>23</v>
      </c>
      <c r="AZ108" s="2">
        <v>50</v>
      </c>
      <c r="BA108" s="3"/>
      <c r="BB108" s="3"/>
      <c r="BC108" s="2"/>
      <c r="BE108" s="3"/>
      <c r="BF108" s="19"/>
      <c r="BG108" s="6"/>
      <c r="BH108" s="2"/>
      <c r="BI108" s="2"/>
      <c r="BJ108" s="2"/>
      <c r="BK108" s="2"/>
      <c r="BL108" s="2"/>
      <c r="BM108" s="2"/>
      <c r="BN108" s="3"/>
      <c r="BO108" s="2"/>
      <c r="BP108" s="2"/>
      <c r="BQ108" s="2"/>
      <c r="BR108" s="3"/>
      <c r="BS108" s="2"/>
      <c r="BT108" s="2"/>
      <c r="BU108" s="2"/>
      <c r="BV108" s="2"/>
      <c r="BW108" s="2"/>
      <c r="BX108" s="2"/>
      <c r="BY108" s="2" t="s">
        <v>99</v>
      </c>
      <c r="BZ108" s="2"/>
      <c r="CA108" s="2"/>
      <c r="CB108" s="2" t="s">
        <v>427</v>
      </c>
    </row>
    <row r="109" spans="1:80" ht="115.15" hidden="1">
      <c r="A109" s="2">
        <v>58</v>
      </c>
      <c r="B109" s="2" t="s">
        <v>420</v>
      </c>
      <c r="C109" s="2" t="s">
        <v>421</v>
      </c>
      <c r="D109" s="6">
        <v>2024</v>
      </c>
      <c r="E109" s="2" t="s">
        <v>118</v>
      </c>
      <c r="F109" s="2" t="s">
        <v>422</v>
      </c>
      <c r="G109" s="2" t="s">
        <v>84</v>
      </c>
      <c r="H109" s="2" t="s">
        <v>85</v>
      </c>
      <c r="I109" s="2" t="s">
        <v>100</v>
      </c>
      <c r="J109" s="3"/>
      <c r="K109" s="2" t="s">
        <v>160</v>
      </c>
      <c r="L109" s="2" t="s">
        <v>423</v>
      </c>
      <c r="M109" s="2"/>
      <c r="N109" s="2" t="s">
        <v>141</v>
      </c>
      <c r="O109" s="2"/>
      <c r="P109" s="2"/>
      <c r="Q109" s="2" t="s">
        <v>429</v>
      </c>
      <c r="R109" s="2"/>
      <c r="S109" s="2"/>
      <c r="T109" s="3">
        <v>228.48</v>
      </c>
      <c r="U109" s="3" t="s">
        <v>230</v>
      </c>
      <c r="V109" s="3">
        <v>3</v>
      </c>
      <c r="W109" s="3"/>
      <c r="X109" s="3"/>
      <c r="Y109" s="2"/>
      <c r="Z109" s="2"/>
      <c r="AA109" s="2"/>
      <c r="AB109" s="2"/>
      <c r="AC109" s="3">
        <v>41.89</v>
      </c>
      <c r="AD109" s="3"/>
      <c r="AE109" t="s">
        <v>424</v>
      </c>
      <c r="AF109" t="s">
        <v>253</v>
      </c>
      <c r="AG109" s="2">
        <v>23</v>
      </c>
      <c r="AH109" s="2">
        <v>0</v>
      </c>
      <c r="AI109" s="3"/>
      <c r="AJ109" s="3"/>
      <c r="AK109" s="2"/>
      <c r="AL109" s="2"/>
      <c r="AM109" s="2"/>
      <c r="AN109" s="2"/>
      <c r="AO109" s="2"/>
      <c r="AP109" s="2"/>
      <c r="AQ109" s="2"/>
      <c r="AR109" s="2"/>
      <c r="AS109" s="2"/>
      <c r="AT109" s="2"/>
      <c r="AU109" s="3">
        <v>148.65</v>
      </c>
      <c r="AV109" s="3"/>
      <c r="AW109" t="s">
        <v>425</v>
      </c>
      <c r="AX109" s="2" t="s">
        <v>92</v>
      </c>
      <c r="AY109" s="2">
        <v>23</v>
      </c>
      <c r="AZ109" s="2">
        <v>50</v>
      </c>
      <c r="BA109" s="3"/>
      <c r="BB109" s="3"/>
      <c r="BC109" s="2"/>
      <c r="BE109" s="3"/>
      <c r="BF109" s="19"/>
      <c r="BG109" s="6"/>
      <c r="BH109" s="2"/>
      <c r="BI109" s="2"/>
      <c r="BJ109" s="2"/>
      <c r="BK109" s="2"/>
      <c r="BL109" s="2"/>
      <c r="BM109" s="2"/>
      <c r="BN109" s="3"/>
      <c r="BO109" s="2"/>
      <c r="BP109" s="2"/>
      <c r="BQ109" s="2"/>
      <c r="BR109" s="3"/>
      <c r="BS109" s="2"/>
      <c r="BT109" s="2"/>
      <c r="BU109" s="2"/>
      <c r="BV109" s="2"/>
      <c r="BW109" s="2"/>
      <c r="BX109" s="2"/>
      <c r="BY109" s="2" t="s">
        <v>99</v>
      </c>
      <c r="BZ109" s="2"/>
      <c r="CA109" s="2"/>
      <c r="CB109" s="2" t="s">
        <v>427</v>
      </c>
    </row>
    <row r="110" spans="1:80" ht="115.15" hidden="1">
      <c r="A110" s="2">
        <v>58</v>
      </c>
      <c r="B110" s="2" t="s">
        <v>420</v>
      </c>
      <c r="C110" s="2" t="s">
        <v>421</v>
      </c>
      <c r="D110" s="6">
        <v>2024</v>
      </c>
      <c r="E110" s="2" t="s">
        <v>118</v>
      </c>
      <c r="F110" s="2" t="s">
        <v>422</v>
      </c>
      <c r="G110" s="2" t="s">
        <v>84</v>
      </c>
      <c r="H110" s="2" t="s">
        <v>85</v>
      </c>
      <c r="I110" s="2" t="s">
        <v>100</v>
      </c>
      <c r="J110" s="3"/>
      <c r="K110" s="2" t="s">
        <v>160</v>
      </c>
      <c r="L110" s="2" t="s">
        <v>423</v>
      </c>
      <c r="M110" s="2"/>
      <c r="N110" s="2" t="s">
        <v>141</v>
      </c>
      <c r="O110" s="2"/>
      <c r="P110" s="2"/>
      <c r="Q110" s="2" t="s">
        <v>430</v>
      </c>
      <c r="R110" s="2"/>
      <c r="S110" s="2"/>
      <c r="T110" s="3">
        <v>224.5</v>
      </c>
      <c r="U110" s="3" t="s">
        <v>230</v>
      </c>
      <c r="V110" s="3">
        <v>3</v>
      </c>
      <c r="W110" s="3"/>
      <c r="X110" s="3"/>
      <c r="Y110" s="2"/>
      <c r="Z110" s="2"/>
      <c r="AA110" s="2"/>
      <c r="AB110" s="2"/>
      <c r="AC110" s="3">
        <v>51.35</v>
      </c>
      <c r="AD110" s="3"/>
      <c r="AE110" t="s">
        <v>424</v>
      </c>
      <c r="AF110" t="s">
        <v>253</v>
      </c>
      <c r="AG110" s="2">
        <v>23</v>
      </c>
      <c r="AH110" s="2">
        <v>0</v>
      </c>
      <c r="AI110" s="3"/>
      <c r="AJ110" s="3"/>
      <c r="AK110" s="2"/>
      <c r="AL110" s="2"/>
      <c r="AM110" s="2"/>
      <c r="AN110" s="2"/>
      <c r="AO110" s="2"/>
      <c r="AP110" s="2"/>
      <c r="AQ110" s="2"/>
      <c r="AR110" s="2"/>
      <c r="AS110" s="2"/>
      <c r="AT110" s="2"/>
      <c r="AU110" s="3">
        <v>175.68</v>
      </c>
      <c r="AV110" s="3"/>
      <c r="AW110" t="s">
        <v>425</v>
      </c>
      <c r="AX110" s="2" t="s">
        <v>92</v>
      </c>
      <c r="AY110" s="2">
        <v>23</v>
      </c>
      <c r="AZ110" s="2">
        <v>50</v>
      </c>
      <c r="BA110" s="3"/>
      <c r="BB110" s="3"/>
      <c r="BC110" s="2"/>
      <c r="BE110" s="3"/>
      <c r="BF110" s="19"/>
      <c r="BG110" s="6"/>
      <c r="BH110" s="2"/>
      <c r="BI110" s="2"/>
      <c r="BJ110" s="2"/>
      <c r="BK110" s="2"/>
      <c r="BL110" s="2"/>
      <c r="BM110" s="2"/>
      <c r="BN110" s="3"/>
      <c r="BO110" s="2"/>
      <c r="BP110" s="2"/>
      <c r="BQ110" s="2"/>
      <c r="BR110" s="3"/>
      <c r="BS110" s="2"/>
      <c r="BT110" s="2"/>
      <c r="BU110" s="2"/>
      <c r="BV110" s="2"/>
      <c r="BW110" s="2"/>
      <c r="BX110" s="2"/>
      <c r="BY110" s="2" t="s">
        <v>99</v>
      </c>
      <c r="BZ110" s="2"/>
      <c r="CA110" s="2"/>
      <c r="CB110" s="2" t="s">
        <v>427</v>
      </c>
    </row>
    <row r="111" spans="1:80" ht="115.15" hidden="1">
      <c r="A111" s="2">
        <v>58</v>
      </c>
      <c r="B111" s="2" t="s">
        <v>420</v>
      </c>
      <c r="C111" s="2" t="s">
        <v>421</v>
      </c>
      <c r="D111" s="6">
        <v>2024</v>
      </c>
      <c r="E111" s="2" t="s">
        <v>118</v>
      </c>
      <c r="F111" s="2" t="s">
        <v>422</v>
      </c>
      <c r="G111" s="2" t="s">
        <v>84</v>
      </c>
      <c r="H111" s="2" t="s">
        <v>85</v>
      </c>
      <c r="I111" s="2" t="s">
        <v>100</v>
      </c>
      <c r="J111" s="3"/>
      <c r="K111" s="2" t="s">
        <v>160</v>
      </c>
      <c r="L111" s="2" t="s">
        <v>431</v>
      </c>
      <c r="M111" s="2"/>
      <c r="N111" s="2" t="s">
        <v>141</v>
      </c>
      <c r="O111" s="2"/>
      <c r="P111" s="2"/>
      <c r="Q111" s="2"/>
      <c r="R111" s="2"/>
      <c r="S111" s="2"/>
      <c r="T111" s="3">
        <v>150.99</v>
      </c>
      <c r="U111" s="3" t="s">
        <v>230</v>
      </c>
      <c r="V111" s="3">
        <v>3</v>
      </c>
      <c r="W111" s="3"/>
      <c r="X111" s="3"/>
      <c r="Y111" s="2"/>
      <c r="Z111" s="2"/>
      <c r="AA111" s="2"/>
      <c r="AB111" s="2"/>
      <c r="AC111" s="3">
        <v>33.78</v>
      </c>
      <c r="AD111" s="3"/>
      <c r="AE111" t="s">
        <v>424</v>
      </c>
      <c r="AF111" t="s">
        <v>253</v>
      </c>
      <c r="AG111" s="2">
        <v>23</v>
      </c>
      <c r="AH111" s="2">
        <v>0</v>
      </c>
      <c r="AI111" s="3"/>
      <c r="AJ111" s="3"/>
      <c r="AK111" s="2"/>
      <c r="AL111" s="2"/>
      <c r="AM111" s="2"/>
      <c r="AN111" s="2"/>
      <c r="AO111" s="2"/>
      <c r="AP111" s="2"/>
      <c r="AQ111" s="2"/>
      <c r="AR111" s="2"/>
      <c r="AS111" s="2"/>
      <c r="AT111" s="2"/>
      <c r="AU111" s="3">
        <v>79.73</v>
      </c>
      <c r="AV111" s="3"/>
      <c r="AW111" t="s">
        <v>425</v>
      </c>
      <c r="AX111" s="2" t="s">
        <v>92</v>
      </c>
      <c r="AY111" s="2">
        <v>23</v>
      </c>
      <c r="AZ111" s="2">
        <v>50</v>
      </c>
      <c r="BA111" s="3"/>
      <c r="BB111" s="3"/>
      <c r="BC111" s="2"/>
      <c r="BE111" s="3"/>
      <c r="BF111" s="19"/>
      <c r="BG111" s="6"/>
      <c r="BH111" s="2"/>
      <c r="BI111" s="2"/>
      <c r="BJ111" s="2"/>
      <c r="BK111" s="2"/>
      <c r="BL111" s="2"/>
      <c r="BM111" s="2"/>
      <c r="BN111" s="3"/>
      <c r="BO111" s="2"/>
      <c r="BP111" s="2"/>
      <c r="BQ111" s="2"/>
      <c r="BR111" s="3"/>
      <c r="BS111" s="2"/>
      <c r="BT111" s="2"/>
      <c r="BU111" s="2"/>
      <c r="BV111" s="2"/>
      <c r="BW111" s="2"/>
      <c r="BX111" s="2"/>
      <c r="BY111" s="2" t="s">
        <v>99</v>
      </c>
      <c r="BZ111" s="2"/>
      <c r="CA111" s="2"/>
      <c r="CB111" s="2" t="s">
        <v>427</v>
      </c>
    </row>
    <row r="112" spans="1:80" ht="115.15" hidden="1">
      <c r="A112" s="2">
        <v>58</v>
      </c>
      <c r="B112" s="2" t="s">
        <v>420</v>
      </c>
      <c r="C112" s="2" t="s">
        <v>421</v>
      </c>
      <c r="D112" s="6">
        <v>2024</v>
      </c>
      <c r="E112" s="2" t="s">
        <v>118</v>
      </c>
      <c r="F112" s="2" t="s">
        <v>422</v>
      </c>
      <c r="G112" s="2" t="s">
        <v>84</v>
      </c>
      <c r="H112" s="2" t="s">
        <v>85</v>
      </c>
      <c r="I112" s="2" t="s">
        <v>100</v>
      </c>
      <c r="J112" s="3"/>
      <c r="K112" s="2" t="s">
        <v>160</v>
      </c>
      <c r="L112" s="2" t="s">
        <v>431</v>
      </c>
      <c r="M112" s="2"/>
      <c r="N112" s="2" t="s">
        <v>141</v>
      </c>
      <c r="O112" s="2"/>
      <c r="P112" s="2"/>
      <c r="Q112" s="2" t="s">
        <v>426</v>
      </c>
      <c r="R112" s="2"/>
      <c r="S112" s="2"/>
      <c r="T112" s="3">
        <v>164.9</v>
      </c>
      <c r="U112" s="3" t="s">
        <v>230</v>
      </c>
      <c r="V112" s="3">
        <v>3</v>
      </c>
      <c r="W112" s="3"/>
      <c r="X112" s="3"/>
      <c r="Y112" s="2"/>
      <c r="Z112" s="2"/>
      <c r="AA112" s="2"/>
      <c r="AB112" s="2"/>
      <c r="AC112" s="3">
        <v>36.49</v>
      </c>
      <c r="AD112" s="3"/>
      <c r="AE112" t="s">
        <v>424</v>
      </c>
      <c r="AF112" t="s">
        <v>253</v>
      </c>
      <c r="AG112" s="2">
        <v>23</v>
      </c>
      <c r="AH112" s="2">
        <v>0</v>
      </c>
      <c r="AI112" s="3"/>
      <c r="AJ112" s="3"/>
      <c r="AK112" s="2"/>
      <c r="AL112" s="2"/>
      <c r="AM112" s="2"/>
      <c r="AN112" s="2"/>
      <c r="AO112" s="2"/>
      <c r="AP112" s="2"/>
      <c r="AQ112" s="2"/>
      <c r="AR112" s="2"/>
      <c r="AS112" s="2"/>
      <c r="AT112" s="2"/>
      <c r="AU112" s="3">
        <v>94.59</v>
      </c>
      <c r="AV112" s="3"/>
      <c r="AW112" t="s">
        <v>425</v>
      </c>
      <c r="AX112" s="2" t="s">
        <v>92</v>
      </c>
      <c r="AY112" s="2">
        <v>23</v>
      </c>
      <c r="AZ112" s="2">
        <v>50</v>
      </c>
      <c r="BA112" s="3"/>
      <c r="BB112" s="3"/>
      <c r="BC112" s="2"/>
      <c r="BE112" s="3"/>
      <c r="BF112" s="19"/>
      <c r="BG112" s="6"/>
      <c r="BH112" s="2"/>
      <c r="BI112" s="2"/>
      <c r="BJ112" s="2"/>
      <c r="BK112" s="2"/>
      <c r="BL112" s="2"/>
      <c r="BM112" s="2"/>
      <c r="BN112" s="3"/>
      <c r="BO112" s="2"/>
      <c r="BP112" s="2"/>
      <c r="BQ112" s="2"/>
      <c r="BR112" s="3"/>
      <c r="BS112" s="2"/>
      <c r="BT112" s="2"/>
      <c r="BU112" s="2"/>
      <c r="BV112" s="2"/>
      <c r="BW112" s="2"/>
      <c r="BX112" s="2"/>
      <c r="BY112" s="2" t="s">
        <v>99</v>
      </c>
      <c r="BZ112" s="2"/>
      <c r="CA112" s="2"/>
      <c r="CB112" s="2" t="s">
        <v>427</v>
      </c>
    </row>
    <row r="113" spans="1:80" ht="115.15" hidden="1">
      <c r="A113" s="2">
        <v>58</v>
      </c>
      <c r="B113" s="2" t="s">
        <v>420</v>
      </c>
      <c r="C113" s="2" t="s">
        <v>421</v>
      </c>
      <c r="D113" s="6">
        <v>2024</v>
      </c>
      <c r="E113" s="2" t="s">
        <v>118</v>
      </c>
      <c r="F113" s="2" t="s">
        <v>422</v>
      </c>
      <c r="G113" s="2" t="s">
        <v>84</v>
      </c>
      <c r="H113" s="2" t="s">
        <v>85</v>
      </c>
      <c r="I113" s="2" t="s">
        <v>100</v>
      </c>
      <c r="J113" s="3"/>
      <c r="K113" s="2" t="s">
        <v>160</v>
      </c>
      <c r="L113" s="2" t="s">
        <v>431</v>
      </c>
      <c r="M113" s="2"/>
      <c r="N113" s="2" t="s">
        <v>141</v>
      </c>
      <c r="O113" s="2"/>
      <c r="P113" s="2"/>
      <c r="Q113" s="2" t="s">
        <v>428</v>
      </c>
      <c r="R113" s="2"/>
      <c r="S113" s="2"/>
      <c r="T113" s="3">
        <v>190.73</v>
      </c>
      <c r="U113" s="3" t="s">
        <v>230</v>
      </c>
      <c r="V113" s="3">
        <v>3</v>
      </c>
      <c r="W113" s="3"/>
      <c r="X113" s="3"/>
      <c r="Y113" s="2"/>
      <c r="Z113" s="2"/>
      <c r="AA113" s="2"/>
      <c r="AB113" s="2"/>
      <c r="AC113" s="3">
        <v>41.89</v>
      </c>
      <c r="AD113" s="3"/>
      <c r="AE113" t="s">
        <v>424</v>
      </c>
      <c r="AF113" t="s">
        <v>253</v>
      </c>
      <c r="AG113" s="2">
        <v>23</v>
      </c>
      <c r="AH113" s="2">
        <v>0</v>
      </c>
      <c r="AI113" s="3"/>
      <c r="AJ113" s="3"/>
      <c r="AK113" s="2"/>
      <c r="AL113" s="2"/>
      <c r="AM113" s="2"/>
      <c r="AN113" s="2"/>
      <c r="AO113" s="2"/>
      <c r="AP113" s="2"/>
      <c r="AQ113" s="2"/>
      <c r="AR113" s="2"/>
      <c r="AS113" s="2"/>
      <c r="AT113" s="2"/>
      <c r="AU113" s="3">
        <v>133.78</v>
      </c>
      <c r="AV113" s="3"/>
      <c r="AW113" t="s">
        <v>425</v>
      </c>
      <c r="AX113" s="2" t="s">
        <v>92</v>
      </c>
      <c r="AY113" s="2">
        <v>23</v>
      </c>
      <c r="AZ113" s="2">
        <v>50</v>
      </c>
      <c r="BA113" s="3"/>
      <c r="BB113" s="3"/>
      <c r="BC113" s="2"/>
      <c r="BE113" s="3"/>
      <c r="BF113" s="19"/>
      <c r="BG113" s="6"/>
      <c r="BH113" s="2"/>
      <c r="BI113" s="2"/>
      <c r="BJ113" s="2"/>
      <c r="BK113" s="2"/>
      <c r="BL113" s="2"/>
      <c r="BM113" s="2"/>
      <c r="BN113" s="3"/>
      <c r="BO113" s="2"/>
      <c r="BP113" s="2"/>
      <c r="BQ113" s="2"/>
      <c r="BR113" s="3"/>
      <c r="BS113" s="2"/>
      <c r="BT113" s="2"/>
      <c r="BU113" s="2"/>
      <c r="BV113" s="2"/>
      <c r="BW113" s="2"/>
      <c r="BX113" s="2"/>
      <c r="BY113" s="2" t="s">
        <v>99</v>
      </c>
      <c r="BZ113" s="2"/>
      <c r="CA113" s="2"/>
      <c r="CB113" s="2" t="s">
        <v>427</v>
      </c>
    </row>
    <row r="114" spans="1:80" ht="115.15" hidden="1">
      <c r="A114" s="2">
        <v>58</v>
      </c>
      <c r="B114" s="2" t="s">
        <v>420</v>
      </c>
      <c r="C114" s="2" t="s">
        <v>421</v>
      </c>
      <c r="D114" s="6">
        <v>2024</v>
      </c>
      <c r="E114" s="2" t="s">
        <v>118</v>
      </c>
      <c r="F114" s="2" t="s">
        <v>422</v>
      </c>
      <c r="G114" s="2" t="s">
        <v>84</v>
      </c>
      <c r="H114" s="2" t="s">
        <v>85</v>
      </c>
      <c r="I114" s="2" t="s">
        <v>100</v>
      </c>
      <c r="J114" s="3"/>
      <c r="K114" s="2" t="s">
        <v>160</v>
      </c>
      <c r="L114" s="2" t="s">
        <v>431</v>
      </c>
      <c r="M114" s="2"/>
      <c r="N114" s="2" t="s">
        <v>141</v>
      </c>
      <c r="O114" s="2"/>
      <c r="P114" s="2"/>
      <c r="Q114" s="2" t="s">
        <v>429</v>
      </c>
      <c r="R114" s="2"/>
      <c r="S114" s="2"/>
      <c r="T114" s="3">
        <v>164.9</v>
      </c>
      <c r="U114" s="3" t="s">
        <v>230</v>
      </c>
      <c r="V114" s="3">
        <v>3</v>
      </c>
      <c r="W114" s="3"/>
      <c r="X114" s="3"/>
      <c r="Y114" s="2"/>
      <c r="Z114" s="2"/>
      <c r="AA114" s="2"/>
      <c r="AB114" s="2"/>
      <c r="AC114" s="3">
        <v>60.81</v>
      </c>
      <c r="AD114" s="3"/>
      <c r="AE114" t="s">
        <v>424</v>
      </c>
      <c r="AF114" t="s">
        <v>253</v>
      </c>
      <c r="AG114" s="2">
        <v>23</v>
      </c>
      <c r="AH114" s="2">
        <v>0</v>
      </c>
      <c r="AI114" s="3"/>
      <c r="AJ114" s="3"/>
      <c r="AK114" s="2"/>
      <c r="AL114" s="2"/>
      <c r="AM114" s="2"/>
      <c r="AN114" s="2"/>
      <c r="AO114" s="2"/>
      <c r="AP114" s="2"/>
      <c r="AQ114" s="2"/>
      <c r="AR114" s="2"/>
      <c r="AS114" s="2"/>
      <c r="AT114" s="2"/>
      <c r="AU114" s="3">
        <v>181.08</v>
      </c>
      <c r="AV114" s="3"/>
      <c r="AW114" t="s">
        <v>425</v>
      </c>
      <c r="AX114" s="2" t="s">
        <v>92</v>
      </c>
      <c r="AY114" s="2">
        <v>23</v>
      </c>
      <c r="AZ114" s="2">
        <v>50</v>
      </c>
      <c r="BA114" s="3"/>
      <c r="BB114" s="3"/>
      <c r="BC114" s="2"/>
      <c r="BE114" s="3"/>
      <c r="BF114" s="19"/>
      <c r="BG114" s="6"/>
      <c r="BH114" s="2"/>
      <c r="BI114" s="2"/>
      <c r="BJ114" s="2"/>
      <c r="BK114" s="2"/>
      <c r="BL114" s="2"/>
      <c r="BM114" s="2"/>
      <c r="BN114" s="3"/>
      <c r="BO114" s="2"/>
      <c r="BP114" s="2"/>
      <c r="BQ114" s="2"/>
      <c r="BR114" s="3"/>
      <c r="BS114" s="2"/>
      <c r="BT114" s="2"/>
      <c r="BU114" s="2"/>
      <c r="BV114" s="2"/>
      <c r="BW114" s="2"/>
      <c r="BX114" s="2"/>
      <c r="BY114" s="2" t="s">
        <v>99</v>
      </c>
      <c r="BZ114" s="2"/>
      <c r="CA114" s="2"/>
      <c r="CB114" s="2" t="s">
        <v>427</v>
      </c>
    </row>
    <row r="115" spans="1:80" ht="115.15" hidden="1">
      <c r="A115" s="2">
        <v>58</v>
      </c>
      <c r="B115" s="2" t="s">
        <v>420</v>
      </c>
      <c r="C115" s="2" t="s">
        <v>421</v>
      </c>
      <c r="D115" s="6">
        <v>2024</v>
      </c>
      <c r="E115" s="2" t="s">
        <v>118</v>
      </c>
      <c r="F115" s="2" t="s">
        <v>422</v>
      </c>
      <c r="G115" s="2" t="s">
        <v>84</v>
      </c>
      <c r="H115" s="2" t="s">
        <v>85</v>
      </c>
      <c r="I115" s="2" t="s">
        <v>100</v>
      </c>
      <c r="J115" s="3"/>
      <c r="K115" s="2" t="s">
        <v>160</v>
      </c>
      <c r="L115" s="2" t="s">
        <v>431</v>
      </c>
      <c r="M115" s="2"/>
      <c r="N115" s="2" t="s">
        <v>141</v>
      </c>
      <c r="O115" s="2"/>
      <c r="P115" s="2"/>
      <c r="Q115" s="2" t="s">
        <v>430</v>
      </c>
      <c r="R115" s="2"/>
      <c r="S115" s="2"/>
      <c r="T115">
        <v>198.68</v>
      </c>
      <c r="U115" s="3" t="s">
        <v>230</v>
      </c>
      <c r="V115" s="3">
        <v>3</v>
      </c>
      <c r="W115" s="3"/>
      <c r="X115" s="3"/>
      <c r="Y115" s="2"/>
      <c r="Z115" s="2"/>
      <c r="AA115" s="2"/>
      <c r="AB115" s="2"/>
      <c r="AC115" s="3">
        <v>74.319999999999993</v>
      </c>
      <c r="AD115" s="3"/>
      <c r="AE115" t="s">
        <v>424</v>
      </c>
      <c r="AF115" t="s">
        <v>253</v>
      </c>
      <c r="AG115" s="2">
        <v>23</v>
      </c>
      <c r="AH115" s="2">
        <v>0</v>
      </c>
      <c r="AI115" s="3"/>
      <c r="AJ115" s="3"/>
      <c r="AK115" s="2"/>
      <c r="AL115" s="2"/>
      <c r="AM115" s="2"/>
      <c r="AN115" s="2"/>
      <c r="AO115" s="2"/>
      <c r="AP115" s="2"/>
      <c r="AQ115" s="2"/>
      <c r="AR115" s="2"/>
      <c r="AS115" s="2"/>
      <c r="AT115" s="2"/>
      <c r="AU115" s="3">
        <v>209.46</v>
      </c>
      <c r="AV115" s="3"/>
      <c r="AW115" t="s">
        <v>425</v>
      </c>
      <c r="AX115" s="2" t="s">
        <v>92</v>
      </c>
      <c r="AY115" s="2">
        <v>23</v>
      </c>
      <c r="AZ115" s="2">
        <v>50</v>
      </c>
      <c r="BA115" s="3"/>
      <c r="BB115" s="3"/>
      <c r="BC115" s="2"/>
      <c r="BE115" s="3"/>
      <c r="BF115" s="19"/>
      <c r="BG115" s="6"/>
      <c r="BH115" s="2"/>
      <c r="BI115" s="2"/>
      <c r="BJ115" s="2"/>
      <c r="BK115" s="2"/>
      <c r="BL115" s="2"/>
      <c r="BM115" s="2"/>
      <c r="BN115" s="3"/>
      <c r="BO115" s="2"/>
      <c r="BP115" s="2"/>
      <c r="BQ115" s="2"/>
      <c r="BR115" s="3"/>
      <c r="BS115" s="2"/>
      <c r="BT115" s="2"/>
      <c r="BU115" s="2"/>
      <c r="BV115" s="2"/>
      <c r="BW115" s="2"/>
      <c r="BX115" s="2"/>
      <c r="BY115" s="2" t="s">
        <v>99</v>
      </c>
      <c r="BZ115" s="2"/>
      <c r="CA115" s="2"/>
      <c r="CB115" s="2" t="s">
        <v>427</v>
      </c>
    </row>
    <row r="116" spans="1:80" ht="144" hidden="1">
      <c r="A116" s="2">
        <v>59</v>
      </c>
      <c r="B116" s="2" t="s">
        <v>432</v>
      </c>
      <c r="C116" s="2" t="s">
        <v>433</v>
      </c>
      <c r="D116" s="6">
        <v>2024</v>
      </c>
      <c r="E116" s="2" t="s">
        <v>434</v>
      </c>
      <c r="F116" s="2" t="s">
        <v>435</v>
      </c>
      <c r="G116" s="2" t="s">
        <v>84</v>
      </c>
      <c r="H116" s="2" t="s">
        <v>85</v>
      </c>
      <c r="I116" s="2" t="s">
        <v>100</v>
      </c>
      <c r="J116" s="3"/>
      <c r="K116" s="2" t="s">
        <v>115</v>
      </c>
      <c r="L116" s="2"/>
      <c r="M116" s="2"/>
      <c r="N116" s="2"/>
      <c r="O116" s="2"/>
      <c r="P116" s="2"/>
      <c r="Q116" s="2"/>
      <c r="R116" s="2"/>
      <c r="S116" s="2"/>
      <c r="T116" s="3"/>
      <c r="U116" s="3"/>
      <c r="V116" s="3"/>
      <c r="W116" s="3"/>
      <c r="X116" s="3"/>
      <c r="Y116" s="2"/>
      <c r="Z116" s="2"/>
      <c r="AA116" s="2"/>
      <c r="AB116" s="2"/>
      <c r="AC116" s="3"/>
      <c r="AD116" s="3"/>
      <c r="AE116" s="3"/>
      <c r="AF116" s="2"/>
      <c r="AG116" s="2"/>
      <c r="AH116" s="2"/>
      <c r="AI116" s="3"/>
      <c r="AJ116" s="3"/>
      <c r="AK116" s="2"/>
      <c r="AL116" s="2"/>
      <c r="AM116" s="2"/>
      <c r="AN116" s="2"/>
      <c r="AO116" s="2"/>
      <c r="AP116" s="2"/>
      <c r="AQ116" s="2"/>
      <c r="AR116" s="2"/>
      <c r="AS116" s="2"/>
      <c r="AT116" s="2"/>
      <c r="AU116" s="3"/>
      <c r="AV116" s="3"/>
      <c r="AW116" s="2"/>
      <c r="AX116" s="2"/>
      <c r="AY116" s="2"/>
      <c r="AZ116" s="2"/>
      <c r="BA116" s="3"/>
      <c r="BB116" s="3"/>
      <c r="BC116" s="2"/>
      <c r="BD116" s="2"/>
      <c r="BE116" s="3"/>
      <c r="BF116" s="19"/>
      <c r="BG116" s="6"/>
      <c r="BH116" s="2"/>
      <c r="BI116" s="2"/>
      <c r="BJ116" s="2"/>
      <c r="BK116" s="2"/>
      <c r="BL116" s="2"/>
      <c r="BM116" s="2"/>
      <c r="BN116" s="3"/>
      <c r="BO116" s="2"/>
      <c r="BP116" s="2"/>
      <c r="BQ116" s="2"/>
      <c r="BR116" s="3"/>
      <c r="BS116" s="2"/>
      <c r="BT116" s="2"/>
      <c r="BU116" s="2"/>
      <c r="BV116" s="2"/>
      <c r="BW116" s="2"/>
      <c r="BX116" s="2"/>
      <c r="BY116" s="2" t="s">
        <v>99</v>
      </c>
      <c r="BZ116" s="2"/>
      <c r="CA116" s="2"/>
      <c r="CB116" s="2"/>
    </row>
    <row r="117" spans="1:80" ht="57.6" hidden="1">
      <c r="A117">
        <v>60</v>
      </c>
      <c r="B117" t="s">
        <v>436</v>
      </c>
      <c r="C117" t="s">
        <v>437</v>
      </c>
      <c r="D117" s="6">
        <v>2024</v>
      </c>
      <c r="E117" t="s">
        <v>179</v>
      </c>
      <c r="F117" t="s">
        <v>438</v>
      </c>
      <c r="G117" s="2" t="s">
        <v>84</v>
      </c>
      <c r="H117" s="2" t="s">
        <v>85</v>
      </c>
      <c r="I117" s="2" t="s">
        <v>100</v>
      </c>
      <c r="J117" s="3"/>
      <c r="K117" s="2" t="s">
        <v>115</v>
      </c>
      <c r="T117" s="3"/>
      <c r="U117" s="3"/>
      <c r="V117" s="3"/>
      <c r="W117" s="3"/>
      <c r="X117" s="3"/>
      <c r="AC117" s="3"/>
      <c r="AD117" s="3"/>
      <c r="AE117" s="3"/>
      <c r="AI117" s="3"/>
      <c r="AJ117" s="3"/>
      <c r="AU117" s="3"/>
      <c r="AV117" s="3"/>
      <c r="BA117" s="3"/>
      <c r="BB117" s="3"/>
      <c r="BE117" s="3"/>
      <c r="BF117" s="19"/>
      <c r="BG117" s="6"/>
      <c r="BN117" s="3"/>
      <c r="BR117" s="3"/>
      <c r="BY117" s="2" t="s">
        <v>99</v>
      </c>
    </row>
    <row r="118" spans="1:80" ht="100.9" hidden="1">
      <c r="A118" s="2">
        <v>61</v>
      </c>
      <c r="B118" s="2" t="s">
        <v>439</v>
      </c>
      <c r="C118" s="2" t="s">
        <v>440</v>
      </c>
      <c r="D118" s="6">
        <v>2024</v>
      </c>
      <c r="E118" s="2" t="s">
        <v>118</v>
      </c>
      <c r="F118" s="2" t="s">
        <v>441</v>
      </c>
      <c r="G118" s="2" t="s">
        <v>84</v>
      </c>
      <c r="H118" s="2" t="s">
        <v>85</v>
      </c>
      <c r="I118" s="2" t="s">
        <v>100</v>
      </c>
      <c r="J118" s="3"/>
      <c r="K118" s="2" t="s">
        <v>115</v>
      </c>
      <c r="L118" s="2"/>
      <c r="M118" s="2"/>
      <c r="N118" s="2"/>
      <c r="O118" s="2"/>
      <c r="P118" s="2"/>
      <c r="Q118" s="2"/>
      <c r="R118" s="2"/>
      <c r="S118" s="2"/>
      <c r="T118" s="3"/>
      <c r="U118" s="3"/>
      <c r="V118" s="3"/>
      <c r="W118" s="3"/>
      <c r="X118" s="3"/>
      <c r="Y118" s="2"/>
      <c r="Z118" s="2"/>
      <c r="AA118" s="2"/>
      <c r="AB118" s="2"/>
      <c r="AC118" s="3"/>
      <c r="AD118" s="3"/>
      <c r="AE118" s="3"/>
      <c r="AF118" s="2"/>
      <c r="AG118" s="2"/>
      <c r="AH118" s="2"/>
      <c r="AI118" s="3"/>
      <c r="AJ118" s="3"/>
      <c r="AK118" s="2"/>
      <c r="AL118" s="2"/>
      <c r="AM118" s="2"/>
      <c r="AN118" s="2"/>
      <c r="AO118" s="2"/>
      <c r="AP118" s="2"/>
      <c r="AQ118" s="2"/>
      <c r="AR118" s="2"/>
      <c r="AS118" s="2"/>
      <c r="AT118" s="2"/>
      <c r="AU118" s="3"/>
      <c r="AV118" s="3"/>
      <c r="AW118" s="2"/>
      <c r="AX118" s="2"/>
      <c r="AY118" s="2"/>
      <c r="AZ118" s="2"/>
      <c r="BA118" s="3"/>
      <c r="BB118" s="3"/>
      <c r="BC118" s="2"/>
      <c r="BD118" s="2"/>
      <c r="BE118" s="3"/>
      <c r="BF118" s="19"/>
      <c r="BG118" s="6"/>
      <c r="BH118" s="2"/>
      <c r="BI118" s="2"/>
      <c r="BJ118" s="2"/>
      <c r="BK118" s="2"/>
      <c r="BL118" s="2"/>
      <c r="BM118" s="2"/>
      <c r="BN118" s="3"/>
      <c r="BO118" s="2"/>
      <c r="BP118" s="2"/>
      <c r="BQ118" s="2"/>
      <c r="BR118" s="3"/>
      <c r="BS118" s="2"/>
      <c r="BT118" s="2"/>
      <c r="BU118" s="2"/>
      <c r="BV118" s="2"/>
      <c r="BW118" s="2"/>
      <c r="BX118" s="2"/>
      <c r="BY118" s="2" t="s">
        <v>99</v>
      </c>
      <c r="BZ118" s="2"/>
      <c r="CA118" s="2"/>
      <c r="CB118" s="2"/>
    </row>
    <row r="119" spans="1:80" ht="57.6" hidden="1">
      <c r="A119">
        <v>62</v>
      </c>
      <c r="B119" t="s">
        <v>442</v>
      </c>
      <c r="C119" t="s">
        <v>443</v>
      </c>
      <c r="D119" s="6">
        <v>2024</v>
      </c>
      <c r="E119" t="s">
        <v>202</v>
      </c>
      <c r="F119" t="s">
        <v>444</v>
      </c>
      <c r="G119" s="2" t="s">
        <v>84</v>
      </c>
      <c r="H119" s="2" t="s">
        <v>85</v>
      </c>
      <c r="I119" s="2" t="s">
        <v>100</v>
      </c>
      <c r="J119" s="3"/>
      <c r="K119" s="2" t="s">
        <v>115</v>
      </c>
      <c r="T119" s="3"/>
      <c r="U119" s="3"/>
      <c r="V119" s="3"/>
      <c r="W119" s="3"/>
      <c r="X119" s="3"/>
      <c r="AC119" s="3"/>
      <c r="AD119" s="3"/>
      <c r="AE119" s="3"/>
      <c r="AI119" s="3"/>
      <c r="AJ119" s="3"/>
      <c r="AU119" s="3"/>
      <c r="AV119" s="3"/>
      <c r="BA119" s="3"/>
      <c r="BB119" s="3"/>
      <c r="BE119" s="3"/>
      <c r="BF119" s="19"/>
      <c r="BG119" s="6"/>
      <c r="BN119" s="3"/>
      <c r="BR119" s="3"/>
      <c r="BY119" s="2" t="s">
        <v>99</v>
      </c>
    </row>
    <row r="120" spans="1:80" ht="158.44999999999999" hidden="1">
      <c r="A120" s="2">
        <v>63</v>
      </c>
      <c r="B120" s="2" t="s">
        <v>445</v>
      </c>
      <c r="C120" s="2" t="s">
        <v>446</v>
      </c>
      <c r="D120" s="6">
        <v>2024</v>
      </c>
      <c r="E120" s="2" t="s">
        <v>447</v>
      </c>
      <c r="F120" s="2" t="s">
        <v>448</v>
      </c>
      <c r="G120" s="2" t="s">
        <v>84</v>
      </c>
      <c r="H120" s="2" t="s">
        <v>85</v>
      </c>
      <c r="I120" s="2" t="s">
        <v>100</v>
      </c>
      <c r="J120" s="3">
        <v>0.64</v>
      </c>
      <c r="K120" s="2" t="s">
        <v>181</v>
      </c>
      <c r="L120" s="2" t="s">
        <v>449</v>
      </c>
      <c r="M120" s="2"/>
      <c r="N120" s="2" t="s">
        <v>129</v>
      </c>
      <c r="O120" s="2"/>
      <c r="P120" s="2"/>
      <c r="Q120" s="2"/>
      <c r="R120" s="2"/>
      <c r="S120" s="2" t="s">
        <v>217</v>
      </c>
      <c r="T120" s="3">
        <v>300</v>
      </c>
      <c r="U120" s="3" t="s">
        <v>230</v>
      </c>
      <c r="V120" s="3">
        <v>5</v>
      </c>
      <c r="W120" s="3"/>
      <c r="X120" s="3"/>
      <c r="Y120" s="2"/>
      <c r="Z120" s="2"/>
      <c r="AA120" s="2"/>
      <c r="AB120" s="2"/>
      <c r="AC120" s="3">
        <v>0.13800000000000001</v>
      </c>
      <c r="AD120" s="2" t="s">
        <v>230</v>
      </c>
      <c r="AE120" t="s">
        <v>450</v>
      </c>
      <c r="AF120" t="s">
        <v>327</v>
      </c>
      <c r="AG120" s="2">
        <v>23</v>
      </c>
      <c r="AH120" s="2">
        <v>0</v>
      </c>
      <c r="AI120" s="3"/>
      <c r="AJ120" s="3"/>
      <c r="AK120" s="2"/>
      <c r="AL120" s="2"/>
      <c r="AM120" s="2"/>
      <c r="AN120" s="2"/>
      <c r="AO120" s="2">
        <v>0.1225</v>
      </c>
      <c r="AP120" s="2" t="s">
        <v>230</v>
      </c>
      <c r="AQ120" t="s">
        <v>450</v>
      </c>
      <c r="AR120" t="s">
        <v>327</v>
      </c>
      <c r="AS120" s="2">
        <v>23</v>
      </c>
      <c r="AT120" s="2">
        <v>0</v>
      </c>
      <c r="AU120" s="3"/>
      <c r="AV120" s="3"/>
      <c r="AW120" s="2"/>
      <c r="AX120" s="2"/>
      <c r="AY120" s="2"/>
      <c r="AZ120" s="2"/>
      <c r="BA120" s="3"/>
      <c r="BB120" s="3"/>
      <c r="BC120" s="2"/>
      <c r="BD120" s="2"/>
      <c r="BE120" s="3"/>
      <c r="BF120" s="19"/>
      <c r="BG120" s="6">
        <v>3</v>
      </c>
      <c r="BH120" s="2"/>
      <c r="BI120" s="2"/>
      <c r="BJ120" s="2"/>
      <c r="BK120" s="2"/>
      <c r="BL120" s="2"/>
      <c r="BM120" s="2"/>
      <c r="BN120" s="3"/>
      <c r="BO120" s="2"/>
      <c r="BP120" s="2"/>
      <c r="BQ120" s="2"/>
      <c r="BR120" s="3"/>
      <c r="BS120" s="2"/>
      <c r="BT120" s="2"/>
      <c r="BU120" s="2"/>
      <c r="BV120" s="2"/>
      <c r="BW120" s="2"/>
      <c r="BX120" s="2"/>
      <c r="BY120" s="2" t="s">
        <v>99</v>
      </c>
      <c r="BZ120" s="2" t="s">
        <v>100</v>
      </c>
      <c r="CA120" s="2"/>
      <c r="CB120" s="2"/>
    </row>
    <row r="121" spans="1:80" ht="158.44999999999999" hidden="1">
      <c r="A121" s="2">
        <v>63</v>
      </c>
      <c r="B121" s="2" t="s">
        <v>445</v>
      </c>
      <c r="C121" s="2" t="s">
        <v>446</v>
      </c>
      <c r="D121" s="6">
        <v>2024</v>
      </c>
      <c r="E121" s="2" t="s">
        <v>447</v>
      </c>
      <c r="F121" s="2" t="s">
        <v>448</v>
      </c>
      <c r="G121" s="2" t="s">
        <v>84</v>
      </c>
      <c r="H121" s="2" t="s">
        <v>85</v>
      </c>
      <c r="I121" s="2" t="s">
        <v>100</v>
      </c>
      <c r="J121" s="3">
        <v>0.64</v>
      </c>
      <c r="K121" s="2" t="s">
        <v>181</v>
      </c>
      <c r="L121" s="2" t="s">
        <v>449</v>
      </c>
      <c r="M121" s="2"/>
      <c r="N121" s="2" t="s">
        <v>129</v>
      </c>
      <c r="O121" s="2"/>
      <c r="P121" s="2"/>
      <c r="Q121" s="2"/>
      <c r="R121" s="2"/>
      <c r="S121" s="2" t="s">
        <v>217</v>
      </c>
      <c r="T121" s="3">
        <v>300</v>
      </c>
      <c r="U121" s="3" t="s">
        <v>230</v>
      </c>
      <c r="V121" s="3">
        <v>5</v>
      </c>
      <c r="W121" s="3"/>
      <c r="X121" s="3"/>
      <c r="Y121" s="2"/>
      <c r="Z121" s="2"/>
      <c r="AA121" s="2"/>
      <c r="AB121" s="2"/>
      <c r="AC121" s="3">
        <v>7.8100000000000003E-2</v>
      </c>
      <c r="AD121" s="2" t="s">
        <v>230</v>
      </c>
      <c r="AE121" t="s">
        <v>450</v>
      </c>
      <c r="AF121" t="s">
        <v>327</v>
      </c>
      <c r="AG121" s="2">
        <v>23</v>
      </c>
      <c r="AH121" s="2">
        <v>85</v>
      </c>
      <c r="AI121" s="3"/>
      <c r="AJ121" s="3"/>
      <c r="AK121" s="2"/>
      <c r="AL121" s="2"/>
      <c r="AM121" s="2"/>
      <c r="AN121" s="2"/>
      <c r="AO121" s="2">
        <v>7.3200000000000001E-2</v>
      </c>
      <c r="AP121" s="2" t="s">
        <v>230</v>
      </c>
      <c r="AQ121" t="s">
        <v>450</v>
      </c>
      <c r="AR121" t="s">
        <v>327</v>
      </c>
      <c r="AS121" s="2">
        <v>23</v>
      </c>
      <c r="AT121" s="2">
        <v>85</v>
      </c>
      <c r="AU121" s="3"/>
      <c r="AV121" s="3"/>
      <c r="AW121" s="2"/>
      <c r="AX121" s="2"/>
      <c r="AY121" s="2"/>
      <c r="AZ121" s="2"/>
      <c r="BA121" s="3"/>
      <c r="BB121" s="3"/>
      <c r="BC121" s="2"/>
      <c r="BD121" s="2"/>
      <c r="BE121" s="3"/>
      <c r="BF121" s="19"/>
      <c r="BG121" s="6">
        <v>3</v>
      </c>
      <c r="BH121" s="2"/>
      <c r="BI121" s="2"/>
      <c r="BJ121" s="2"/>
      <c r="BK121" s="2"/>
      <c r="BL121" s="2"/>
      <c r="BM121" s="2"/>
      <c r="BN121" s="3"/>
      <c r="BO121" s="2"/>
      <c r="BP121" s="2"/>
      <c r="BQ121" s="2"/>
      <c r="BR121" s="3"/>
      <c r="BS121" s="2"/>
      <c r="BT121" s="2"/>
      <c r="BU121" s="2"/>
      <c r="BV121" s="2"/>
      <c r="BW121" s="2"/>
      <c r="BX121" s="2"/>
      <c r="BY121" s="2" t="s">
        <v>99</v>
      </c>
      <c r="BZ121" s="2" t="s">
        <v>100</v>
      </c>
      <c r="CA121" s="2"/>
      <c r="CB121" s="2"/>
    </row>
    <row r="122" spans="1:80" ht="158.44999999999999" hidden="1">
      <c r="A122" s="2">
        <v>63</v>
      </c>
      <c r="B122" s="2" t="s">
        <v>445</v>
      </c>
      <c r="C122" s="2" t="s">
        <v>446</v>
      </c>
      <c r="D122" s="6">
        <v>2024</v>
      </c>
      <c r="E122" s="2" t="s">
        <v>447</v>
      </c>
      <c r="F122" s="2" t="s">
        <v>448</v>
      </c>
      <c r="G122" s="2" t="s">
        <v>84</v>
      </c>
      <c r="H122" s="2" t="s">
        <v>85</v>
      </c>
      <c r="I122" s="2" t="s">
        <v>100</v>
      </c>
      <c r="J122" s="3">
        <v>0.64</v>
      </c>
      <c r="K122" s="2" t="s">
        <v>181</v>
      </c>
      <c r="L122" s="2" t="s">
        <v>449</v>
      </c>
      <c r="M122" s="2"/>
      <c r="N122" s="2" t="s">
        <v>129</v>
      </c>
      <c r="O122" s="2"/>
      <c r="P122" s="2"/>
      <c r="Q122" s="2"/>
      <c r="R122" s="2"/>
      <c r="S122" s="2" t="s">
        <v>217</v>
      </c>
      <c r="T122" s="3">
        <v>300</v>
      </c>
      <c r="U122" s="3" t="s">
        <v>230</v>
      </c>
      <c r="V122" s="3">
        <v>5</v>
      </c>
      <c r="W122" s="3"/>
      <c r="X122" s="3"/>
      <c r="Y122" s="2"/>
      <c r="Z122" s="2"/>
      <c r="AA122" s="2"/>
      <c r="AB122" s="2"/>
      <c r="AC122" s="3">
        <v>1.24E-2</v>
      </c>
      <c r="AD122" s="2" t="s">
        <v>230</v>
      </c>
      <c r="AE122" t="s">
        <v>450</v>
      </c>
      <c r="AF122" t="s">
        <v>327</v>
      </c>
      <c r="AG122" s="2">
        <v>38</v>
      </c>
      <c r="AH122" s="2">
        <v>0</v>
      </c>
      <c r="AI122" s="3"/>
      <c r="AJ122" s="3"/>
      <c r="AK122" s="2"/>
      <c r="AL122" s="2"/>
      <c r="AM122" s="2"/>
      <c r="AN122" s="2"/>
      <c r="AO122" s="2">
        <v>1.01E-2</v>
      </c>
      <c r="AP122" s="2" t="s">
        <v>230</v>
      </c>
      <c r="AQ122" t="s">
        <v>450</v>
      </c>
      <c r="AR122" t="s">
        <v>327</v>
      </c>
      <c r="AS122" s="2">
        <v>38</v>
      </c>
      <c r="AT122" s="2">
        <v>0</v>
      </c>
      <c r="AU122" s="3"/>
      <c r="AV122" s="3"/>
      <c r="AW122" s="2"/>
      <c r="AX122" s="2"/>
      <c r="AY122" s="2"/>
      <c r="AZ122" s="2"/>
      <c r="BA122" s="3"/>
      <c r="BB122" s="3"/>
      <c r="BC122" s="2"/>
      <c r="BD122" s="2"/>
      <c r="BE122" s="3"/>
      <c r="BF122" s="19"/>
      <c r="BG122" s="6">
        <v>3</v>
      </c>
      <c r="BH122" s="2"/>
      <c r="BI122" s="2"/>
      <c r="BJ122" s="2"/>
      <c r="BK122" s="2"/>
      <c r="BL122" s="2"/>
      <c r="BM122" s="2"/>
      <c r="BN122" s="3"/>
      <c r="BO122" s="2"/>
      <c r="BP122" s="2"/>
      <c r="BQ122" s="2"/>
      <c r="BR122" s="3"/>
      <c r="BS122" s="2"/>
      <c r="BT122" s="2"/>
      <c r="BU122" s="2"/>
      <c r="BV122" s="2"/>
      <c r="BW122" s="2"/>
      <c r="BX122" s="2"/>
      <c r="BY122" s="2" t="s">
        <v>99</v>
      </c>
      <c r="BZ122" s="2" t="s">
        <v>100</v>
      </c>
      <c r="CA122" s="2"/>
      <c r="CB122" s="2"/>
    </row>
    <row r="123" spans="1:80" ht="158.44999999999999" hidden="1">
      <c r="A123" s="2">
        <v>63</v>
      </c>
      <c r="B123" s="2" t="s">
        <v>445</v>
      </c>
      <c r="C123" s="2" t="s">
        <v>446</v>
      </c>
      <c r="D123" s="6">
        <v>2024</v>
      </c>
      <c r="E123" s="2" t="s">
        <v>447</v>
      </c>
      <c r="F123" s="2" t="s">
        <v>448</v>
      </c>
      <c r="G123" s="2" t="s">
        <v>84</v>
      </c>
      <c r="H123" s="2" t="s">
        <v>85</v>
      </c>
      <c r="I123" s="2" t="s">
        <v>100</v>
      </c>
      <c r="J123" s="3">
        <v>0.64</v>
      </c>
      <c r="K123" s="2" t="s">
        <v>181</v>
      </c>
      <c r="L123" s="2" t="s">
        <v>451</v>
      </c>
      <c r="M123" s="2"/>
      <c r="N123" s="2" t="s">
        <v>129</v>
      </c>
      <c r="O123" s="2"/>
      <c r="P123" s="2"/>
      <c r="Q123" s="2"/>
      <c r="R123" s="2"/>
      <c r="S123" s="2" t="s">
        <v>217</v>
      </c>
      <c r="T123" s="3">
        <v>300</v>
      </c>
      <c r="U123" s="3" t="s">
        <v>230</v>
      </c>
      <c r="V123" s="3">
        <v>5</v>
      </c>
      <c r="W123" s="3"/>
      <c r="X123" s="3"/>
      <c r="Y123" s="2"/>
      <c r="Z123" s="2"/>
      <c r="AA123" s="2"/>
      <c r="AB123" s="2"/>
      <c r="AC123" s="3">
        <v>2.2000000000000001E-3</v>
      </c>
      <c r="AD123" s="2" t="s">
        <v>230</v>
      </c>
      <c r="AE123" t="s">
        <v>450</v>
      </c>
      <c r="AF123" t="s">
        <v>327</v>
      </c>
      <c r="AG123" s="2">
        <v>23</v>
      </c>
      <c r="AH123" s="2">
        <v>0</v>
      </c>
      <c r="AI123" s="3"/>
      <c r="AJ123" s="3"/>
      <c r="AK123" s="2"/>
      <c r="AL123" s="2"/>
      <c r="AM123" s="2"/>
      <c r="AN123" s="2"/>
      <c r="AO123" s="2">
        <v>6.9999999999999999E-4</v>
      </c>
      <c r="AP123" s="2" t="s">
        <v>230</v>
      </c>
      <c r="AQ123" t="s">
        <v>450</v>
      </c>
      <c r="AR123" t="s">
        <v>327</v>
      </c>
      <c r="AS123" s="2">
        <v>23</v>
      </c>
      <c r="AT123" s="2">
        <v>0</v>
      </c>
      <c r="AU123" s="3"/>
      <c r="AV123" s="3"/>
      <c r="AW123" s="2"/>
      <c r="AX123" s="2"/>
      <c r="AY123" s="2"/>
      <c r="AZ123" s="2"/>
      <c r="BA123" s="3"/>
      <c r="BB123" s="3"/>
      <c r="BC123" s="2"/>
      <c r="BD123" s="2"/>
      <c r="BE123" s="3"/>
      <c r="BF123" s="19"/>
      <c r="BG123" s="6">
        <v>3</v>
      </c>
      <c r="BH123" s="2"/>
      <c r="BI123" s="2"/>
      <c r="BJ123" s="2"/>
      <c r="BK123" s="2"/>
      <c r="BL123" s="2"/>
      <c r="BM123" s="2"/>
      <c r="BN123" s="3"/>
      <c r="BO123" s="2"/>
      <c r="BP123" s="2"/>
      <c r="BQ123" s="2"/>
      <c r="BR123" s="3"/>
      <c r="BS123" s="2"/>
      <c r="BT123" s="2"/>
      <c r="BU123" s="2"/>
      <c r="BV123" s="2"/>
      <c r="BW123" s="2"/>
      <c r="BX123" s="2"/>
      <c r="BY123" s="2" t="s">
        <v>99</v>
      </c>
      <c r="BZ123" s="2" t="s">
        <v>100</v>
      </c>
      <c r="CA123" s="2"/>
      <c r="CB123" s="2"/>
    </row>
    <row r="124" spans="1:80" ht="158.44999999999999" hidden="1">
      <c r="A124" s="2">
        <v>63</v>
      </c>
      <c r="B124" s="2" t="s">
        <v>445</v>
      </c>
      <c r="C124" s="2" t="s">
        <v>446</v>
      </c>
      <c r="D124" s="6">
        <v>2024</v>
      </c>
      <c r="E124" s="2" t="s">
        <v>447</v>
      </c>
      <c r="F124" s="2" t="s">
        <v>448</v>
      </c>
      <c r="G124" s="2" t="s">
        <v>84</v>
      </c>
      <c r="H124" s="2" t="s">
        <v>85</v>
      </c>
      <c r="I124" s="2" t="s">
        <v>100</v>
      </c>
      <c r="J124" s="3">
        <v>0.64</v>
      </c>
      <c r="K124" s="2" t="s">
        <v>181</v>
      </c>
      <c r="L124" s="2" t="s">
        <v>451</v>
      </c>
      <c r="M124" s="2"/>
      <c r="N124" s="2" t="s">
        <v>129</v>
      </c>
      <c r="O124" s="2"/>
      <c r="P124" s="2"/>
      <c r="Q124" s="2"/>
      <c r="R124" s="2"/>
      <c r="S124" s="2" t="s">
        <v>217</v>
      </c>
      <c r="T124" s="3">
        <v>300</v>
      </c>
      <c r="U124" s="3" t="s">
        <v>230</v>
      </c>
      <c r="V124" s="3">
        <v>5</v>
      </c>
      <c r="W124" s="3"/>
      <c r="X124" s="3"/>
      <c r="Y124" s="2"/>
      <c r="Z124" s="2"/>
      <c r="AA124" s="2"/>
      <c r="AB124" s="2"/>
      <c r="AC124" s="3">
        <v>2.5999999999999999E-3</v>
      </c>
      <c r="AD124" s="2" t="s">
        <v>230</v>
      </c>
      <c r="AE124" t="s">
        <v>450</v>
      </c>
      <c r="AF124" t="s">
        <v>327</v>
      </c>
      <c r="AG124" s="2">
        <v>23</v>
      </c>
      <c r="AH124" s="2">
        <v>85</v>
      </c>
      <c r="AI124" s="3"/>
      <c r="AJ124" s="3"/>
      <c r="AK124" s="2"/>
      <c r="AL124" s="2"/>
      <c r="AM124" s="2"/>
      <c r="AN124" s="2"/>
      <c r="AO124" s="2">
        <v>2.0999999999999999E-3</v>
      </c>
      <c r="AP124" s="2" t="s">
        <v>230</v>
      </c>
      <c r="AQ124" t="s">
        <v>450</v>
      </c>
      <c r="AR124" t="s">
        <v>327</v>
      </c>
      <c r="AS124" s="2">
        <v>23</v>
      </c>
      <c r="AT124" s="2">
        <v>85</v>
      </c>
      <c r="AU124" s="3"/>
      <c r="AV124" s="3"/>
      <c r="AW124" s="2"/>
      <c r="AX124" s="2"/>
      <c r="AY124" s="2"/>
      <c r="AZ124" s="2"/>
      <c r="BA124" s="3"/>
      <c r="BB124" s="3"/>
      <c r="BC124" s="2"/>
      <c r="BD124" s="2"/>
      <c r="BE124" s="3"/>
      <c r="BF124" s="19"/>
      <c r="BG124" s="6">
        <v>3</v>
      </c>
      <c r="BH124" s="2"/>
      <c r="BI124" s="2"/>
      <c r="BJ124" s="2"/>
      <c r="BK124" s="2"/>
      <c r="BL124" s="2"/>
      <c r="BM124" s="2"/>
      <c r="BN124" s="3"/>
      <c r="BO124" s="2"/>
      <c r="BP124" s="2"/>
      <c r="BQ124" s="2"/>
      <c r="BR124" s="3"/>
      <c r="BS124" s="2"/>
      <c r="BT124" s="2"/>
      <c r="BU124" s="2"/>
      <c r="BV124" s="2"/>
      <c r="BW124" s="2"/>
      <c r="BX124" s="2"/>
      <c r="BY124" s="2" t="s">
        <v>99</v>
      </c>
      <c r="BZ124" s="2" t="s">
        <v>100</v>
      </c>
      <c r="CA124" s="2"/>
      <c r="CB124" s="2"/>
    </row>
    <row r="125" spans="1:80" ht="158.44999999999999" hidden="1">
      <c r="A125" s="2">
        <v>63</v>
      </c>
      <c r="B125" s="2" t="s">
        <v>445</v>
      </c>
      <c r="C125" s="2" t="s">
        <v>446</v>
      </c>
      <c r="D125" s="6">
        <v>2024</v>
      </c>
      <c r="E125" s="2" t="s">
        <v>447</v>
      </c>
      <c r="F125" s="2" t="s">
        <v>448</v>
      </c>
      <c r="G125" s="2" t="s">
        <v>84</v>
      </c>
      <c r="H125" s="2" t="s">
        <v>85</v>
      </c>
      <c r="I125" s="2" t="s">
        <v>100</v>
      </c>
      <c r="J125" s="3">
        <v>0.64</v>
      </c>
      <c r="K125" s="2" t="s">
        <v>181</v>
      </c>
      <c r="L125" s="2" t="s">
        <v>452</v>
      </c>
      <c r="M125" s="2"/>
      <c r="N125" s="2" t="s">
        <v>129</v>
      </c>
      <c r="O125" s="2"/>
      <c r="P125" s="2"/>
      <c r="Q125" s="2"/>
      <c r="R125" s="2"/>
      <c r="S125" s="2" t="s">
        <v>217</v>
      </c>
      <c r="T125" s="3">
        <v>300</v>
      </c>
      <c r="U125" s="3" t="s">
        <v>230</v>
      </c>
      <c r="V125" s="3">
        <v>5</v>
      </c>
      <c r="W125" s="3"/>
      <c r="X125" s="3"/>
      <c r="Y125" s="2"/>
      <c r="Z125" s="2"/>
      <c r="AA125" s="2"/>
      <c r="AB125" s="2"/>
      <c r="AC125" s="3">
        <v>3.0000000000000001E-3</v>
      </c>
      <c r="AD125" s="2" t="s">
        <v>230</v>
      </c>
      <c r="AE125" t="s">
        <v>450</v>
      </c>
      <c r="AF125" t="s">
        <v>327</v>
      </c>
      <c r="AG125" s="2">
        <v>23</v>
      </c>
      <c r="AH125" s="2">
        <v>0</v>
      </c>
      <c r="AI125" s="3"/>
      <c r="AJ125" s="3"/>
      <c r="AK125" s="2"/>
      <c r="AL125" s="2"/>
      <c r="AM125" s="2"/>
      <c r="AN125" s="2"/>
      <c r="AO125" s="2">
        <v>3.0999999999999999E-3</v>
      </c>
      <c r="AP125" s="2" t="s">
        <v>230</v>
      </c>
      <c r="AQ125" t="s">
        <v>450</v>
      </c>
      <c r="AR125" t="s">
        <v>327</v>
      </c>
      <c r="AS125" s="2">
        <v>23</v>
      </c>
      <c r="AT125" s="2">
        <v>0</v>
      </c>
      <c r="AU125" s="3"/>
      <c r="AV125" s="3"/>
      <c r="AW125" s="2"/>
      <c r="AX125" s="2"/>
      <c r="AY125" s="2"/>
      <c r="AZ125" s="2"/>
      <c r="BA125" s="3"/>
      <c r="BB125" s="3"/>
      <c r="BC125" s="2"/>
      <c r="BD125" s="2"/>
      <c r="BE125" s="3"/>
      <c r="BF125" s="19"/>
      <c r="BG125" s="6">
        <v>3</v>
      </c>
      <c r="BH125" s="2"/>
      <c r="BI125" s="2"/>
      <c r="BJ125" s="2"/>
      <c r="BK125" s="2"/>
      <c r="BL125" s="2"/>
      <c r="BM125" s="2"/>
      <c r="BN125" s="3"/>
      <c r="BO125" s="2"/>
      <c r="BP125" s="2"/>
      <c r="BQ125" s="2"/>
      <c r="BR125" s="3"/>
      <c r="BS125" s="2"/>
      <c r="BT125" s="2"/>
      <c r="BU125" s="2"/>
      <c r="BV125" s="2"/>
      <c r="BW125" s="2"/>
      <c r="BX125" s="2"/>
      <c r="BY125" s="2" t="s">
        <v>99</v>
      </c>
      <c r="BZ125" s="2" t="s">
        <v>100</v>
      </c>
      <c r="CA125" s="2"/>
      <c r="CB125" s="2"/>
    </row>
    <row r="126" spans="1:80" ht="158.44999999999999" hidden="1">
      <c r="A126" s="2">
        <v>63</v>
      </c>
      <c r="B126" s="2" t="s">
        <v>445</v>
      </c>
      <c r="C126" s="2" t="s">
        <v>446</v>
      </c>
      <c r="D126" s="6">
        <v>2024</v>
      </c>
      <c r="E126" s="2" t="s">
        <v>447</v>
      </c>
      <c r="F126" s="2" t="s">
        <v>448</v>
      </c>
      <c r="G126" s="2" t="s">
        <v>84</v>
      </c>
      <c r="H126" s="2" t="s">
        <v>85</v>
      </c>
      <c r="I126" s="2" t="s">
        <v>100</v>
      </c>
      <c r="J126" s="3">
        <v>0.64</v>
      </c>
      <c r="K126" s="2" t="s">
        <v>181</v>
      </c>
      <c r="L126" s="2" t="s">
        <v>452</v>
      </c>
      <c r="M126" s="2"/>
      <c r="N126" s="2" t="s">
        <v>129</v>
      </c>
      <c r="O126" s="2"/>
      <c r="P126" s="2"/>
      <c r="Q126" s="2"/>
      <c r="R126" s="2"/>
      <c r="S126" s="2" t="s">
        <v>217</v>
      </c>
      <c r="T126" s="3">
        <v>300</v>
      </c>
      <c r="U126" s="3" t="s">
        <v>230</v>
      </c>
      <c r="V126" s="3">
        <v>5</v>
      </c>
      <c r="W126" s="3"/>
      <c r="X126" s="3"/>
      <c r="Y126" s="2"/>
      <c r="Z126" s="2"/>
      <c r="AA126" s="2"/>
      <c r="AB126" s="2"/>
      <c r="AC126" s="3">
        <v>4.7000000000000002E-3</v>
      </c>
      <c r="AD126" s="2" t="s">
        <v>230</v>
      </c>
      <c r="AE126" t="s">
        <v>450</v>
      </c>
      <c r="AF126" t="s">
        <v>327</v>
      </c>
      <c r="AG126" s="2">
        <v>23</v>
      </c>
      <c r="AH126" s="2">
        <v>85</v>
      </c>
      <c r="AI126" s="3"/>
      <c r="AJ126" s="3"/>
      <c r="AK126" s="2"/>
      <c r="AL126" s="2"/>
      <c r="AM126" s="2"/>
      <c r="AN126" s="2"/>
      <c r="AO126" s="2">
        <v>3.0999999999999999E-3</v>
      </c>
      <c r="AP126" s="2" t="s">
        <v>230</v>
      </c>
      <c r="AQ126" t="s">
        <v>450</v>
      </c>
      <c r="AR126" t="s">
        <v>327</v>
      </c>
      <c r="AS126" s="2">
        <v>23</v>
      </c>
      <c r="AT126" s="2">
        <v>85</v>
      </c>
      <c r="AU126" s="3"/>
      <c r="AV126" s="3"/>
      <c r="AW126" s="2"/>
      <c r="AX126" s="2"/>
      <c r="AY126" s="2"/>
      <c r="AZ126" s="2"/>
      <c r="BA126" s="3"/>
      <c r="BB126" s="3"/>
      <c r="BC126" s="2"/>
      <c r="BD126" s="2"/>
      <c r="BE126" s="3"/>
      <c r="BF126" s="19"/>
      <c r="BG126" s="6">
        <v>3</v>
      </c>
      <c r="BH126" s="2"/>
      <c r="BI126" s="2"/>
      <c r="BJ126" s="2"/>
      <c r="BK126" s="2"/>
      <c r="BL126" s="2"/>
      <c r="BM126" s="2"/>
      <c r="BN126" s="3"/>
      <c r="BO126" s="2"/>
      <c r="BP126" s="2"/>
      <c r="BQ126" s="2"/>
      <c r="BR126" s="3"/>
      <c r="BS126" s="2"/>
      <c r="BT126" s="2"/>
      <c r="BU126" s="2"/>
      <c r="BV126" s="2"/>
      <c r="BW126" s="2"/>
      <c r="BX126" s="2"/>
      <c r="BY126" s="2" t="s">
        <v>99</v>
      </c>
      <c r="BZ126" s="2" t="s">
        <v>100</v>
      </c>
      <c r="CA126" s="2"/>
      <c r="CB126" s="2"/>
    </row>
    <row r="127" spans="1:80" ht="158.44999999999999" hidden="1">
      <c r="A127" s="2">
        <v>63</v>
      </c>
      <c r="B127" s="2" t="s">
        <v>445</v>
      </c>
      <c r="C127" s="2" t="s">
        <v>446</v>
      </c>
      <c r="D127" s="6">
        <v>2024</v>
      </c>
      <c r="E127" s="2" t="s">
        <v>447</v>
      </c>
      <c r="F127" s="2" t="s">
        <v>448</v>
      </c>
      <c r="G127" s="2" t="s">
        <v>84</v>
      </c>
      <c r="H127" s="2" t="s">
        <v>85</v>
      </c>
      <c r="I127" s="2" t="s">
        <v>100</v>
      </c>
      <c r="J127" s="3">
        <v>0.64</v>
      </c>
      <c r="K127" s="2" t="s">
        <v>181</v>
      </c>
      <c r="L127" s="2" t="s">
        <v>453</v>
      </c>
      <c r="M127" s="2"/>
      <c r="N127" s="2" t="s">
        <v>129</v>
      </c>
      <c r="O127" s="2"/>
      <c r="P127" s="2"/>
      <c r="Q127" s="2"/>
      <c r="R127" s="2"/>
      <c r="S127" s="2" t="s">
        <v>217</v>
      </c>
      <c r="T127" s="3">
        <v>300</v>
      </c>
      <c r="U127" s="3" t="s">
        <v>230</v>
      </c>
      <c r="V127" s="3">
        <v>5</v>
      </c>
      <c r="W127" s="3"/>
      <c r="X127" s="3"/>
      <c r="Y127" s="2"/>
      <c r="Z127" s="2"/>
      <c r="AA127" s="2"/>
      <c r="AB127" s="2"/>
      <c r="AC127" s="3">
        <v>0.3836</v>
      </c>
      <c r="AD127" s="2" t="s">
        <v>230</v>
      </c>
      <c r="AE127" t="s">
        <v>450</v>
      </c>
      <c r="AF127" t="s">
        <v>327</v>
      </c>
      <c r="AG127" s="2">
        <v>23</v>
      </c>
      <c r="AH127" s="2">
        <v>0</v>
      </c>
      <c r="AI127" s="3"/>
      <c r="AJ127" s="3"/>
      <c r="AK127" s="2"/>
      <c r="AL127" s="2"/>
      <c r="AM127" s="2"/>
      <c r="AN127" s="2"/>
      <c r="AO127" s="2">
        <v>0.44319999999999998</v>
      </c>
      <c r="AP127" s="2" t="s">
        <v>230</v>
      </c>
      <c r="AQ127" t="s">
        <v>450</v>
      </c>
      <c r="AR127" t="s">
        <v>327</v>
      </c>
      <c r="AS127" s="2">
        <v>23</v>
      </c>
      <c r="AT127" s="2">
        <v>0</v>
      </c>
      <c r="AU127" s="3"/>
      <c r="AV127" s="3"/>
      <c r="AW127" s="2"/>
      <c r="AX127" s="2"/>
      <c r="AY127" s="2"/>
      <c r="AZ127" s="2"/>
      <c r="BA127" s="3"/>
      <c r="BB127" s="3"/>
      <c r="BC127" s="2"/>
      <c r="BD127" s="2"/>
      <c r="BE127" s="3"/>
      <c r="BF127" s="19"/>
      <c r="BG127" s="6">
        <v>3</v>
      </c>
      <c r="BH127" s="2"/>
      <c r="BI127" s="2"/>
      <c r="BJ127" s="2"/>
      <c r="BK127" s="2"/>
      <c r="BL127" s="2"/>
      <c r="BM127" s="2"/>
      <c r="BN127" s="3"/>
      <c r="BO127" s="2"/>
      <c r="BP127" s="2"/>
      <c r="BQ127" s="2"/>
      <c r="BR127" s="3"/>
      <c r="BS127" s="2"/>
      <c r="BT127" s="2"/>
      <c r="BU127" s="2"/>
      <c r="BV127" s="2"/>
      <c r="BW127" s="2"/>
      <c r="BX127" s="2"/>
      <c r="BY127" s="2" t="s">
        <v>99</v>
      </c>
      <c r="BZ127" s="2" t="s">
        <v>100</v>
      </c>
      <c r="CA127" s="2"/>
      <c r="CB127" s="2"/>
    </row>
    <row r="128" spans="1:80" ht="158.44999999999999" hidden="1">
      <c r="A128" s="2">
        <v>63</v>
      </c>
      <c r="B128" s="2" t="s">
        <v>445</v>
      </c>
      <c r="C128" s="2" t="s">
        <v>446</v>
      </c>
      <c r="D128" s="6">
        <v>2024</v>
      </c>
      <c r="E128" s="2" t="s">
        <v>447</v>
      </c>
      <c r="F128" s="2" t="s">
        <v>448</v>
      </c>
      <c r="G128" s="2" t="s">
        <v>84</v>
      </c>
      <c r="H128" s="2" t="s">
        <v>85</v>
      </c>
      <c r="I128" s="2" t="s">
        <v>100</v>
      </c>
      <c r="J128" s="3">
        <v>0.64</v>
      </c>
      <c r="K128" s="2" t="s">
        <v>181</v>
      </c>
      <c r="L128" s="2" t="s">
        <v>453</v>
      </c>
      <c r="M128" s="2"/>
      <c r="N128" s="2" t="s">
        <v>129</v>
      </c>
      <c r="O128" s="2"/>
      <c r="P128" s="2"/>
      <c r="Q128" s="2"/>
      <c r="R128" s="2"/>
      <c r="S128" s="2" t="s">
        <v>217</v>
      </c>
      <c r="T128" s="3">
        <v>300</v>
      </c>
      <c r="U128" s="3" t="s">
        <v>230</v>
      </c>
      <c r="V128" s="3">
        <v>5</v>
      </c>
      <c r="W128" s="3"/>
      <c r="X128" s="3"/>
      <c r="Y128" s="2"/>
      <c r="Z128" s="2"/>
      <c r="AA128" s="2"/>
      <c r="AB128" s="2"/>
      <c r="AC128" s="3">
        <v>0.6401</v>
      </c>
      <c r="AD128" s="2" t="s">
        <v>230</v>
      </c>
      <c r="AE128" t="s">
        <v>450</v>
      </c>
      <c r="AF128" t="s">
        <v>327</v>
      </c>
      <c r="AG128" s="2">
        <v>23</v>
      </c>
      <c r="AH128" s="2">
        <v>85</v>
      </c>
      <c r="AI128" s="3"/>
      <c r="AJ128" s="3"/>
      <c r="AK128" s="2"/>
      <c r="AL128" s="2"/>
      <c r="AM128" s="2"/>
      <c r="AN128" s="2"/>
      <c r="AO128" s="2">
        <v>0.49540000000000001</v>
      </c>
      <c r="AP128" s="2" t="s">
        <v>230</v>
      </c>
      <c r="AQ128" t="s">
        <v>450</v>
      </c>
      <c r="AR128" t="s">
        <v>327</v>
      </c>
      <c r="AS128" s="2">
        <v>23</v>
      </c>
      <c r="AT128" s="2">
        <v>85</v>
      </c>
      <c r="AU128" s="3"/>
      <c r="AV128" s="3"/>
      <c r="AW128" s="2"/>
      <c r="AX128" s="2"/>
      <c r="AY128" s="2"/>
      <c r="AZ128" s="2"/>
      <c r="BA128" s="3"/>
      <c r="BB128" s="3"/>
      <c r="BC128" s="2"/>
      <c r="BD128" s="2"/>
      <c r="BE128" s="3"/>
      <c r="BF128" s="19"/>
      <c r="BG128" s="6">
        <v>3</v>
      </c>
      <c r="BH128" s="2"/>
      <c r="BI128" s="2"/>
      <c r="BJ128" s="2"/>
      <c r="BK128" s="2"/>
      <c r="BL128" s="2"/>
      <c r="BM128" s="2"/>
      <c r="BN128" s="3"/>
      <c r="BO128" s="2"/>
      <c r="BP128" s="2"/>
      <c r="BQ128" s="2"/>
      <c r="BR128" s="3"/>
      <c r="BS128" s="2"/>
      <c r="BT128" s="2"/>
      <c r="BU128" s="2"/>
      <c r="BV128" s="2"/>
      <c r="BW128" s="2"/>
      <c r="BX128" s="2"/>
      <c r="BY128" s="2" t="s">
        <v>99</v>
      </c>
      <c r="BZ128" s="2" t="s">
        <v>100</v>
      </c>
      <c r="CA128" s="2"/>
      <c r="CB128" s="2"/>
    </row>
    <row r="129" spans="1:80" ht="86.45" hidden="1">
      <c r="A129" s="2">
        <v>64</v>
      </c>
      <c r="B129" s="2" t="s">
        <v>454</v>
      </c>
      <c r="C129" s="2" t="s">
        <v>455</v>
      </c>
      <c r="D129" s="6">
        <v>2024</v>
      </c>
      <c r="E129" s="2" t="s">
        <v>456</v>
      </c>
      <c r="F129" s="2" t="s">
        <v>457</v>
      </c>
      <c r="G129" s="2" t="s">
        <v>84</v>
      </c>
      <c r="H129" s="2" t="s">
        <v>85</v>
      </c>
      <c r="I129" s="2" t="s">
        <v>100</v>
      </c>
      <c r="J129" s="3">
        <v>0.71</v>
      </c>
      <c r="K129" s="2" t="s">
        <v>181</v>
      </c>
      <c r="L129" s="2" t="s">
        <v>303</v>
      </c>
      <c r="M129" s="2"/>
      <c r="N129" s="2" t="s">
        <v>141</v>
      </c>
      <c r="O129" s="2"/>
      <c r="P129" s="2"/>
      <c r="Q129" s="2" t="s">
        <v>458</v>
      </c>
      <c r="R129" s="2"/>
      <c r="S129" s="2" t="s">
        <v>90</v>
      </c>
      <c r="T129" s="3">
        <v>151</v>
      </c>
      <c r="U129" s="3">
        <v>3</v>
      </c>
      <c r="V129" s="3">
        <v>10</v>
      </c>
      <c r="W129" s="3"/>
      <c r="X129" s="3"/>
      <c r="Y129" s="2"/>
      <c r="Z129" s="2"/>
      <c r="AA129" s="2"/>
      <c r="AB129" s="2"/>
      <c r="AC129" s="3"/>
      <c r="AD129" s="3"/>
      <c r="AE129" s="3"/>
      <c r="AF129" s="2"/>
      <c r="AG129" s="2"/>
      <c r="AH129" s="2"/>
      <c r="AI129" s="3"/>
      <c r="AJ129" s="3"/>
      <c r="AK129" s="2"/>
      <c r="AL129" s="2"/>
      <c r="AM129" s="2"/>
      <c r="AN129" s="2"/>
      <c r="AO129" s="2"/>
      <c r="AP129" s="2"/>
      <c r="AQ129" s="2"/>
      <c r="AR129" s="2"/>
      <c r="AS129" s="2"/>
      <c r="AT129" s="2"/>
      <c r="AU129" s="3">
        <v>5.0499999999999997E-9</v>
      </c>
      <c r="AV129" s="3" t="s">
        <v>230</v>
      </c>
      <c r="AW129" s="9" t="s">
        <v>459</v>
      </c>
      <c r="AX129" s="2" t="s">
        <v>92</v>
      </c>
      <c r="AY129" s="3">
        <v>25</v>
      </c>
      <c r="AZ129" s="4">
        <v>0.53</v>
      </c>
      <c r="BA129" s="3"/>
      <c r="BB129" s="3"/>
      <c r="BC129" s="2"/>
      <c r="BE129"/>
      <c r="BF129" s="20"/>
      <c r="BG129" s="6">
        <v>3</v>
      </c>
      <c r="BH129" s="2"/>
      <c r="BI129" s="2"/>
      <c r="BJ129" s="2"/>
      <c r="BK129" s="2"/>
      <c r="BL129" s="2"/>
      <c r="BM129" s="2"/>
      <c r="BN129" s="3"/>
      <c r="BO129" s="2"/>
      <c r="BP129" s="2"/>
      <c r="BQ129" s="2"/>
      <c r="BR129" s="3"/>
      <c r="BS129" s="2"/>
      <c r="BT129" s="2"/>
      <c r="BU129" s="2"/>
      <c r="BV129" s="2"/>
      <c r="BW129" s="2"/>
      <c r="BX129" s="2"/>
      <c r="BY129" s="2" t="s">
        <v>99</v>
      </c>
      <c r="BZ129" s="2" t="s">
        <v>100</v>
      </c>
      <c r="CA129" s="2"/>
      <c r="CB129" s="2"/>
    </row>
    <row r="130" spans="1:80" ht="86.45" hidden="1">
      <c r="A130" s="2">
        <v>64</v>
      </c>
      <c r="B130" s="2" t="s">
        <v>454</v>
      </c>
      <c r="C130" s="2" t="s">
        <v>455</v>
      </c>
      <c r="D130" s="6">
        <v>2024</v>
      </c>
      <c r="E130" s="2" t="s">
        <v>456</v>
      </c>
      <c r="F130" s="2" t="s">
        <v>457</v>
      </c>
      <c r="G130" s="2" t="s">
        <v>84</v>
      </c>
      <c r="H130" s="2" t="s">
        <v>85</v>
      </c>
      <c r="I130" s="2" t="s">
        <v>100</v>
      </c>
      <c r="J130" s="3">
        <v>0.71</v>
      </c>
      <c r="K130" s="2" t="s">
        <v>181</v>
      </c>
      <c r="L130" s="2" t="s">
        <v>303</v>
      </c>
      <c r="M130" s="2"/>
      <c r="N130" s="2" t="s">
        <v>141</v>
      </c>
      <c r="O130" s="2"/>
      <c r="P130" s="2"/>
      <c r="Q130" s="2" t="s">
        <v>458</v>
      </c>
      <c r="R130" s="2"/>
      <c r="S130" s="2" t="s">
        <v>90</v>
      </c>
      <c r="T130" s="3">
        <v>200</v>
      </c>
      <c r="U130" s="3">
        <v>3</v>
      </c>
      <c r="V130" s="3">
        <v>10</v>
      </c>
      <c r="W130" s="3"/>
      <c r="X130" s="3"/>
      <c r="Y130" s="2"/>
      <c r="Z130" s="2"/>
      <c r="AA130" s="2"/>
      <c r="AB130" s="2"/>
      <c r="AC130" s="3"/>
      <c r="AD130" s="3"/>
      <c r="AE130" s="3"/>
      <c r="AF130" s="2"/>
      <c r="AG130" s="2"/>
      <c r="AH130" s="2"/>
      <c r="AI130" s="3"/>
      <c r="AJ130" s="3"/>
      <c r="AK130" s="2"/>
      <c r="AL130" s="2"/>
      <c r="AM130" s="2"/>
      <c r="AN130" s="2"/>
      <c r="AO130" s="2"/>
      <c r="AP130" s="2"/>
      <c r="AQ130" s="2"/>
      <c r="AR130" s="2"/>
      <c r="AS130" s="2"/>
      <c r="AT130" s="2"/>
      <c r="AU130" s="3">
        <v>5.2700000000000002E-9</v>
      </c>
      <c r="AV130" s="3" t="s">
        <v>230</v>
      </c>
      <c r="AW130" s="9" t="s">
        <v>459</v>
      </c>
      <c r="AX130" s="2" t="s">
        <v>92</v>
      </c>
      <c r="AY130" s="3">
        <v>25</v>
      </c>
      <c r="AZ130" s="4">
        <v>0.53</v>
      </c>
      <c r="BA130" s="3"/>
      <c r="BB130" s="3"/>
      <c r="BC130" s="2"/>
      <c r="BE130"/>
      <c r="BF130" s="20"/>
      <c r="BG130" s="6">
        <v>3</v>
      </c>
      <c r="BH130" s="2"/>
      <c r="BI130" s="2"/>
      <c r="BJ130" s="2"/>
      <c r="BK130" s="2"/>
      <c r="BL130" s="2"/>
      <c r="BM130" s="2"/>
      <c r="BN130" s="3"/>
      <c r="BO130" s="2"/>
      <c r="BP130" s="2"/>
      <c r="BQ130" s="2"/>
      <c r="BR130" s="3"/>
      <c r="BS130" s="2"/>
      <c r="BT130" s="2"/>
      <c r="BU130" s="2"/>
      <c r="BV130" s="2"/>
      <c r="BW130" s="2"/>
      <c r="BX130" s="2"/>
      <c r="BY130" s="2" t="s">
        <v>99</v>
      </c>
      <c r="BZ130" s="2" t="s">
        <v>100</v>
      </c>
      <c r="CA130" s="2"/>
      <c r="CB130" s="2"/>
    </row>
    <row r="131" spans="1:80" ht="100.9" hidden="1">
      <c r="A131" s="2">
        <v>65</v>
      </c>
      <c r="B131" s="2" t="s">
        <v>460</v>
      </c>
      <c r="C131" s="2" t="s">
        <v>461</v>
      </c>
      <c r="D131" s="6">
        <v>2024</v>
      </c>
      <c r="E131" s="2" t="s">
        <v>462</v>
      </c>
      <c r="F131" s="2" t="s">
        <v>463</v>
      </c>
      <c r="G131" s="2" t="s">
        <v>84</v>
      </c>
      <c r="H131" s="2" t="s">
        <v>85</v>
      </c>
      <c r="I131" s="2" t="s">
        <v>100</v>
      </c>
      <c r="J131" s="3"/>
      <c r="K131" s="2" t="s">
        <v>115</v>
      </c>
      <c r="L131" s="2"/>
      <c r="M131" s="2"/>
      <c r="N131" s="2"/>
      <c r="O131" s="2"/>
      <c r="P131" s="2"/>
      <c r="Q131" s="2"/>
      <c r="R131" s="2"/>
      <c r="S131" s="2"/>
      <c r="T131" s="3"/>
      <c r="U131" s="3"/>
      <c r="V131" s="3"/>
      <c r="W131" s="3"/>
      <c r="X131" s="3"/>
      <c r="Y131" s="2"/>
      <c r="Z131" s="2"/>
      <c r="AA131" s="2"/>
      <c r="AB131" s="2"/>
      <c r="AC131" s="3"/>
      <c r="AD131" s="3"/>
      <c r="AE131" s="3"/>
      <c r="AF131" s="2"/>
      <c r="AG131" s="2"/>
      <c r="AH131" s="2"/>
      <c r="AI131" s="3"/>
      <c r="AJ131" s="3"/>
      <c r="AK131" s="2"/>
      <c r="AL131" s="2"/>
      <c r="AM131" s="2"/>
      <c r="AN131" s="2"/>
      <c r="AO131" s="2"/>
      <c r="AP131" s="2"/>
      <c r="AQ131" s="2"/>
      <c r="AR131" s="2"/>
      <c r="AS131" s="2"/>
      <c r="AT131" s="2"/>
      <c r="AU131" s="3"/>
      <c r="AV131" s="3"/>
      <c r="AW131" s="2"/>
      <c r="AX131" s="2"/>
      <c r="AY131" s="2"/>
      <c r="AZ131" s="2"/>
      <c r="BA131" s="3"/>
      <c r="BB131" s="3"/>
      <c r="BC131" s="2"/>
      <c r="BD131" s="2"/>
      <c r="BE131" s="3"/>
      <c r="BF131" s="19"/>
      <c r="BG131" s="6"/>
      <c r="BH131" s="2"/>
      <c r="BI131" s="2"/>
      <c r="BJ131" s="2"/>
      <c r="BK131" s="2"/>
      <c r="BL131" s="2"/>
      <c r="BM131" s="2"/>
      <c r="BN131" s="3"/>
      <c r="BO131" s="2"/>
      <c r="BP131" s="2"/>
      <c r="BQ131" s="2"/>
      <c r="BR131" s="3"/>
      <c r="BS131" s="2"/>
      <c r="BT131" s="2"/>
      <c r="BU131" s="2"/>
      <c r="BV131" s="2"/>
      <c r="BW131" s="2"/>
      <c r="BX131" s="2"/>
      <c r="BY131" s="2" t="s">
        <v>99</v>
      </c>
      <c r="BZ131" s="2"/>
      <c r="CA131" s="2"/>
      <c r="CB131" s="2"/>
    </row>
    <row r="132" spans="1:80" ht="57.6" hidden="1">
      <c r="A132">
        <v>66</v>
      </c>
      <c r="B132" t="s">
        <v>464</v>
      </c>
      <c r="C132" t="s">
        <v>465</v>
      </c>
      <c r="D132" s="6">
        <v>2024</v>
      </c>
      <c r="E132" t="s">
        <v>82</v>
      </c>
      <c r="F132" t="s">
        <v>466</v>
      </c>
      <c r="G132" s="2" t="s">
        <v>84</v>
      </c>
      <c r="H132" s="2" t="s">
        <v>85</v>
      </c>
      <c r="I132" s="2" t="s">
        <v>100</v>
      </c>
      <c r="J132" s="3"/>
      <c r="K132" s="2" t="s">
        <v>115</v>
      </c>
      <c r="T132" s="3"/>
      <c r="U132" s="3"/>
      <c r="V132" s="3"/>
      <c r="W132" s="3"/>
      <c r="X132" s="3"/>
      <c r="AC132" s="3"/>
      <c r="AD132" s="3"/>
      <c r="AE132" s="3"/>
      <c r="AI132" s="3"/>
      <c r="AJ132" s="3"/>
      <c r="AU132" s="3"/>
      <c r="AV132" s="3"/>
      <c r="BA132" s="3"/>
      <c r="BB132" s="3"/>
      <c r="BE132" s="3"/>
      <c r="BF132" s="19"/>
      <c r="BG132" s="6"/>
      <c r="BN132" s="3"/>
      <c r="BR132" s="3"/>
      <c r="BY132" s="2" t="s">
        <v>99</v>
      </c>
    </row>
    <row r="133" spans="1:80" ht="16.149999999999999" hidden="1">
      <c r="A133">
        <v>67</v>
      </c>
      <c r="B133" t="s">
        <v>467</v>
      </c>
      <c r="C133" t="s">
        <v>468</v>
      </c>
      <c r="D133" s="6">
        <v>2024</v>
      </c>
      <c r="E133" t="s">
        <v>198</v>
      </c>
      <c r="F133" t="s">
        <v>469</v>
      </c>
      <c r="G133" s="2" t="s">
        <v>84</v>
      </c>
      <c r="H133" s="2" t="s">
        <v>85</v>
      </c>
      <c r="I133" t="s">
        <v>100</v>
      </c>
      <c r="J133" s="3"/>
      <c r="K133" t="s">
        <v>160</v>
      </c>
      <c r="L133" t="s">
        <v>470</v>
      </c>
      <c r="N133" t="s">
        <v>471</v>
      </c>
      <c r="T133" s="3"/>
      <c r="U133" s="3"/>
      <c r="V133" s="3">
        <v>3</v>
      </c>
      <c r="W133" s="3"/>
      <c r="X133" s="3"/>
      <c r="AC133" s="3"/>
      <c r="AD133" s="3"/>
      <c r="AE133" s="3"/>
      <c r="AI133" s="3"/>
      <c r="AJ133" s="3"/>
      <c r="AU133" s="3">
        <v>222.03</v>
      </c>
      <c r="AV133" s="3">
        <v>40.75</v>
      </c>
      <c r="AW133" t="s">
        <v>472</v>
      </c>
      <c r="AX133" t="s">
        <v>230</v>
      </c>
      <c r="AY133">
        <v>22</v>
      </c>
      <c r="AZ133">
        <v>75</v>
      </c>
      <c r="BA133" s="3"/>
      <c r="BB133" s="3"/>
      <c r="BE133" s="3"/>
      <c r="BF133" s="19"/>
      <c r="BG133" s="6"/>
      <c r="BN133" s="3"/>
      <c r="BR133" s="3"/>
      <c r="BY133" s="2" t="s">
        <v>99</v>
      </c>
    </row>
    <row r="134" spans="1:80" ht="129.6" hidden="1">
      <c r="A134" s="2">
        <v>68</v>
      </c>
      <c r="B134" s="2" t="s">
        <v>473</v>
      </c>
      <c r="C134" s="2" t="s">
        <v>474</v>
      </c>
      <c r="D134" s="6">
        <v>2024</v>
      </c>
      <c r="E134" s="2" t="s">
        <v>229</v>
      </c>
      <c r="F134" s="2" t="s">
        <v>475</v>
      </c>
      <c r="G134" s="2" t="s">
        <v>84</v>
      </c>
      <c r="H134" s="2" t="s">
        <v>85</v>
      </c>
      <c r="I134" s="2" t="s">
        <v>100</v>
      </c>
      <c r="J134" s="3"/>
      <c r="K134" s="2" t="s">
        <v>115</v>
      </c>
      <c r="L134" s="2"/>
      <c r="M134" s="2"/>
      <c r="N134" s="2"/>
      <c r="O134" s="2"/>
      <c r="P134" s="2"/>
      <c r="Q134" s="2"/>
      <c r="R134" s="2"/>
      <c r="S134" s="2"/>
      <c r="T134" s="3"/>
      <c r="U134" s="3"/>
      <c r="V134" s="3"/>
      <c r="W134" s="3"/>
      <c r="X134" s="3"/>
      <c r="Y134" s="2"/>
      <c r="Z134" s="2"/>
      <c r="AA134" s="2"/>
      <c r="AB134" s="2"/>
      <c r="AC134" s="3"/>
      <c r="AD134" s="3"/>
      <c r="AE134" s="3"/>
      <c r="AF134" s="2"/>
      <c r="AG134" s="2"/>
      <c r="AH134" s="2"/>
      <c r="AI134" s="3"/>
      <c r="AJ134" s="3"/>
      <c r="AK134" s="2"/>
      <c r="AL134" s="2"/>
      <c r="AM134" s="2"/>
      <c r="AN134" s="2"/>
      <c r="AO134" s="2"/>
      <c r="AP134" s="2"/>
      <c r="AQ134" s="2"/>
      <c r="AR134" s="2"/>
      <c r="AS134" s="2"/>
      <c r="AT134" s="2"/>
      <c r="AU134" s="3"/>
      <c r="AV134" s="3"/>
      <c r="AW134" s="2"/>
      <c r="AX134" s="2"/>
      <c r="AY134" s="2"/>
      <c r="AZ134" s="2"/>
      <c r="BA134" s="3"/>
      <c r="BB134" s="3"/>
      <c r="BC134" s="2"/>
      <c r="BD134" s="2"/>
      <c r="BE134" s="3"/>
      <c r="BF134" s="19"/>
      <c r="BG134" s="6"/>
      <c r="BH134" s="2"/>
      <c r="BI134" s="2"/>
      <c r="BJ134" s="2"/>
      <c r="BK134" s="2"/>
      <c r="BL134" s="2"/>
      <c r="BM134" s="2"/>
      <c r="BN134" s="3"/>
      <c r="BO134" s="2"/>
      <c r="BP134" s="2"/>
      <c r="BQ134" s="2"/>
      <c r="BR134" s="3"/>
      <c r="BS134" s="2"/>
      <c r="BT134" s="2"/>
      <c r="BU134" s="2"/>
      <c r="BV134" s="2"/>
      <c r="BW134" s="2"/>
      <c r="BX134" s="2"/>
      <c r="BY134" s="2" t="s">
        <v>99</v>
      </c>
      <c r="BZ134" s="2"/>
      <c r="CA134" s="2"/>
      <c r="CB134" s="2"/>
    </row>
    <row r="135" spans="1:80" ht="158.44999999999999" hidden="1">
      <c r="A135" s="2">
        <v>69</v>
      </c>
      <c r="B135" s="2" t="s">
        <v>476</v>
      </c>
      <c r="C135" s="2" t="s">
        <v>477</v>
      </c>
      <c r="D135" s="6">
        <v>2024</v>
      </c>
      <c r="E135" s="2" t="s">
        <v>478</v>
      </c>
      <c r="F135" s="2" t="s">
        <v>479</v>
      </c>
      <c r="G135" s="2" t="s">
        <v>84</v>
      </c>
      <c r="H135" s="2" t="s">
        <v>85</v>
      </c>
      <c r="I135" s="2" t="s">
        <v>100</v>
      </c>
      <c r="J135" s="3"/>
      <c r="K135" s="2" t="s">
        <v>115</v>
      </c>
      <c r="L135" s="2"/>
      <c r="M135" s="2"/>
      <c r="N135" s="2"/>
      <c r="O135" s="2"/>
      <c r="P135" s="2"/>
      <c r="Q135" s="2"/>
      <c r="R135" s="2"/>
      <c r="S135" s="2"/>
      <c r="T135" s="3"/>
      <c r="U135" s="3"/>
      <c r="V135" s="3"/>
      <c r="W135" s="3"/>
      <c r="X135" s="3"/>
      <c r="Y135" s="2"/>
      <c r="Z135" s="2"/>
      <c r="AA135" s="2"/>
      <c r="AB135" s="2"/>
      <c r="AC135" s="3"/>
      <c r="AD135" s="3"/>
      <c r="AE135" s="3"/>
      <c r="AF135" s="2"/>
      <c r="AG135" s="2"/>
      <c r="AH135" s="2"/>
      <c r="AI135" s="3"/>
      <c r="AJ135" s="3"/>
      <c r="AK135" s="2"/>
      <c r="AL135" s="2"/>
      <c r="AM135" s="2"/>
      <c r="AN135" s="2"/>
      <c r="AO135" s="2"/>
      <c r="AP135" s="2"/>
      <c r="AQ135" s="2"/>
      <c r="AR135" s="2"/>
      <c r="AS135" s="2"/>
      <c r="AT135" s="2"/>
      <c r="AU135" s="3"/>
      <c r="AV135" s="3"/>
      <c r="AW135" s="2"/>
      <c r="AX135" s="2"/>
      <c r="AY135" s="2"/>
      <c r="AZ135" s="2"/>
      <c r="BA135" s="3"/>
      <c r="BB135" s="3"/>
      <c r="BC135" s="2"/>
      <c r="BD135" s="2"/>
      <c r="BE135" s="3"/>
      <c r="BF135" s="19"/>
      <c r="BG135" s="6"/>
      <c r="BH135" s="2"/>
      <c r="BI135" s="2"/>
      <c r="BJ135" s="2"/>
      <c r="BK135" s="2"/>
      <c r="BL135" s="2"/>
      <c r="BM135" s="2"/>
      <c r="BN135" s="3"/>
      <c r="BO135" s="2"/>
      <c r="BP135" s="2"/>
      <c r="BQ135" s="2"/>
      <c r="BR135" s="3"/>
      <c r="BS135" s="2"/>
      <c r="BT135" s="2"/>
      <c r="BU135" s="2"/>
      <c r="BV135" s="2"/>
      <c r="BW135" s="2"/>
      <c r="BX135" s="2"/>
      <c r="BY135" s="2" t="s">
        <v>99</v>
      </c>
      <c r="BZ135" s="2"/>
      <c r="CA135" s="2"/>
      <c r="CB135" s="2"/>
    </row>
    <row r="136" spans="1:80" ht="129.6" hidden="1">
      <c r="A136" s="2">
        <v>70</v>
      </c>
      <c r="B136" s="2" t="s">
        <v>480</v>
      </c>
      <c r="C136" s="2" t="s">
        <v>481</v>
      </c>
      <c r="D136" s="6">
        <v>2024</v>
      </c>
      <c r="E136" s="2" t="s">
        <v>82</v>
      </c>
      <c r="F136" s="2" t="s">
        <v>482</v>
      </c>
      <c r="G136" s="2" t="s">
        <v>84</v>
      </c>
      <c r="H136" s="2" t="s">
        <v>85</v>
      </c>
      <c r="I136" s="2" t="s">
        <v>100</v>
      </c>
      <c r="J136" s="3"/>
      <c r="K136" s="2" t="s">
        <v>115</v>
      </c>
      <c r="L136" s="2"/>
      <c r="M136" s="2"/>
      <c r="N136" s="2"/>
      <c r="O136" s="2"/>
      <c r="P136" s="2"/>
      <c r="Q136" s="2"/>
      <c r="R136" s="2"/>
      <c r="S136" s="2"/>
      <c r="T136" s="3"/>
      <c r="U136" s="3"/>
      <c r="V136" s="3"/>
      <c r="W136" s="3"/>
      <c r="X136" s="3"/>
      <c r="Y136" s="2"/>
      <c r="Z136" s="2"/>
      <c r="AA136" s="2"/>
      <c r="AB136" s="2"/>
      <c r="AC136" s="3"/>
      <c r="AD136" s="3"/>
      <c r="AE136" s="3"/>
      <c r="AF136" s="2"/>
      <c r="AG136" s="2"/>
      <c r="AH136" s="2"/>
      <c r="AI136" s="3"/>
      <c r="AJ136" s="3"/>
      <c r="AK136" s="2"/>
      <c r="AL136" s="2"/>
      <c r="AM136" s="2"/>
      <c r="AN136" s="2"/>
      <c r="AO136" s="2"/>
      <c r="AP136" s="2"/>
      <c r="AQ136" s="2"/>
      <c r="AR136" s="2"/>
      <c r="AS136" s="2"/>
      <c r="AT136" s="2"/>
      <c r="AU136" s="3"/>
      <c r="AV136" s="3"/>
      <c r="AW136" s="2"/>
      <c r="AX136" s="2"/>
      <c r="AY136" s="2"/>
      <c r="AZ136" s="2"/>
      <c r="BA136" s="3"/>
      <c r="BB136" s="3"/>
      <c r="BC136" s="2"/>
      <c r="BD136" s="2"/>
      <c r="BE136" s="3"/>
      <c r="BF136" s="19"/>
      <c r="BG136" s="6"/>
      <c r="BH136" s="2"/>
      <c r="BI136" s="2"/>
      <c r="BJ136" s="2"/>
      <c r="BK136" s="2"/>
      <c r="BL136" s="2"/>
      <c r="BM136" s="2"/>
      <c r="BN136" s="3"/>
      <c r="BO136" s="2"/>
      <c r="BP136" s="2"/>
      <c r="BQ136" s="2"/>
      <c r="BR136" s="3"/>
      <c r="BS136" s="2"/>
      <c r="BT136" s="2"/>
      <c r="BU136" s="2"/>
      <c r="BV136" s="2"/>
      <c r="BW136" s="2"/>
      <c r="BX136" s="2"/>
      <c r="BY136" s="2" t="s">
        <v>99</v>
      </c>
      <c r="BZ136" s="2"/>
      <c r="CA136" s="2"/>
      <c r="CB136" s="2"/>
    </row>
    <row r="137" spans="1:80" ht="409.6">
      <c r="A137" s="5">
        <v>71</v>
      </c>
      <c r="B137" s="5" t="s">
        <v>483</v>
      </c>
      <c r="C137" s="5" t="s">
        <v>484</v>
      </c>
      <c r="D137" s="6">
        <v>2024</v>
      </c>
      <c r="E137" s="5" t="s">
        <v>118</v>
      </c>
      <c r="F137" s="5" t="s">
        <v>485</v>
      </c>
      <c r="G137" s="2" t="s">
        <v>84</v>
      </c>
      <c r="H137" s="2" t="s">
        <v>85</v>
      </c>
      <c r="I137" s="5" t="s">
        <v>84</v>
      </c>
      <c r="J137" s="3">
        <v>0.93</v>
      </c>
      <c r="K137" s="5"/>
      <c r="L137" s="5" t="s">
        <v>486</v>
      </c>
      <c r="M137" s="5" t="s">
        <v>486</v>
      </c>
      <c r="N137" s="5" t="s">
        <v>129</v>
      </c>
      <c r="O137" s="2" t="s">
        <v>84</v>
      </c>
      <c r="P137" s="2" t="s">
        <v>84</v>
      </c>
      <c r="Q137" s="5" t="s">
        <v>100</v>
      </c>
      <c r="R137" s="21">
        <v>0</v>
      </c>
      <c r="S137" s="5" t="s">
        <v>182</v>
      </c>
      <c r="T137" s="3">
        <v>500</v>
      </c>
      <c r="U137" s="3" t="s">
        <v>218</v>
      </c>
      <c r="V137" s="3" t="s">
        <v>218</v>
      </c>
      <c r="W137" s="3">
        <v>2.16E+19</v>
      </c>
      <c r="X137" s="3">
        <v>8E+17</v>
      </c>
      <c r="Y137" s="5" t="s">
        <v>487</v>
      </c>
      <c r="Z137" s="5" t="s">
        <v>253</v>
      </c>
      <c r="AA137" s="5">
        <v>25</v>
      </c>
      <c r="AB137" s="5">
        <v>53</v>
      </c>
      <c r="AC137" s="3"/>
      <c r="AD137" s="3"/>
      <c r="AE137" s="3"/>
      <c r="AF137" s="5"/>
      <c r="AG137" s="5"/>
      <c r="AH137" s="5"/>
      <c r="AI137" s="3"/>
      <c r="AJ137" s="3"/>
      <c r="AK137" s="5"/>
      <c r="AL137" s="5"/>
      <c r="AM137" s="5"/>
      <c r="AN137" s="5"/>
      <c r="AO137" s="5"/>
      <c r="AP137" s="5"/>
      <c r="AQ137" s="5"/>
      <c r="AR137" s="5"/>
      <c r="AS137" s="5"/>
      <c r="AT137" s="5"/>
      <c r="AU137" s="3"/>
      <c r="AV137" s="3"/>
      <c r="AW137" s="5"/>
      <c r="AX137" s="5"/>
      <c r="AY137" s="5"/>
      <c r="AZ137" s="5"/>
      <c r="BA137" s="3">
        <v>19000000000000</v>
      </c>
      <c r="BB137" s="3">
        <v>4000000000000</v>
      </c>
      <c r="BC137" s="5" t="s">
        <v>488</v>
      </c>
      <c r="BD137" s="5" t="s">
        <v>92</v>
      </c>
      <c r="BE137" s="3">
        <v>25</v>
      </c>
      <c r="BF137" s="19">
        <v>0.53</v>
      </c>
      <c r="BG137" s="6">
        <v>3</v>
      </c>
      <c r="BH137" s="5" t="s">
        <v>395</v>
      </c>
      <c r="BI137" s="5"/>
      <c r="BJ137" s="5"/>
      <c r="BK137" s="5"/>
      <c r="BL137" s="22" t="s">
        <v>489</v>
      </c>
      <c r="BM137" s="5" t="s">
        <v>490</v>
      </c>
      <c r="BN137" s="3"/>
      <c r="BO137" s="5"/>
      <c r="BP137" s="5"/>
      <c r="BQ137" s="5"/>
      <c r="BR137" s="3"/>
      <c r="BS137" s="5"/>
      <c r="BT137" s="22">
        <v>2.2999999999999999E-15</v>
      </c>
      <c r="BU137" s="5" t="s">
        <v>491</v>
      </c>
      <c r="BV137" s="5" t="s">
        <v>96</v>
      </c>
      <c r="BW137" s="5" t="s">
        <v>398</v>
      </c>
      <c r="BX137" s="5" t="s">
        <v>98</v>
      </c>
      <c r="BY137" s="2" t="s">
        <v>99</v>
      </c>
      <c r="BZ137" s="5" t="s">
        <v>100</v>
      </c>
      <c r="CA137" s="5" t="s">
        <v>492</v>
      </c>
      <c r="CB137" s="5"/>
    </row>
    <row r="138" spans="1:80" ht="409.6">
      <c r="A138" s="5">
        <v>71</v>
      </c>
      <c r="B138" s="5" t="s">
        <v>483</v>
      </c>
      <c r="C138" s="5" t="s">
        <v>484</v>
      </c>
      <c r="D138" s="6">
        <v>2024</v>
      </c>
      <c r="E138" s="5" t="s">
        <v>118</v>
      </c>
      <c r="F138" s="5" t="s">
        <v>485</v>
      </c>
      <c r="G138" s="2" t="s">
        <v>84</v>
      </c>
      <c r="H138" s="2" t="s">
        <v>85</v>
      </c>
      <c r="I138" s="5" t="s">
        <v>84</v>
      </c>
      <c r="J138" s="3">
        <v>0.93</v>
      </c>
      <c r="K138" s="5"/>
      <c r="L138" s="5" t="s">
        <v>493</v>
      </c>
      <c r="M138" s="5" t="s">
        <v>493</v>
      </c>
      <c r="N138" s="5" t="s">
        <v>129</v>
      </c>
      <c r="O138" s="2" t="s">
        <v>84</v>
      </c>
      <c r="P138" s="2" t="s">
        <v>84</v>
      </c>
      <c r="Q138" s="5" t="s">
        <v>100</v>
      </c>
      <c r="R138" s="21">
        <v>0</v>
      </c>
      <c r="S138" s="5" t="s">
        <v>182</v>
      </c>
      <c r="T138" s="3">
        <v>500</v>
      </c>
      <c r="U138" s="3" t="s">
        <v>218</v>
      </c>
      <c r="V138" s="3" t="s">
        <v>218</v>
      </c>
      <c r="W138" s="3">
        <v>7.962E+20</v>
      </c>
      <c r="X138" s="3">
        <v>1.94E+19</v>
      </c>
      <c r="Y138" s="5" t="s">
        <v>487</v>
      </c>
      <c r="Z138" s="5" t="s">
        <v>253</v>
      </c>
      <c r="AA138" s="5">
        <v>25</v>
      </c>
      <c r="AB138" s="5">
        <v>53</v>
      </c>
      <c r="AC138" s="3"/>
      <c r="AD138" s="3"/>
      <c r="AE138" s="3"/>
      <c r="AF138" s="5"/>
      <c r="AG138" s="5"/>
      <c r="AH138" s="5"/>
      <c r="AI138" s="3"/>
      <c r="AJ138" s="3"/>
      <c r="AK138" s="5"/>
      <c r="AL138" s="5"/>
      <c r="AM138" s="5"/>
      <c r="AN138" s="5"/>
      <c r="AO138" s="5"/>
      <c r="AP138" s="5"/>
      <c r="AQ138" s="5"/>
      <c r="AR138" s="5"/>
      <c r="AS138" s="5"/>
      <c r="AT138" s="5"/>
      <c r="AU138" s="3"/>
      <c r="AV138" s="3"/>
      <c r="AW138" s="5"/>
      <c r="AX138" s="5"/>
      <c r="AY138" s="5"/>
      <c r="AZ138" s="5"/>
      <c r="BA138" s="3">
        <v>279000000000000</v>
      </c>
      <c r="BB138" s="3">
        <v>17000000000000</v>
      </c>
      <c r="BC138" s="5" t="s">
        <v>488</v>
      </c>
      <c r="BD138" s="5" t="s">
        <v>92</v>
      </c>
      <c r="BE138" s="3">
        <v>25</v>
      </c>
      <c r="BF138" s="19">
        <v>0.53</v>
      </c>
      <c r="BG138" s="6">
        <v>3</v>
      </c>
      <c r="BH138" s="5" t="s">
        <v>395</v>
      </c>
      <c r="BI138" s="5"/>
      <c r="BJ138" s="5"/>
      <c r="BK138" s="5"/>
      <c r="BL138" s="5"/>
      <c r="BM138" s="5"/>
      <c r="BN138" s="3"/>
      <c r="BO138" s="5"/>
      <c r="BP138" s="5"/>
      <c r="BQ138" s="5"/>
      <c r="BR138" s="3"/>
      <c r="BS138" s="5"/>
      <c r="BT138" s="22">
        <v>2.2999999999999999E-15</v>
      </c>
      <c r="BU138" s="5" t="s">
        <v>491</v>
      </c>
      <c r="BV138" s="5" t="s">
        <v>96</v>
      </c>
      <c r="BW138" s="5" t="s">
        <v>398</v>
      </c>
      <c r="BX138" s="5" t="s">
        <v>98</v>
      </c>
      <c r="BY138" s="2" t="s">
        <v>99</v>
      </c>
      <c r="BZ138" s="5" t="s">
        <v>100</v>
      </c>
      <c r="CA138" s="5" t="s">
        <v>492</v>
      </c>
      <c r="CB138" s="5"/>
    </row>
    <row r="139" spans="1:80" ht="403.15">
      <c r="A139" s="2">
        <v>72</v>
      </c>
      <c r="B139" s="2" t="s">
        <v>494</v>
      </c>
      <c r="C139" s="2" t="s">
        <v>495</v>
      </c>
      <c r="D139" s="6">
        <v>2024</v>
      </c>
      <c r="E139" s="2" t="s">
        <v>118</v>
      </c>
      <c r="F139" s="2" t="s">
        <v>496</v>
      </c>
      <c r="G139" s="2" t="s">
        <v>84</v>
      </c>
      <c r="H139" s="2" t="s">
        <v>85</v>
      </c>
      <c r="I139" s="2" t="s">
        <v>84</v>
      </c>
      <c r="J139" s="3">
        <v>0.79</v>
      </c>
      <c r="K139" s="2"/>
      <c r="L139" s="2" t="s">
        <v>497</v>
      </c>
      <c r="M139" s="2" t="s">
        <v>334</v>
      </c>
      <c r="N139" s="2" t="s">
        <v>129</v>
      </c>
      <c r="O139" s="2" t="s">
        <v>84</v>
      </c>
      <c r="P139" s="2" t="s">
        <v>84</v>
      </c>
      <c r="Q139" s="5" t="s">
        <v>100</v>
      </c>
      <c r="R139" s="21">
        <v>0</v>
      </c>
      <c r="S139" s="2" t="s">
        <v>498</v>
      </c>
      <c r="T139" s="3">
        <v>100</v>
      </c>
      <c r="U139" s="3" t="s">
        <v>218</v>
      </c>
      <c r="V139" s="3" t="s">
        <v>218</v>
      </c>
      <c r="W139" s="3"/>
      <c r="X139" s="3"/>
      <c r="Y139" s="2"/>
      <c r="Z139" s="2"/>
      <c r="AA139" s="2"/>
      <c r="AB139" s="2"/>
      <c r="AC139" s="3">
        <v>0.19</v>
      </c>
      <c r="AD139" s="3" t="s">
        <v>230</v>
      </c>
      <c r="AE139" s="23" t="s">
        <v>499</v>
      </c>
      <c r="AF139" s="2" t="s">
        <v>327</v>
      </c>
      <c r="AG139" s="2">
        <v>23</v>
      </c>
      <c r="AH139" s="2">
        <v>0</v>
      </c>
      <c r="AI139" s="3"/>
      <c r="AJ139" s="3"/>
      <c r="AK139" s="2"/>
      <c r="AL139" s="2"/>
      <c r="AM139" s="2"/>
      <c r="AN139" s="2"/>
      <c r="AO139" s="2">
        <v>0.5</v>
      </c>
      <c r="AP139" s="2" t="s">
        <v>230</v>
      </c>
      <c r="AQ139" s="23" t="s">
        <v>499</v>
      </c>
      <c r="AR139" s="2" t="s">
        <v>327</v>
      </c>
      <c r="AS139" s="2">
        <v>23</v>
      </c>
      <c r="AT139" s="2">
        <v>0</v>
      </c>
      <c r="AU139" s="3"/>
      <c r="AV139" s="3"/>
      <c r="AW139" s="2"/>
      <c r="AX139" s="2"/>
      <c r="AY139" s="2"/>
      <c r="AZ139" s="2"/>
      <c r="BA139" s="3"/>
      <c r="BB139" s="3"/>
      <c r="BC139" s="2"/>
      <c r="BD139" s="2"/>
      <c r="BE139" s="3"/>
      <c r="BF139" s="19"/>
      <c r="BG139" s="6">
        <v>3</v>
      </c>
      <c r="BH139" s="2" t="s">
        <v>500</v>
      </c>
      <c r="BI139" s="2"/>
      <c r="BJ139" s="2"/>
      <c r="BK139" s="2"/>
      <c r="BL139" s="5"/>
      <c r="BM139" s="2"/>
      <c r="BN139" s="2" t="s">
        <v>501</v>
      </c>
      <c r="BO139" s="23" t="s">
        <v>499</v>
      </c>
      <c r="BP139" s="2" t="s">
        <v>502</v>
      </c>
      <c r="BQ139" s="23" t="s">
        <v>499</v>
      </c>
      <c r="BR139" s="5"/>
      <c r="BS139" s="2"/>
      <c r="BT139" s="2"/>
      <c r="BU139" s="2"/>
      <c r="BV139" s="3" t="s">
        <v>96</v>
      </c>
      <c r="BW139" s="2" t="s">
        <v>133</v>
      </c>
      <c r="BX139" s="2" t="s">
        <v>98</v>
      </c>
      <c r="BY139" s="2" t="s">
        <v>99</v>
      </c>
      <c r="BZ139" s="2" t="s">
        <v>100</v>
      </c>
      <c r="CA139" s="5" t="s">
        <v>503</v>
      </c>
      <c r="CB139" s="2"/>
    </row>
    <row r="140" spans="1:80" ht="403.15" hidden="1">
      <c r="A140" s="2">
        <v>72</v>
      </c>
      <c r="B140" s="2" t="s">
        <v>494</v>
      </c>
      <c r="C140" s="2" t="s">
        <v>495</v>
      </c>
      <c r="D140" s="6">
        <v>2024</v>
      </c>
      <c r="E140" s="2" t="s">
        <v>118</v>
      </c>
      <c r="F140" s="2" t="s">
        <v>496</v>
      </c>
      <c r="G140" s="2" t="s">
        <v>84</v>
      </c>
      <c r="H140" s="2" t="s">
        <v>85</v>
      </c>
      <c r="I140" s="2" t="s">
        <v>84</v>
      </c>
      <c r="J140" s="3">
        <v>0.79</v>
      </c>
      <c r="K140" s="2"/>
      <c r="L140" s="2" t="s">
        <v>504</v>
      </c>
      <c r="M140" s="2" t="s">
        <v>334</v>
      </c>
      <c r="N140" s="2" t="s">
        <v>129</v>
      </c>
      <c r="O140" s="2" t="s">
        <v>84</v>
      </c>
      <c r="P140" s="2" t="s">
        <v>84</v>
      </c>
      <c r="Q140" s="5" t="s">
        <v>100</v>
      </c>
      <c r="R140" s="21">
        <v>0</v>
      </c>
      <c r="S140" s="2" t="s">
        <v>498</v>
      </c>
      <c r="T140" s="3">
        <v>100</v>
      </c>
      <c r="U140" s="3" t="s">
        <v>218</v>
      </c>
      <c r="V140" s="3" t="s">
        <v>218</v>
      </c>
      <c r="W140" s="3"/>
      <c r="X140" s="3"/>
      <c r="Y140" s="2"/>
      <c r="Z140" s="2"/>
      <c r="AA140" s="2"/>
      <c r="AB140" s="2"/>
      <c r="AC140" s="3">
        <v>1.6000000000000001E-3</v>
      </c>
      <c r="AD140" s="3" t="s">
        <v>230</v>
      </c>
      <c r="AE140" s="23" t="s">
        <v>499</v>
      </c>
      <c r="AF140" s="2" t="s">
        <v>327</v>
      </c>
      <c r="AG140" s="2">
        <v>23</v>
      </c>
      <c r="AH140" s="2">
        <v>0</v>
      </c>
      <c r="AI140" s="3"/>
      <c r="AJ140" s="3"/>
      <c r="AK140" s="2"/>
      <c r="AL140" s="2"/>
      <c r="AM140" s="2"/>
      <c r="AN140" s="2"/>
      <c r="AO140" s="2">
        <v>1.4E-3</v>
      </c>
      <c r="AP140" s="2" t="s">
        <v>230</v>
      </c>
      <c r="AQ140" s="23" t="s">
        <v>499</v>
      </c>
      <c r="AR140" s="2" t="s">
        <v>327</v>
      </c>
      <c r="AS140" s="2">
        <v>23</v>
      </c>
      <c r="AT140" s="2">
        <v>0</v>
      </c>
      <c r="AU140" s="3"/>
      <c r="AV140" s="3"/>
      <c r="AW140" s="2"/>
      <c r="AX140" s="2"/>
      <c r="AY140" s="2"/>
      <c r="AZ140" s="2"/>
      <c r="BA140" s="3"/>
      <c r="BB140" s="3"/>
      <c r="BC140" s="2"/>
      <c r="BD140" s="2"/>
      <c r="BE140" s="3"/>
      <c r="BF140" s="19"/>
      <c r="BG140" s="6">
        <v>3</v>
      </c>
      <c r="BH140" s="2"/>
      <c r="BI140" s="2"/>
      <c r="BJ140" s="2"/>
      <c r="BK140" s="2"/>
      <c r="BL140" s="2"/>
      <c r="BM140" s="2"/>
      <c r="BN140" s="2" t="s">
        <v>501</v>
      </c>
      <c r="BO140" s="23" t="s">
        <v>499</v>
      </c>
      <c r="BP140" s="2" t="s">
        <v>502</v>
      </c>
      <c r="BQ140" s="23" t="s">
        <v>499</v>
      </c>
      <c r="BR140" s="3"/>
      <c r="BS140" s="2"/>
      <c r="BT140" s="2"/>
      <c r="BU140" s="2"/>
      <c r="BV140" s="3" t="s">
        <v>96</v>
      </c>
      <c r="BW140" s="2" t="s">
        <v>133</v>
      </c>
      <c r="BX140" s="2" t="s">
        <v>98</v>
      </c>
      <c r="BY140" s="2" t="s">
        <v>99</v>
      </c>
      <c r="BZ140" s="2" t="s">
        <v>100</v>
      </c>
      <c r="CA140" s="5" t="s">
        <v>503</v>
      </c>
      <c r="CB140" s="2"/>
    </row>
    <row r="141" spans="1:80" ht="273.60000000000002" hidden="1">
      <c r="A141" s="5">
        <v>73</v>
      </c>
      <c r="B141" s="5" t="s">
        <v>505</v>
      </c>
      <c r="C141" s="5" t="s">
        <v>506</v>
      </c>
      <c r="D141" s="6">
        <v>2024</v>
      </c>
      <c r="E141" s="5" t="s">
        <v>507</v>
      </c>
      <c r="F141" s="5" t="s">
        <v>508</v>
      </c>
      <c r="G141" s="2" t="s">
        <v>84</v>
      </c>
      <c r="H141" s="2" t="s">
        <v>85</v>
      </c>
      <c r="I141" s="5" t="s">
        <v>84</v>
      </c>
      <c r="J141" s="3">
        <v>1</v>
      </c>
      <c r="K141" s="5"/>
      <c r="L141" s="5" t="s">
        <v>509</v>
      </c>
      <c r="M141" s="5" t="s">
        <v>232</v>
      </c>
      <c r="N141" s="5" t="s">
        <v>141</v>
      </c>
      <c r="O141" s="2" t="s">
        <v>84</v>
      </c>
      <c r="P141" s="2" t="s">
        <v>84</v>
      </c>
      <c r="Q141" s="5" t="s">
        <v>142</v>
      </c>
      <c r="R141" s="21">
        <v>0.1</v>
      </c>
      <c r="S141" s="5" t="s">
        <v>90</v>
      </c>
      <c r="T141" s="3">
        <v>120</v>
      </c>
      <c r="U141" s="3">
        <v>50</v>
      </c>
      <c r="V141" s="3">
        <v>5</v>
      </c>
      <c r="W141" s="3"/>
      <c r="X141" s="3"/>
      <c r="Y141" s="5"/>
      <c r="Z141" s="5"/>
      <c r="AA141" s="5"/>
      <c r="AB141" s="5"/>
      <c r="AC141" s="3"/>
      <c r="AD141" s="3"/>
      <c r="AE141" s="3"/>
      <c r="AF141" s="5"/>
      <c r="AG141" s="5"/>
      <c r="AH141" s="5"/>
      <c r="AI141" s="3"/>
      <c r="AJ141" s="3"/>
      <c r="AK141" s="5"/>
      <c r="AL141" s="5"/>
      <c r="AM141" s="5"/>
      <c r="AN141" s="5"/>
      <c r="AO141" s="5"/>
      <c r="AP141" s="5"/>
      <c r="AQ141" s="5"/>
      <c r="AR141" s="5"/>
      <c r="AS141" s="5"/>
      <c r="AT141" s="5"/>
      <c r="AU141" s="3">
        <v>757</v>
      </c>
      <c r="AV141" s="3">
        <v>94</v>
      </c>
      <c r="AW141" s="5" t="s">
        <v>510</v>
      </c>
      <c r="AX141" s="5" t="s">
        <v>92</v>
      </c>
      <c r="AY141" s="3">
        <v>30</v>
      </c>
      <c r="AZ141" s="4">
        <v>0</v>
      </c>
      <c r="BA141" s="3">
        <v>2.11</v>
      </c>
      <c r="BB141" s="3">
        <v>0.32</v>
      </c>
      <c r="BC141" s="5" t="s">
        <v>511</v>
      </c>
      <c r="BD141" s="5" t="s">
        <v>92</v>
      </c>
      <c r="BE141" s="3">
        <v>30</v>
      </c>
      <c r="BF141" s="19">
        <v>0</v>
      </c>
      <c r="BG141" s="6">
        <v>3</v>
      </c>
      <c r="BH141" s="5"/>
      <c r="BI141" s="5"/>
      <c r="BJ141" s="5"/>
      <c r="BK141" s="5"/>
      <c r="BL141" s="5"/>
      <c r="BM141" s="5"/>
      <c r="BN141" s="3"/>
      <c r="BO141" s="5"/>
      <c r="BP141" s="5"/>
      <c r="BQ141" s="5"/>
      <c r="BR141" s="3"/>
      <c r="BS141" s="5"/>
      <c r="BT141" s="5"/>
      <c r="BU141" s="5"/>
      <c r="BV141" s="5"/>
      <c r="BW141" s="5"/>
      <c r="BX141" s="5" t="s">
        <v>98</v>
      </c>
      <c r="BY141" s="2" t="s">
        <v>99</v>
      </c>
      <c r="BZ141" s="5" t="s">
        <v>84</v>
      </c>
      <c r="CA141" s="5" t="s">
        <v>512</v>
      </c>
      <c r="CB141" s="5"/>
    </row>
    <row r="142" spans="1:80" ht="144" hidden="1">
      <c r="A142" s="2">
        <v>74</v>
      </c>
      <c r="B142" s="2" t="s">
        <v>513</v>
      </c>
      <c r="C142" s="2" t="s">
        <v>514</v>
      </c>
      <c r="D142" s="6">
        <v>2024</v>
      </c>
      <c r="E142" s="2" t="s">
        <v>118</v>
      </c>
      <c r="F142" s="2" t="s">
        <v>515</v>
      </c>
      <c r="G142" s="2" t="s">
        <v>84</v>
      </c>
      <c r="H142" s="2" t="s">
        <v>85</v>
      </c>
      <c r="I142" s="2" t="s">
        <v>100</v>
      </c>
      <c r="J142" s="3"/>
      <c r="K142" s="2" t="s">
        <v>160</v>
      </c>
      <c r="L142" s="2"/>
      <c r="M142" s="2"/>
      <c r="N142" s="2"/>
      <c r="O142" s="2"/>
      <c r="P142" s="2"/>
      <c r="S142" s="2"/>
      <c r="T142" s="3"/>
      <c r="U142" s="3"/>
      <c r="V142" s="3"/>
      <c r="W142" s="3"/>
      <c r="X142" s="3"/>
      <c r="Y142" s="2"/>
      <c r="Z142" s="2"/>
      <c r="AA142" s="2"/>
      <c r="AB142" s="2"/>
      <c r="AC142" s="3"/>
      <c r="AD142" s="3"/>
      <c r="AE142" s="3"/>
      <c r="AF142" s="2"/>
      <c r="AG142" s="2"/>
      <c r="AH142" s="2"/>
      <c r="AI142" s="3"/>
      <c r="AJ142" s="3"/>
      <c r="AK142" s="2"/>
      <c r="AL142" s="2"/>
      <c r="AM142" s="2"/>
      <c r="AN142" s="2"/>
      <c r="AO142" s="2"/>
      <c r="AP142" s="2"/>
      <c r="AQ142" s="2"/>
      <c r="AR142" s="2"/>
      <c r="AS142" s="2"/>
      <c r="AT142" s="2"/>
      <c r="AU142" s="3"/>
      <c r="AV142" s="3"/>
      <c r="AW142" s="2"/>
      <c r="AX142" s="2"/>
      <c r="AY142" s="2"/>
      <c r="AZ142" s="2"/>
      <c r="BA142" s="3"/>
      <c r="BB142" s="3"/>
      <c r="BC142" s="2"/>
      <c r="BD142" s="2"/>
      <c r="BE142" s="3"/>
      <c r="BF142" s="19"/>
      <c r="BG142" s="6"/>
      <c r="BH142" s="2"/>
      <c r="BI142" s="2"/>
      <c r="BJ142" s="2"/>
      <c r="BK142" s="2"/>
      <c r="BL142" s="2"/>
      <c r="BM142" s="2"/>
      <c r="BN142" s="3"/>
      <c r="BO142" s="2"/>
      <c r="BP142" s="2"/>
      <c r="BQ142" s="2"/>
      <c r="BR142" s="3"/>
      <c r="BS142" s="2"/>
      <c r="BT142" s="2"/>
      <c r="BU142" s="2"/>
      <c r="BV142" s="2"/>
      <c r="BW142" s="2"/>
      <c r="BX142" s="2"/>
      <c r="BY142" s="2" t="s">
        <v>99</v>
      </c>
      <c r="BZ142" s="2"/>
      <c r="CA142" s="2"/>
      <c r="CB142" s="2"/>
    </row>
    <row r="143" spans="1:80" ht="57.6" hidden="1">
      <c r="A143">
        <v>75</v>
      </c>
      <c r="B143" t="s">
        <v>516</v>
      </c>
      <c r="C143" t="s">
        <v>517</v>
      </c>
      <c r="D143" s="6">
        <v>2024</v>
      </c>
      <c r="E143" t="s">
        <v>518</v>
      </c>
      <c r="F143" t="s">
        <v>519</v>
      </c>
      <c r="G143" s="2" t="s">
        <v>84</v>
      </c>
      <c r="H143" s="2" t="s">
        <v>85</v>
      </c>
      <c r="I143" s="2" t="s">
        <v>100</v>
      </c>
      <c r="J143" s="3"/>
      <c r="K143" s="2" t="s">
        <v>115</v>
      </c>
      <c r="T143" s="3"/>
      <c r="U143" s="3"/>
      <c r="V143" s="3"/>
      <c r="W143" s="3"/>
      <c r="X143" s="3"/>
      <c r="AC143" s="3"/>
      <c r="AD143" s="3"/>
      <c r="AE143" s="3"/>
      <c r="AI143" s="3"/>
      <c r="AJ143" s="3"/>
      <c r="AU143" s="3"/>
      <c r="AV143" s="3"/>
      <c r="BA143" s="3"/>
      <c r="BB143" s="3"/>
      <c r="BE143" s="3"/>
      <c r="BF143" s="19"/>
      <c r="BG143" s="6"/>
      <c r="BN143" s="3"/>
      <c r="BR143" s="3"/>
      <c r="BY143" s="2" t="s">
        <v>99</v>
      </c>
    </row>
    <row r="144" spans="1:80" ht="72" hidden="1">
      <c r="A144" s="2">
        <v>76</v>
      </c>
      <c r="B144" s="2" t="s">
        <v>520</v>
      </c>
      <c r="C144" s="2" t="s">
        <v>521</v>
      </c>
      <c r="D144" s="6">
        <v>2024</v>
      </c>
      <c r="E144" s="2" t="s">
        <v>118</v>
      </c>
      <c r="F144" s="2" t="s">
        <v>522</v>
      </c>
      <c r="G144" s="2" t="s">
        <v>84</v>
      </c>
      <c r="H144" s="2" t="s">
        <v>85</v>
      </c>
      <c r="I144" s="2" t="s">
        <v>100</v>
      </c>
      <c r="J144" s="3"/>
      <c r="K144" s="2" t="s">
        <v>160</v>
      </c>
      <c r="L144" s="2"/>
      <c r="M144" s="2"/>
      <c r="N144" s="2"/>
      <c r="O144" s="2"/>
      <c r="P144" s="2"/>
      <c r="S144" s="2"/>
      <c r="T144" s="3"/>
      <c r="U144" s="3"/>
      <c r="V144" s="3"/>
      <c r="W144" s="3"/>
      <c r="X144" s="3"/>
      <c r="Y144" s="2"/>
      <c r="Z144" s="2"/>
      <c r="AA144" s="2"/>
      <c r="AB144" s="2"/>
      <c r="AC144" s="3"/>
      <c r="AD144" s="3"/>
      <c r="AE144" s="3"/>
      <c r="AF144" s="2"/>
      <c r="AG144" s="2"/>
      <c r="AH144" s="2"/>
      <c r="AI144" s="3"/>
      <c r="AJ144" s="3"/>
      <c r="AK144" s="2"/>
      <c r="AL144" s="2"/>
      <c r="AM144" s="2"/>
      <c r="AN144" s="2"/>
      <c r="AO144" s="2"/>
      <c r="AP144" s="2"/>
      <c r="AQ144" s="2"/>
      <c r="AR144" s="2"/>
      <c r="AS144" s="2"/>
      <c r="AT144" s="2"/>
      <c r="AU144" s="3"/>
      <c r="AV144" s="3"/>
      <c r="AW144" s="2"/>
      <c r="AX144" s="2"/>
      <c r="AY144" s="2"/>
      <c r="AZ144" s="2"/>
      <c r="BA144" s="3"/>
      <c r="BB144" s="3"/>
      <c r="BC144" s="2"/>
      <c r="BD144" s="2"/>
      <c r="BE144" s="3"/>
      <c r="BF144" s="19"/>
      <c r="BG144" s="6"/>
      <c r="BH144" s="2"/>
      <c r="BI144" s="2"/>
      <c r="BJ144" s="2"/>
      <c r="BK144" s="2"/>
      <c r="BL144" s="2"/>
      <c r="BM144" s="2"/>
      <c r="BN144" s="3"/>
      <c r="BO144" s="2"/>
      <c r="BP144" s="2"/>
      <c r="BQ144" s="2"/>
      <c r="BR144" s="3"/>
      <c r="BS144" s="2"/>
      <c r="BT144" s="2"/>
      <c r="BU144" s="2"/>
      <c r="BV144" s="2"/>
      <c r="BW144" s="2"/>
      <c r="BX144" s="2"/>
      <c r="BY144" s="2" t="s">
        <v>99</v>
      </c>
      <c r="BZ144" s="2"/>
      <c r="CA144" s="2"/>
      <c r="CB144" s="2"/>
    </row>
    <row r="145" spans="1:80" ht="72" hidden="1">
      <c r="A145" s="2">
        <v>77</v>
      </c>
      <c r="B145" s="2" t="s">
        <v>523</v>
      </c>
      <c r="C145" s="2" t="s">
        <v>524</v>
      </c>
      <c r="D145" s="6">
        <v>2024</v>
      </c>
      <c r="E145" s="2" t="s">
        <v>137</v>
      </c>
      <c r="F145" s="2" t="s">
        <v>525</v>
      </c>
      <c r="G145" s="2" t="s">
        <v>84</v>
      </c>
      <c r="H145" s="2" t="s">
        <v>85</v>
      </c>
      <c r="I145" s="2" t="s">
        <v>100</v>
      </c>
      <c r="J145" s="3">
        <v>0.71</v>
      </c>
      <c r="K145" s="2" t="s">
        <v>181</v>
      </c>
      <c r="L145" s="2" t="s">
        <v>229</v>
      </c>
      <c r="M145" s="2"/>
      <c r="N145" s="2" t="s">
        <v>141</v>
      </c>
      <c r="O145" s="2"/>
      <c r="P145" s="2"/>
      <c r="S145" s="2" t="s">
        <v>90</v>
      </c>
      <c r="T145" s="3">
        <v>70</v>
      </c>
      <c r="U145" s="3" t="s">
        <v>230</v>
      </c>
      <c r="V145" s="3" t="s">
        <v>230</v>
      </c>
      <c r="W145" s="3"/>
      <c r="X145" s="3"/>
      <c r="Y145" s="2"/>
      <c r="AC145" s="3"/>
      <c r="AD145" s="3"/>
      <c r="AE145" s="3"/>
      <c r="AF145" s="2" t="s">
        <v>526</v>
      </c>
      <c r="AG145" s="2" t="s">
        <v>230</v>
      </c>
      <c r="AH145" s="2" t="s">
        <v>230</v>
      </c>
      <c r="AI145" s="3"/>
      <c r="AJ145" s="3"/>
      <c r="AK145" s="2"/>
      <c r="AL145" s="2"/>
      <c r="AM145" s="2"/>
      <c r="AN145" s="2"/>
      <c r="AO145" s="2"/>
      <c r="AP145" s="2"/>
      <c r="AQ145" s="2"/>
      <c r="AR145" s="2"/>
      <c r="AS145" s="2"/>
      <c r="AT145" s="2"/>
      <c r="AU145" s="3">
        <v>2555.56</v>
      </c>
      <c r="AV145" s="3" t="s">
        <v>230</v>
      </c>
      <c r="AW145" t="s">
        <v>205</v>
      </c>
      <c r="AX145" s="2" t="s">
        <v>92</v>
      </c>
      <c r="AY145" s="2" t="s">
        <v>527</v>
      </c>
      <c r="AZ145" s="2">
        <v>100</v>
      </c>
      <c r="BA145" s="3"/>
      <c r="BB145" s="3"/>
      <c r="BC145" s="2"/>
      <c r="BE145" s="3"/>
      <c r="BF145" s="19"/>
      <c r="BG145" s="6" t="s">
        <v>528</v>
      </c>
      <c r="BH145" s="2"/>
      <c r="BI145" s="2"/>
      <c r="BJ145" s="2"/>
      <c r="BK145" s="2"/>
      <c r="BL145" s="2"/>
      <c r="BM145" s="2"/>
      <c r="BN145" s="3"/>
      <c r="BO145" s="2"/>
      <c r="BP145" s="2"/>
      <c r="BQ145" s="2"/>
      <c r="BR145" s="3"/>
      <c r="BS145" s="2"/>
      <c r="BT145" s="2"/>
      <c r="BU145" s="2"/>
      <c r="BV145" s="2"/>
      <c r="BW145" s="2"/>
      <c r="BX145" s="2"/>
      <c r="BY145" s="2" t="s">
        <v>99</v>
      </c>
      <c r="BZ145" s="2" t="s">
        <v>84</v>
      </c>
      <c r="CA145" s="2"/>
      <c r="CB145" s="2" t="s">
        <v>529</v>
      </c>
    </row>
    <row r="146" spans="1:80" ht="72" hidden="1">
      <c r="A146" s="2">
        <v>77</v>
      </c>
      <c r="B146" s="2" t="s">
        <v>523</v>
      </c>
      <c r="C146" s="2" t="s">
        <v>524</v>
      </c>
      <c r="D146" s="6">
        <v>2024</v>
      </c>
      <c r="E146" s="2" t="s">
        <v>137</v>
      </c>
      <c r="F146" s="2" t="s">
        <v>525</v>
      </c>
      <c r="G146" s="2" t="s">
        <v>84</v>
      </c>
      <c r="H146" s="2" t="s">
        <v>85</v>
      </c>
      <c r="I146" s="2" t="s">
        <v>100</v>
      </c>
      <c r="J146" s="3">
        <v>0.71</v>
      </c>
      <c r="K146" s="2" t="s">
        <v>181</v>
      </c>
      <c r="L146" s="2" t="s">
        <v>229</v>
      </c>
      <c r="M146" s="2"/>
      <c r="N146" s="2" t="s">
        <v>141</v>
      </c>
      <c r="O146" s="2"/>
      <c r="P146" s="2"/>
      <c r="Q146" s="2" t="s">
        <v>530</v>
      </c>
      <c r="R146" s="2"/>
      <c r="S146" s="2" t="s">
        <v>90</v>
      </c>
      <c r="T146" s="3">
        <v>70</v>
      </c>
      <c r="U146" s="3" t="s">
        <v>230</v>
      </c>
      <c r="V146" s="3" t="s">
        <v>230</v>
      </c>
      <c r="W146" s="3"/>
      <c r="X146" s="3"/>
      <c r="Y146" s="2"/>
      <c r="AC146" s="3"/>
      <c r="AD146" s="3"/>
      <c r="AE146" s="3"/>
      <c r="AF146" s="2" t="s">
        <v>526</v>
      </c>
      <c r="AG146" s="2" t="s">
        <v>230</v>
      </c>
      <c r="AH146" s="2" t="s">
        <v>230</v>
      </c>
      <c r="AI146" s="3"/>
      <c r="AJ146" s="3"/>
      <c r="AK146" s="2"/>
      <c r="AL146" s="2"/>
      <c r="AM146" s="2"/>
      <c r="AN146" s="2"/>
      <c r="AO146" s="2"/>
      <c r="AP146" s="2"/>
      <c r="AQ146" s="2"/>
      <c r="AR146" s="2"/>
      <c r="AS146" s="2"/>
      <c r="AT146" s="2"/>
      <c r="AU146" s="3">
        <v>3194.44</v>
      </c>
      <c r="AV146" s="3" t="s">
        <v>230</v>
      </c>
      <c r="AW146" t="s">
        <v>205</v>
      </c>
      <c r="AX146" s="2" t="s">
        <v>92</v>
      </c>
      <c r="AY146" s="2" t="s">
        <v>527</v>
      </c>
      <c r="AZ146" s="2">
        <v>100</v>
      </c>
      <c r="BA146" s="3"/>
      <c r="BB146" s="3"/>
      <c r="BC146" s="2"/>
      <c r="BE146" s="3"/>
      <c r="BF146" s="19"/>
      <c r="BG146" s="6" t="s">
        <v>528</v>
      </c>
      <c r="BH146" s="2"/>
      <c r="BI146" s="2"/>
      <c r="BJ146" s="2"/>
      <c r="BK146" s="2"/>
      <c r="BL146" s="2"/>
      <c r="BM146" s="2"/>
      <c r="BN146" s="3"/>
      <c r="BO146" s="2"/>
      <c r="BP146" s="2"/>
      <c r="BQ146" s="2"/>
      <c r="BR146" s="3"/>
      <c r="BS146" s="2"/>
      <c r="BT146" s="2"/>
      <c r="BU146" s="2"/>
      <c r="BV146" s="2"/>
      <c r="BW146" s="2"/>
      <c r="BX146" s="2"/>
      <c r="BY146" s="2" t="s">
        <v>99</v>
      </c>
      <c r="BZ146" s="2" t="s">
        <v>84</v>
      </c>
      <c r="CA146" s="2"/>
      <c r="CB146" s="2" t="s">
        <v>529</v>
      </c>
    </row>
    <row r="147" spans="1:80" ht="72" hidden="1">
      <c r="A147" s="2">
        <v>77</v>
      </c>
      <c r="B147" s="2" t="s">
        <v>523</v>
      </c>
      <c r="C147" s="2" t="s">
        <v>524</v>
      </c>
      <c r="D147" s="6">
        <v>2024</v>
      </c>
      <c r="E147" s="2" t="s">
        <v>137</v>
      </c>
      <c r="F147" s="2" t="s">
        <v>525</v>
      </c>
      <c r="G147" s="2" t="s">
        <v>84</v>
      </c>
      <c r="H147" s="2" t="s">
        <v>85</v>
      </c>
      <c r="I147" s="2" t="s">
        <v>100</v>
      </c>
      <c r="J147" s="3">
        <v>0.71</v>
      </c>
      <c r="K147" s="2" t="s">
        <v>181</v>
      </c>
      <c r="L147" s="2" t="s">
        <v>229</v>
      </c>
      <c r="M147" s="2"/>
      <c r="N147" s="2" t="s">
        <v>141</v>
      </c>
      <c r="O147" s="2"/>
      <c r="P147" s="2"/>
      <c r="Q147" s="2" t="s">
        <v>531</v>
      </c>
      <c r="R147" s="2"/>
      <c r="S147" s="2" t="s">
        <v>90</v>
      </c>
      <c r="T147" s="3">
        <v>70</v>
      </c>
      <c r="U147" s="3" t="s">
        <v>230</v>
      </c>
      <c r="V147" s="3" t="s">
        <v>230</v>
      </c>
      <c r="W147" s="3"/>
      <c r="X147" s="3"/>
      <c r="Y147" s="2"/>
      <c r="AC147" s="3"/>
      <c r="AD147" s="3"/>
      <c r="AE147" s="3"/>
      <c r="AF147" s="2" t="s">
        <v>526</v>
      </c>
      <c r="AG147" s="2" t="s">
        <v>230</v>
      </c>
      <c r="AH147" s="2" t="s">
        <v>230</v>
      </c>
      <c r="AI147" s="3"/>
      <c r="AJ147" s="3"/>
      <c r="AK147" s="2"/>
      <c r="AL147" s="2"/>
      <c r="AM147" s="2"/>
      <c r="AN147" s="2"/>
      <c r="AO147" s="2"/>
      <c r="AP147" s="2"/>
      <c r="AQ147" s="2"/>
      <c r="AR147" s="2"/>
      <c r="AS147" s="2"/>
      <c r="AT147" s="2"/>
      <c r="AU147" s="3">
        <v>4088.89</v>
      </c>
      <c r="AV147" s="3" t="s">
        <v>230</v>
      </c>
      <c r="AW147" t="s">
        <v>205</v>
      </c>
      <c r="AX147" s="2" t="s">
        <v>92</v>
      </c>
      <c r="AY147" s="2" t="s">
        <v>527</v>
      </c>
      <c r="AZ147" s="2">
        <v>100</v>
      </c>
      <c r="BA147" s="3"/>
      <c r="BB147" s="3"/>
      <c r="BC147" s="2"/>
      <c r="BE147" s="3"/>
      <c r="BF147" s="19"/>
      <c r="BG147" s="6" t="s">
        <v>528</v>
      </c>
      <c r="BH147" s="2"/>
      <c r="BI147" s="2"/>
      <c r="BJ147" s="2"/>
      <c r="BK147" s="2"/>
      <c r="BL147" s="2"/>
      <c r="BM147" s="2"/>
      <c r="BN147" s="3"/>
      <c r="BO147" s="2"/>
      <c r="BP147" s="2"/>
      <c r="BQ147" s="2"/>
      <c r="BR147" s="3"/>
      <c r="BS147" s="2"/>
      <c r="BT147" s="2"/>
      <c r="BU147" s="2"/>
      <c r="BV147" s="2"/>
      <c r="BW147" s="2"/>
      <c r="BX147" s="2"/>
      <c r="BY147" s="2" t="s">
        <v>99</v>
      </c>
      <c r="BZ147" s="2" t="s">
        <v>84</v>
      </c>
      <c r="CA147" s="2"/>
      <c r="CB147" s="2" t="s">
        <v>529</v>
      </c>
    </row>
    <row r="148" spans="1:80" ht="72" hidden="1">
      <c r="A148" s="2">
        <v>77</v>
      </c>
      <c r="B148" s="2" t="s">
        <v>523</v>
      </c>
      <c r="C148" s="2" t="s">
        <v>524</v>
      </c>
      <c r="D148" s="6">
        <v>2024</v>
      </c>
      <c r="E148" s="2" t="s">
        <v>137</v>
      </c>
      <c r="F148" s="2" t="s">
        <v>525</v>
      </c>
      <c r="G148" s="2" t="s">
        <v>84</v>
      </c>
      <c r="H148" s="2" t="s">
        <v>85</v>
      </c>
      <c r="I148" s="2" t="s">
        <v>100</v>
      </c>
      <c r="J148" s="3">
        <v>0.71</v>
      </c>
      <c r="K148" s="2" t="s">
        <v>181</v>
      </c>
      <c r="L148" s="2" t="s">
        <v>229</v>
      </c>
      <c r="M148" s="2"/>
      <c r="N148" s="2" t="s">
        <v>141</v>
      </c>
      <c r="O148" s="2"/>
      <c r="P148" s="2"/>
      <c r="Q148" s="2" t="s">
        <v>377</v>
      </c>
      <c r="R148" s="2"/>
      <c r="S148" s="2" t="s">
        <v>90</v>
      </c>
      <c r="T148" s="3">
        <v>70</v>
      </c>
      <c r="U148" s="3" t="s">
        <v>230</v>
      </c>
      <c r="V148" s="3" t="s">
        <v>230</v>
      </c>
      <c r="W148" s="3"/>
      <c r="X148" s="3"/>
      <c r="Y148" s="2"/>
      <c r="AC148" s="3"/>
      <c r="AD148" s="3"/>
      <c r="AE148" s="3"/>
      <c r="AF148" s="2" t="s">
        <v>526</v>
      </c>
      <c r="AG148" s="2" t="s">
        <v>230</v>
      </c>
      <c r="AH148" s="2" t="s">
        <v>230</v>
      </c>
      <c r="AI148" s="3"/>
      <c r="AJ148" s="3"/>
      <c r="AK148" s="2"/>
      <c r="AL148" s="2"/>
      <c r="AM148" s="2"/>
      <c r="AN148" s="2"/>
      <c r="AO148" s="2"/>
      <c r="AP148" s="2"/>
      <c r="AQ148" s="2"/>
      <c r="AR148" s="2"/>
      <c r="AS148" s="2"/>
      <c r="AT148" s="2"/>
      <c r="AU148" s="3">
        <v>5111.1099999999997</v>
      </c>
      <c r="AV148" s="3" t="s">
        <v>230</v>
      </c>
      <c r="AW148" t="s">
        <v>205</v>
      </c>
      <c r="AX148" s="2" t="s">
        <v>92</v>
      </c>
      <c r="AY148" s="2" t="s">
        <v>527</v>
      </c>
      <c r="AZ148" s="2">
        <v>100</v>
      </c>
      <c r="BA148" s="3"/>
      <c r="BB148" s="3"/>
      <c r="BC148" s="2"/>
      <c r="BE148" s="3"/>
      <c r="BF148" s="19"/>
      <c r="BG148" s="6" t="s">
        <v>528</v>
      </c>
      <c r="BH148" s="2"/>
      <c r="BI148" s="2"/>
      <c r="BJ148" s="2"/>
      <c r="BK148" s="2"/>
      <c r="BL148" s="2"/>
      <c r="BM148" s="2"/>
      <c r="BN148" s="3"/>
      <c r="BO148" s="2"/>
      <c r="BP148" s="2"/>
      <c r="BQ148" s="2"/>
      <c r="BR148" s="3"/>
      <c r="BS148" s="2"/>
      <c r="BT148" s="2"/>
      <c r="BU148" s="2"/>
      <c r="BV148" s="2"/>
      <c r="BW148" s="2"/>
      <c r="BX148" s="2"/>
      <c r="BY148" s="2" t="s">
        <v>99</v>
      </c>
      <c r="BZ148" s="2" t="s">
        <v>84</v>
      </c>
      <c r="CA148" s="2"/>
      <c r="CB148" s="2" t="s">
        <v>529</v>
      </c>
    </row>
    <row r="149" spans="1:80" ht="72" hidden="1">
      <c r="A149" s="2">
        <v>77</v>
      </c>
      <c r="B149" s="2" t="s">
        <v>523</v>
      </c>
      <c r="C149" s="2" t="s">
        <v>524</v>
      </c>
      <c r="D149" s="6">
        <v>2024</v>
      </c>
      <c r="E149" s="2" t="s">
        <v>137</v>
      </c>
      <c r="F149" s="2" t="s">
        <v>525</v>
      </c>
      <c r="G149" s="2" t="s">
        <v>84</v>
      </c>
      <c r="H149" s="2" t="s">
        <v>85</v>
      </c>
      <c r="I149" s="2" t="s">
        <v>100</v>
      </c>
      <c r="J149" s="3">
        <v>0.71</v>
      </c>
      <c r="K149" s="2" t="s">
        <v>181</v>
      </c>
      <c r="L149" s="2" t="s">
        <v>229</v>
      </c>
      <c r="M149" s="2"/>
      <c r="N149" s="2" t="s">
        <v>141</v>
      </c>
      <c r="O149" s="2"/>
      <c r="P149" s="2"/>
      <c r="Q149" s="2" t="s">
        <v>532</v>
      </c>
      <c r="R149" s="2"/>
      <c r="S149" s="2" t="s">
        <v>90</v>
      </c>
      <c r="T149" s="3">
        <v>70</v>
      </c>
      <c r="U149" s="3" t="s">
        <v>230</v>
      </c>
      <c r="V149" s="3" t="s">
        <v>230</v>
      </c>
      <c r="W149" s="3"/>
      <c r="X149" s="3"/>
      <c r="Y149" s="2"/>
      <c r="AC149" s="3"/>
      <c r="AD149" s="3"/>
      <c r="AE149" s="3"/>
      <c r="AF149" s="2" t="s">
        <v>526</v>
      </c>
      <c r="AG149" s="2" t="s">
        <v>230</v>
      </c>
      <c r="AH149" s="2" t="s">
        <v>230</v>
      </c>
      <c r="AI149" s="3"/>
      <c r="AJ149" s="3"/>
      <c r="AK149" s="2"/>
      <c r="AL149" s="2"/>
      <c r="AM149" s="2"/>
      <c r="AN149" s="2"/>
      <c r="AO149" s="2"/>
      <c r="AP149" s="2"/>
      <c r="AQ149" s="2"/>
      <c r="AR149" s="2"/>
      <c r="AS149" s="2"/>
      <c r="AT149" s="2"/>
      <c r="AU149" s="3">
        <v>6388.89</v>
      </c>
      <c r="AV149" s="3" t="s">
        <v>230</v>
      </c>
      <c r="AW149" t="s">
        <v>205</v>
      </c>
      <c r="AX149" s="2" t="s">
        <v>92</v>
      </c>
      <c r="AY149" s="2" t="s">
        <v>527</v>
      </c>
      <c r="AZ149" s="2">
        <v>100</v>
      </c>
      <c r="BA149" s="3"/>
      <c r="BB149" s="3"/>
      <c r="BC149" s="2"/>
      <c r="BE149" s="3"/>
      <c r="BF149" s="19"/>
      <c r="BG149" s="6" t="s">
        <v>528</v>
      </c>
      <c r="BH149" s="2"/>
      <c r="BI149" s="2"/>
      <c r="BJ149" s="2"/>
      <c r="BK149" s="2"/>
      <c r="BL149" s="2"/>
      <c r="BM149" s="2"/>
      <c r="BN149" s="3"/>
      <c r="BO149" s="2"/>
      <c r="BP149" s="2"/>
      <c r="BQ149" s="2"/>
      <c r="BR149" s="3"/>
      <c r="BS149" s="2"/>
      <c r="BT149" s="2"/>
      <c r="BU149" s="2"/>
      <c r="BV149" s="2"/>
      <c r="BW149" s="2"/>
      <c r="BX149" s="2"/>
      <c r="BY149" s="2" t="s">
        <v>99</v>
      </c>
      <c r="BZ149" s="2" t="s">
        <v>84</v>
      </c>
      <c r="CA149" s="2"/>
      <c r="CB149" s="2" t="s">
        <v>529</v>
      </c>
    </row>
    <row r="150" spans="1:80" ht="72" hidden="1">
      <c r="A150" s="2">
        <v>77</v>
      </c>
      <c r="B150" s="2" t="s">
        <v>523</v>
      </c>
      <c r="C150" s="2" t="s">
        <v>524</v>
      </c>
      <c r="D150" s="6">
        <v>2024</v>
      </c>
      <c r="E150" s="2" t="s">
        <v>137</v>
      </c>
      <c r="F150" s="2" t="s">
        <v>525</v>
      </c>
      <c r="G150" s="2" t="s">
        <v>84</v>
      </c>
      <c r="H150" s="2" t="s">
        <v>85</v>
      </c>
      <c r="I150" s="2" t="s">
        <v>100</v>
      </c>
      <c r="J150" s="3">
        <v>0.71</v>
      </c>
      <c r="K150" s="2" t="s">
        <v>181</v>
      </c>
      <c r="L150" s="2" t="s">
        <v>229</v>
      </c>
      <c r="M150" s="2"/>
      <c r="N150" s="2" t="s">
        <v>141</v>
      </c>
      <c r="O150" s="2"/>
      <c r="P150" s="2"/>
      <c r="Q150" s="2" t="s">
        <v>533</v>
      </c>
      <c r="R150" s="2"/>
      <c r="S150" s="2" t="s">
        <v>90</v>
      </c>
      <c r="T150" s="3">
        <v>70</v>
      </c>
      <c r="U150" s="3" t="s">
        <v>230</v>
      </c>
      <c r="V150" s="3" t="s">
        <v>230</v>
      </c>
      <c r="W150" s="3"/>
      <c r="X150" s="3"/>
      <c r="Y150" s="2"/>
      <c r="AC150" s="3"/>
      <c r="AD150" s="3"/>
      <c r="AE150" s="3"/>
      <c r="AF150" s="2" t="s">
        <v>526</v>
      </c>
      <c r="AG150" s="2" t="s">
        <v>230</v>
      </c>
      <c r="AH150" s="2" t="s">
        <v>230</v>
      </c>
      <c r="AI150" s="3"/>
      <c r="AJ150" s="3"/>
      <c r="AK150" s="2"/>
      <c r="AL150" s="2"/>
      <c r="AM150" s="2"/>
      <c r="AN150" s="2"/>
      <c r="AO150" s="2"/>
      <c r="AP150" s="2"/>
      <c r="AQ150" s="2"/>
      <c r="AR150" s="2"/>
      <c r="AS150" s="2"/>
      <c r="AT150" s="2"/>
      <c r="AU150" s="3">
        <v>8816.67</v>
      </c>
      <c r="AV150" s="3" t="s">
        <v>230</v>
      </c>
      <c r="AW150" t="s">
        <v>205</v>
      </c>
      <c r="AX150" s="2" t="s">
        <v>92</v>
      </c>
      <c r="AY150" s="2" t="s">
        <v>527</v>
      </c>
      <c r="AZ150" s="2">
        <v>100</v>
      </c>
      <c r="BA150" s="3"/>
      <c r="BB150" s="3"/>
      <c r="BC150" s="2"/>
      <c r="BE150" s="3"/>
      <c r="BF150" s="19"/>
      <c r="BG150" s="6" t="s">
        <v>528</v>
      </c>
      <c r="BH150" s="2"/>
      <c r="BI150" s="2"/>
      <c r="BJ150" s="2"/>
      <c r="BK150" s="2"/>
      <c r="BL150" s="2"/>
      <c r="BM150" s="2"/>
      <c r="BN150" s="3"/>
      <c r="BO150" s="2"/>
      <c r="BP150" s="2"/>
      <c r="BQ150" s="2"/>
      <c r="BR150" s="3"/>
      <c r="BS150" s="2"/>
      <c r="BT150" s="2"/>
      <c r="BU150" s="2"/>
      <c r="BV150" s="2"/>
      <c r="BW150" s="2"/>
      <c r="BX150" s="2"/>
      <c r="BY150" s="2" t="s">
        <v>99</v>
      </c>
      <c r="BZ150" s="2" t="s">
        <v>84</v>
      </c>
      <c r="CA150" s="2"/>
      <c r="CB150" s="2" t="s">
        <v>529</v>
      </c>
    </row>
    <row r="151" spans="1:80" ht="144" hidden="1">
      <c r="A151" s="2">
        <v>78</v>
      </c>
      <c r="B151" s="2" t="s">
        <v>534</v>
      </c>
      <c r="C151" s="2" t="s">
        <v>535</v>
      </c>
      <c r="D151" s="6">
        <v>2024</v>
      </c>
      <c r="E151" s="2" t="s">
        <v>518</v>
      </c>
      <c r="F151" s="2" t="s">
        <v>536</v>
      </c>
      <c r="G151" s="2" t="s">
        <v>84</v>
      </c>
      <c r="H151" s="2" t="s">
        <v>85</v>
      </c>
      <c r="I151" s="2" t="s">
        <v>100</v>
      </c>
      <c r="J151" s="3"/>
      <c r="K151" s="2" t="s">
        <v>115</v>
      </c>
      <c r="L151" s="2"/>
      <c r="M151" s="2"/>
      <c r="N151" s="2"/>
      <c r="O151" s="2"/>
      <c r="P151" s="2"/>
      <c r="Q151" s="2"/>
      <c r="R151" s="2"/>
      <c r="S151" s="2"/>
      <c r="T151" s="3"/>
      <c r="U151" s="3"/>
      <c r="V151" s="3"/>
      <c r="W151" s="3"/>
      <c r="X151" s="3"/>
      <c r="Y151" s="2"/>
      <c r="Z151" s="2"/>
      <c r="AA151" s="2"/>
      <c r="AB151" s="2"/>
      <c r="AC151" s="3"/>
      <c r="AD151" s="3"/>
      <c r="AE151" s="3"/>
      <c r="AF151" s="2"/>
      <c r="AG151" s="2"/>
      <c r="AH151" s="2"/>
      <c r="AI151" s="3"/>
      <c r="AJ151" s="3"/>
      <c r="AK151" s="2"/>
      <c r="AL151" s="2"/>
      <c r="AM151" s="2"/>
      <c r="AN151" s="2"/>
      <c r="AO151" s="2"/>
      <c r="AP151" s="2"/>
      <c r="AQ151" s="2"/>
      <c r="AR151" s="2"/>
      <c r="AS151" s="2"/>
      <c r="AT151" s="2"/>
      <c r="AU151" s="3"/>
      <c r="AV151" s="3"/>
      <c r="AW151" s="2"/>
      <c r="AX151" s="2"/>
      <c r="AY151" s="2"/>
      <c r="AZ151" s="2"/>
      <c r="BA151" s="3"/>
      <c r="BB151" s="3"/>
      <c r="BC151" s="2"/>
      <c r="BD151" s="2"/>
      <c r="BE151" s="3"/>
      <c r="BF151" s="19"/>
      <c r="BG151" s="6"/>
      <c r="BH151" s="2"/>
      <c r="BI151" s="2"/>
      <c r="BJ151" s="2"/>
      <c r="BK151" s="2"/>
      <c r="BL151" s="2"/>
      <c r="BM151" s="2"/>
      <c r="BN151" s="3"/>
      <c r="BO151" s="2"/>
      <c r="BP151" s="2"/>
      <c r="BQ151" s="2"/>
      <c r="BR151" s="3"/>
      <c r="BS151" s="2"/>
      <c r="BT151" s="2"/>
      <c r="BU151" s="2"/>
      <c r="BV151" s="2"/>
      <c r="BW151" s="2"/>
      <c r="BX151" s="2"/>
      <c r="BY151" s="2" t="s">
        <v>99</v>
      </c>
      <c r="BZ151" s="2"/>
      <c r="CA151" s="2"/>
      <c r="CB151" s="2"/>
    </row>
    <row r="152" spans="1:80" ht="144" hidden="1">
      <c r="A152" s="2">
        <v>79</v>
      </c>
      <c r="B152" s="2" t="s">
        <v>537</v>
      </c>
      <c r="C152" s="2" t="s">
        <v>538</v>
      </c>
      <c r="D152" s="6">
        <v>2024</v>
      </c>
      <c r="E152" s="2" t="s">
        <v>539</v>
      </c>
      <c r="F152" s="2" t="s">
        <v>540</v>
      </c>
      <c r="G152" s="2" t="s">
        <v>84</v>
      </c>
      <c r="H152" s="2" t="s">
        <v>85</v>
      </c>
      <c r="I152" s="2" t="s">
        <v>100</v>
      </c>
      <c r="J152" s="3">
        <v>0.71</v>
      </c>
      <c r="K152" s="2" t="s">
        <v>181</v>
      </c>
      <c r="L152" s="2" t="s">
        <v>541</v>
      </c>
      <c r="M152" s="2"/>
      <c r="N152" s="2" t="s">
        <v>129</v>
      </c>
      <c r="O152" s="2"/>
      <c r="P152" s="2"/>
      <c r="Q152" s="2"/>
      <c r="R152" s="2"/>
      <c r="S152" s="2" t="s">
        <v>182</v>
      </c>
      <c r="T152" s="3">
        <v>168</v>
      </c>
      <c r="U152" s="3">
        <v>2</v>
      </c>
      <c r="V152" s="3"/>
      <c r="W152" s="3">
        <v>77</v>
      </c>
      <c r="X152" s="3" t="s">
        <v>230</v>
      </c>
      <c r="Y152" t="s">
        <v>542</v>
      </c>
      <c r="Z152" t="s">
        <v>253</v>
      </c>
      <c r="AA152" s="2">
        <v>23</v>
      </c>
      <c r="AB152" s="2">
        <v>0</v>
      </c>
      <c r="AC152" s="3"/>
      <c r="AD152" s="3"/>
      <c r="AE152" s="3"/>
      <c r="AF152" s="2"/>
      <c r="AG152" s="2"/>
      <c r="AH152" s="2"/>
      <c r="AI152" s="3"/>
      <c r="AJ152" s="3"/>
      <c r="AK152" s="2"/>
      <c r="AL152" s="2"/>
      <c r="AM152" s="2"/>
      <c r="AN152" s="2"/>
      <c r="AO152" s="2"/>
      <c r="AP152" s="2"/>
      <c r="AQ152" s="2"/>
      <c r="AR152" s="2"/>
      <c r="AS152" s="2"/>
      <c r="AT152" s="2"/>
      <c r="AU152" s="3"/>
      <c r="AV152" s="3"/>
      <c r="AW152" s="2"/>
      <c r="AX152" s="2"/>
      <c r="AY152" s="2"/>
      <c r="AZ152" s="2"/>
      <c r="BA152" s="3">
        <v>0.33</v>
      </c>
      <c r="BB152" s="3">
        <v>0.01</v>
      </c>
      <c r="BC152" t="s">
        <v>543</v>
      </c>
      <c r="BD152" t="s">
        <v>357</v>
      </c>
      <c r="BE152" s="3">
        <v>23</v>
      </c>
      <c r="BF152" s="19">
        <v>0.5</v>
      </c>
      <c r="BG152" s="6"/>
      <c r="BH152" s="2"/>
      <c r="BI152" s="2"/>
      <c r="BJ152" s="2"/>
      <c r="BK152" s="2"/>
      <c r="BL152" s="2"/>
      <c r="BM152" s="2"/>
      <c r="BN152" s="3"/>
      <c r="BO152" s="2"/>
      <c r="BP152" s="2"/>
      <c r="BQ152" s="2"/>
      <c r="BR152" s="3"/>
      <c r="BS152" s="2"/>
      <c r="BT152" s="2"/>
      <c r="BU152" s="2"/>
      <c r="BV152" s="2"/>
      <c r="BW152" s="2"/>
      <c r="BX152" s="2" t="s">
        <v>544</v>
      </c>
      <c r="BY152" s="2" t="s">
        <v>99</v>
      </c>
      <c r="BZ152" s="2" t="s">
        <v>84</v>
      </c>
      <c r="CA152" s="2"/>
      <c r="CB152" s="2" t="s">
        <v>545</v>
      </c>
    </row>
    <row r="153" spans="1:80" ht="144" hidden="1">
      <c r="A153" s="2">
        <v>79</v>
      </c>
      <c r="B153" s="2" t="s">
        <v>537</v>
      </c>
      <c r="C153" s="2" t="s">
        <v>538</v>
      </c>
      <c r="D153" s="6">
        <v>2024</v>
      </c>
      <c r="E153" s="2" t="s">
        <v>539</v>
      </c>
      <c r="F153" s="2" t="s">
        <v>540</v>
      </c>
      <c r="G153" s="2" t="s">
        <v>84</v>
      </c>
      <c r="H153" s="2" t="s">
        <v>85</v>
      </c>
      <c r="I153" s="2" t="s">
        <v>100</v>
      </c>
      <c r="J153" s="3">
        <v>0.71</v>
      </c>
      <c r="K153" s="2" t="s">
        <v>181</v>
      </c>
      <c r="L153" s="2" t="s">
        <v>541</v>
      </c>
      <c r="M153" s="2"/>
      <c r="N153" s="2" t="s">
        <v>129</v>
      </c>
      <c r="O153" s="2"/>
      <c r="P153" s="2"/>
      <c r="Q153" s="2"/>
      <c r="R153" s="2"/>
      <c r="S153" s="2" t="s">
        <v>182</v>
      </c>
      <c r="T153" s="3">
        <v>168</v>
      </c>
      <c r="U153" s="3">
        <v>2</v>
      </c>
      <c r="V153" s="3"/>
      <c r="W153" s="3">
        <v>80</v>
      </c>
      <c r="X153" s="3" t="s">
        <v>230</v>
      </c>
      <c r="Y153" t="s">
        <v>542</v>
      </c>
      <c r="Z153" t="s">
        <v>546</v>
      </c>
      <c r="AA153" s="2">
        <v>23</v>
      </c>
      <c r="AB153" s="2">
        <v>50</v>
      </c>
      <c r="AC153" s="3"/>
      <c r="AD153" s="3"/>
      <c r="AE153" s="3"/>
      <c r="AF153" s="2"/>
      <c r="AG153" s="2"/>
      <c r="AH153" s="2"/>
      <c r="AI153" s="3"/>
      <c r="AJ153" s="3"/>
      <c r="AK153" s="2"/>
      <c r="AL153" s="2"/>
      <c r="AM153" s="2"/>
      <c r="AN153" s="2"/>
      <c r="AO153" s="2"/>
      <c r="AP153" s="2"/>
      <c r="AQ153" s="2"/>
      <c r="AR153" s="2"/>
      <c r="AS153" s="2"/>
      <c r="AT153" s="2"/>
      <c r="AU153" s="3"/>
      <c r="AV153" s="3"/>
      <c r="AW153" s="2"/>
      <c r="AX153" s="2"/>
      <c r="AY153" s="2"/>
      <c r="AZ153" s="2"/>
      <c r="BA153" s="3">
        <v>0.33</v>
      </c>
      <c r="BB153" s="3">
        <v>0.01</v>
      </c>
      <c r="BC153" t="s">
        <v>543</v>
      </c>
      <c r="BD153" t="s">
        <v>357</v>
      </c>
      <c r="BE153" s="3">
        <v>23</v>
      </c>
      <c r="BF153" s="19">
        <v>0.5</v>
      </c>
      <c r="BG153" s="6"/>
      <c r="BH153" s="2"/>
      <c r="BI153" s="2"/>
      <c r="BJ153" s="2"/>
      <c r="BK153" s="2"/>
      <c r="BL153" s="2"/>
      <c r="BM153" s="2"/>
      <c r="BN153" s="3"/>
      <c r="BO153" s="2"/>
      <c r="BP153" s="2"/>
      <c r="BQ153" s="2"/>
      <c r="BR153" s="3"/>
      <c r="BS153" s="2"/>
      <c r="BT153" s="2"/>
      <c r="BU153" s="2"/>
      <c r="BV153" s="2"/>
      <c r="BW153" s="2"/>
      <c r="BX153" s="2" t="s">
        <v>544</v>
      </c>
      <c r="BY153" s="2" t="s">
        <v>99</v>
      </c>
      <c r="BZ153" s="2" t="s">
        <v>221</v>
      </c>
      <c r="CA153" s="2"/>
      <c r="CB153" s="2" t="s">
        <v>545</v>
      </c>
    </row>
    <row r="154" spans="1:80" ht="144" hidden="1">
      <c r="A154" s="2">
        <v>79</v>
      </c>
      <c r="B154" s="2" t="s">
        <v>537</v>
      </c>
      <c r="C154" s="2" t="s">
        <v>538</v>
      </c>
      <c r="D154" s="6">
        <v>2024</v>
      </c>
      <c r="E154" s="2" t="s">
        <v>539</v>
      </c>
      <c r="F154" s="2" t="s">
        <v>540</v>
      </c>
      <c r="G154" s="2" t="s">
        <v>84</v>
      </c>
      <c r="H154" s="2" t="s">
        <v>85</v>
      </c>
      <c r="I154" s="2" t="s">
        <v>100</v>
      </c>
      <c r="J154" s="3">
        <v>0.71</v>
      </c>
      <c r="K154" s="2" t="s">
        <v>181</v>
      </c>
      <c r="L154" s="2" t="s">
        <v>541</v>
      </c>
      <c r="M154" s="2"/>
      <c r="N154" s="2" t="s">
        <v>129</v>
      </c>
      <c r="O154" s="2"/>
      <c r="P154" s="2"/>
      <c r="Q154" s="2"/>
      <c r="R154" s="2"/>
      <c r="S154" s="2" t="s">
        <v>182</v>
      </c>
      <c r="T154" s="3">
        <v>168</v>
      </c>
      <c r="U154" s="3">
        <v>2</v>
      </c>
      <c r="V154" s="3"/>
      <c r="W154" s="3">
        <v>82.5</v>
      </c>
      <c r="X154" s="3" t="s">
        <v>230</v>
      </c>
      <c r="Y154" t="s">
        <v>542</v>
      </c>
      <c r="Z154" t="s">
        <v>546</v>
      </c>
      <c r="AA154" s="2">
        <v>23</v>
      </c>
      <c r="AB154" s="2">
        <v>75</v>
      </c>
      <c r="AC154" s="3"/>
      <c r="AD154" s="3"/>
      <c r="AE154" s="3"/>
      <c r="AF154" s="2"/>
      <c r="AG154" s="2"/>
      <c r="AH154" s="2"/>
      <c r="AI154" s="3"/>
      <c r="AJ154" s="3"/>
      <c r="AK154" s="2"/>
      <c r="AL154" s="2"/>
      <c r="AM154" s="2"/>
      <c r="AN154" s="2"/>
      <c r="AO154" s="2"/>
      <c r="AP154" s="2"/>
      <c r="AQ154" s="2"/>
      <c r="AR154" s="2"/>
      <c r="AS154" s="2"/>
      <c r="AT154" s="2"/>
      <c r="AU154" s="3"/>
      <c r="AV154" s="3"/>
      <c r="AW154" s="2"/>
      <c r="AX154" s="2"/>
      <c r="AY154" s="2"/>
      <c r="AZ154" s="2"/>
      <c r="BA154" s="3">
        <v>0.33</v>
      </c>
      <c r="BB154" s="3">
        <v>0.01</v>
      </c>
      <c r="BC154" t="s">
        <v>543</v>
      </c>
      <c r="BD154" t="s">
        <v>357</v>
      </c>
      <c r="BE154" s="3">
        <v>23</v>
      </c>
      <c r="BF154" s="19">
        <v>0.5</v>
      </c>
      <c r="BG154" s="6"/>
      <c r="BH154" s="2"/>
      <c r="BI154" s="2"/>
      <c r="BJ154" s="2"/>
      <c r="BK154" s="2"/>
      <c r="BL154" s="2"/>
      <c r="BM154" s="2"/>
      <c r="BN154" s="3"/>
      <c r="BO154" s="2"/>
      <c r="BP154" s="2"/>
      <c r="BQ154" s="2"/>
      <c r="BR154" s="3"/>
      <c r="BS154" s="2"/>
      <c r="BT154" s="2"/>
      <c r="BU154" s="2"/>
      <c r="BV154" s="2"/>
      <c r="BW154" s="2"/>
      <c r="BX154" s="2" t="s">
        <v>544</v>
      </c>
      <c r="BY154" s="2" t="s">
        <v>99</v>
      </c>
      <c r="BZ154" s="2" t="s">
        <v>221</v>
      </c>
      <c r="CA154" s="2"/>
      <c r="CB154" s="2" t="s">
        <v>545</v>
      </c>
    </row>
    <row r="155" spans="1:80" ht="144" hidden="1">
      <c r="A155" s="2">
        <v>79</v>
      </c>
      <c r="B155" s="2" t="s">
        <v>537</v>
      </c>
      <c r="C155" s="2" t="s">
        <v>538</v>
      </c>
      <c r="D155" s="6">
        <v>2024</v>
      </c>
      <c r="E155" s="2" t="s">
        <v>539</v>
      </c>
      <c r="F155" s="2" t="s">
        <v>540</v>
      </c>
      <c r="G155" s="2" t="s">
        <v>84</v>
      </c>
      <c r="H155" s="2" t="s">
        <v>85</v>
      </c>
      <c r="I155" s="2" t="s">
        <v>100</v>
      </c>
      <c r="J155" s="3">
        <v>0.71</v>
      </c>
      <c r="K155" s="2" t="s">
        <v>181</v>
      </c>
      <c r="L155" s="2" t="s">
        <v>547</v>
      </c>
      <c r="M155" s="2"/>
      <c r="N155" s="2" t="s">
        <v>129</v>
      </c>
      <c r="O155" s="2"/>
      <c r="P155" s="2"/>
      <c r="Q155" s="2" t="s">
        <v>548</v>
      </c>
      <c r="R155" s="2"/>
      <c r="S155" s="2"/>
      <c r="T155" s="3">
        <v>165</v>
      </c>
      <c r="U155" s="3">
        <v>22</v>
      </c>
      <c r="V155" s="3"/>
      <c r="W155" s="3">
        <v>41</v>
      </c>
      <c r="X155" s="3" t="s">
        <v>230</v>
      </c>
      <c r="Y155" t="s">
        <v>542</v>
      </c>
      <c r="Z155" t="s">
        <v>253</v>
      </c>
      <c r="AA155" s="2">
        <v>23</v>
      </c>
      <c r="AB155" s="2">
        <v>0</v>
      </c>
      <c r="AC155" s="3"/>
      <c r="AD155" s="3"/>
      <c r="AE155" s="3"/>
      <c r="AF155" s="2"/>
      <c r="AG155" s="2"/>
      <c r="AH155" s="2"/>
      <c r="AI155" s="3"/>
      <c r="AJ155" s="3"/>
      <c r="AK155" s="2"/>
      <c r="AL155" s="2"/>
      <c r="AM155" s="2"/>
      <c r="AN155" s="2"/>
      <c r="AO155" s="2"/>
      <c r="AP155" s="2"/>
      <c r="AQ155" s="2"/>
      <c r="AR155" s="2"/>
      <c r="AS155" s="2"/>
      <c r="AT155" s="2"/>
      <c r="AU155" s="3"/>
      <c r="AV155" s="3"/>
      <c r="AW155" s="2"/>
      <c r="AX155" s="2"/>
      <c r="AY155" s="2"/>
      <c r="AZ155" s="2"/>
      <c r="BA155" s="3">
        <v>0.36</v>
      </c>
      <c r="BB155" s="3">
        <v>0.01</v>
      </c>
      <c r="BC155" t="s">
        <v>543</v>
      </c>
      <c r="BD155" t="s">
        <v>357</v>
      </c>
      <c r="BE155" s="3">
        <v>23</v>
      </c>
      <c r="BF155" s="19">
        <v>0.5</v>
      </c>
      <c r="BG155" s="6"/>
      <c r="BH155" s="2"/>
      <c r="BI155" s="2"/>
      <c r="BJ155" s="2"/>
      <c r="BK155" s="2"/>
      <c r="BL155" s="2"/>
      <c r="BM155" s="2"/>
      <c r="BN155" s="3"/>
      <c r="BO155" s="2"/>
      <c r="BP155" s="2"/>
      <c r="BQ155" s="2"/>
      <c r="BR155" s="3"/>
      <c r="BS155" s="2"/>
      <c r="BT155" s="2"/>
      <c r="BU155" s="2"/>
      <c r="BV155" s="2"/>
      <c r="BW155" s="2"/>
      <c r="BX155" s="2" t="s">
        <v>544</v>
      </c>
      <c r="BY155" s="2" t="s">
        <v>99</v>
      </c>
      <c r="BZ155" s="2"/>
      <c r="CA155" s="2"/>
      <c r="CB155" s="2" t="s">
        <v>545</v>
      </c>
    </row>
    <row r="156" spans="1:80" ht="144" hidden="1">
      <c r="A156" s="2">
        <v>79</v>
      </c>
      <c r="B156" s="2" t="s">
        <v>537</v>
      </c>
      <c r="C156" s="2" t="s">
        <v>538</v>
      </c>
      <c r="D156" s="6">
        <v>2024</v>
      </c>
      <c r="E156" s="2" t="s">
        <v>539</v>
      </c>
      <c r="F156" s="2" t="s">
        <v>540</v>
      </c>
      <c r="G156" s="2" t="s">
        <v>84</v>
      </c>
      <c r="H156" s="2" t="s">
        <v>85</v>
      </c>
      <c r="I156" s="2" t="s">
        <v>221</v>
      </c>
      <c r="J156" s="3"/>
      <c r="K156" s="2" t="s">
        <v>160</v>
      </c>
      <c r="L156" s="2" t="s">
        <v>547</v>
      </c>
      <c r="M156" s="2"/>
      <c r="N156" s="2" t="s">
        <v>129</v>
      </c>
      <c r="O156" s="2"/>
      <c r="P156" s="2"/>
      <c r="Q156" s="2" t="s">
        <v>548</v>
      </c>
      <c r="R156" s="2"/>
      <c r="S156" s="2"/>
      <c r="T156" s="3">
        <v>165</v>
      </c>
      <c r="U156" s="3">
        <v>22</v>
      </c>
      <c r="V156" s="3"/>
      <c r="W156" s="3">
        <v>55</v>
      </c>
      <c r="X156" s="3" t="s">
        <v>230</v>
      </c>
      <c r="Y156" t="s">
        <v>542</v>
      </c>
      <c r="Z156" t="s">
        <v>546</v>
      </c>
      <c r="AA156" s="2">
        <v>23</v>
      </c>
      <c r="AB156" s="2">
        <v>50</v>
      </c>
      <c r="AC156" s="3"/>
      <c r="AD156" s="3"/>
      <c r="AE156" s="3"/>
      <c r="AF156" s="2"/>
      <c r="AG156" s="2"/>
      <c r="AH156" s="2"/>
      <c r="AI156" s="3"/>
      <c r="AJ156" s="3"/>
      <c r="AK156" s="2"/>
      <c r="AL156" s="2"/>
      <c r="AM156" s="2"/>
      <c r="AN156" s="2"/>
      <c r="AO156" s="2"/>
      <c r="AP156" s="2"/>
      <c r="AQ156" s="2"/>
      <c r="AR156" s="2"/>
      <c r="AS156" s="2"/>
      <c r="AT156" s="2"/>
      <c r="AU156" s="3"/>
      <c r="AV156" s="3"/>
      <c r="AW156" s="2"/>
      <c r="AX156" s="2"/>
      <c r="AY156" s="2"/>
      <c r="AZ156" s="2"/>
      <c r="BA156" s="3">
        <v>0.36</v>
      </c>
      <c r="BB156" s="3">
        <v>0.01</v>
      </c>
      <c r="BC156" t="s">
        <v>543</v>
      </c>
      <c r="BD156" t="s">
        <v>357</v>
      </c>
      <c r="BE156" s="3">
        <v>23</v>
      </c>
      <c r="BF156" s="19">
        <v>0.5</v>
      </c>
      <c r="BG156" s="6"/>
      <c r="BH156" s="2"/>
      <c r="BI156" s="2"/>
      <c r="BJ156" s="2"/>
      <c r="BK156" s="2"/>
      <c r="BL156" s="2"/>
      <c r="BM156" s="2"/>
      <c r="BN156" s="3"/>
      <c r="BO156" s="2"/>
      <c r="BP156" s="2"/>
      <c r="BQ156" s="2"/>
      <c r="BR156" s="3"/>
      <c r="BS156" s="2"/>
      <c r="BT156" s="2"/>
      <c r="BU156" s="2"/>
      <c r="BV156" s="2"/>
      <c r="BW156" s="2"/>
      <c r="BX156" s="2" t="s">
        <v>544</v>
      </c>
      <c r="BY156" s="2" t="s">
        <v>99</v>
      </c>
      <c r="BZ156" s="2"/>
      <c r="CA156" s="2"/>
      <c r="CB156" s="2" t="s">
        <v>545</v>
      </c>
    </row>
    <row r="157" spans="1:80" ht="144" hidden="1">
      <c r="A157" s="2">
        <v>79</v>
      </c>
      <c r="B157" s="2" t="s">
        <v>537</v>
      </c>
      <c r="C157" s="2" t="s">
        <v>538</v>
      </c>
      <c r="D157" s="6">
        <v>2024</v>
      </c>
      <c r="E157" s="2" t="s">
        <v>539</v>
      </c>
      <c r="F157" s="2" t="s">
        <v>540</v>
      </c>
      <c r="G157" s="2" t="s">
        <v>84</v>
      </c>
      <c r="H157" s="2" t="s">
        <v>85</v>
      </c>
      <c r="I157" s="2" t="s">
        <v>221</v>
      </c>
      <c r="J157" s="3"/>
      <c r="K157" s="2" t="s">
        <v>160</v>
      </c>
      <c r="L157" s="2" t="s">
        <v>547</v>
      </c>
      <c r="M157" s="2"/>
      <c r="N157" s="2" t="s">
        <v>129</v>
      </c>
      <c r="O157" s="2"/>
      <c r="P157" s="2"/>
      <c r="Q157" s="2" t="s">
        <v>548</v>
      </c>
      <c r="R157" s="2"/>
      <c r="S157" s="2"/>
      <c r="T157" s="3">
        <v>165</v>
      </c>
      <c r="U157" s="3">
        <v>22</v>
      </c>
      <c r="V157" s="3"/>
      <c r="W157" s="3">
        <v>96.5</v>
      </c>
      <c r="X157" s="3" t="s">
        <v>230</v>
      </c>
      <c r="Y157" t="s">
        <v>542</v>
      </c>
      <c r="Z157" t="s">
        <v>546</v>
      </c>
      <c r="AA157" s="2">
        <v>23</v>
      </c>
      <c r="AB157" s="2">
        <v>75</v>
      </c>
      <c r="AC157" s="3"/>
      <c r="AD157" s="3"/>
      <c r="AE157" s="3"/>
      <c r="AF157" s="2"/>
      <c r="AG157" s="2"/>
      <c r="AH157" s="2"/>
      <c r="AI157" s="3"/>
      <c r="AJ157" s="3"/>
      <c r="AK157" s="2"/>
      <c r="AL157" s="2"/>
      <c r="AM157" s="2"/>
      <c r="AN157" s="2"/>
      <c r="AO157" s="2"/>
      <c r="AP157" s="2"/>
      <c r="AQ157" s="2"/>
      <c r="AR157" s="2"/>
      <c r="AS157" s="2"/>
      <c r="AT157" s="2"/>
      <c r="AU157" s="3"/>
      <c r="AV157" s="3"/>
      <c r="AW157" s="2"/>
      <c r="AX157" s="2"/>
      <c r="AY157" s="2"/>
      <c r="AZ157" s="2"/>
      <c r="BA157" s="3">
        <v>0.36</v>
      </c>
      <c r="BB157" s="3">
        <v>0.01</v>
      </c>
      <c r="BC157" t="s">
        <v>543</v>
      </c>
      <c r="BD157" t="s">
        <v>357</v>
      </c>
      <c r="BE157" s="3">
        <v>23</v>
      </c>
      <c r="BF157" s="19">
        <v>0.5</v>
      </c>
      <c r="BG157" s="6"/>
      <c r="BH157" s="2"/>
      <c r="BI157" s="2"/>
      <c r="BJ157" s="2"/>
      <c r="BK157" s="2"/>
      <c r="BL157" s="2"/>
      <c r="BM157" s="2"/>
      <c r="BN157" s="3"/>
      <c r="BO157" s="2"/>
      <c r="BP157" s="2"/>
      <c r="BQ157" s="2"/>
      <c r="BR157" s="3"/>
      <c r="BS157" s="2"/>
      <c r="BT157" s="2"/>
      <c r="BU157" s="2"/>
      <c r="BV157" s="2"/>
      <c r="BW157" s="2"/>
      <c r="BX157" s="2" t="s">
        <v>544</v>
      </c>
      <c r="BY157" s="2" t="s">
        <v>99</v>
      </c>
      <c r="BZ157" s="2"/>
      <c r="CA157" s="2"/>
      <c r="CB157" s="2" t="s">
        <v>545</v>
      </c>
    </row>
    <row r="158" spans="1:80" ht="144" hidden="1">
      <c r="A158" s="2">
        <v>79</v>
      </c>
      <c r="B158" s="2" t="s">
        <v>537</v>
      </c>
      <c r="C158" s="2" t="s">
        <v>538</v>
      </c>
      <c r="D158" s="6">
        <v>2024</v>
      </c>
      <c r="E158" s="2" t="s">
        <v>539</v>
      </c>
      <c r="F158" s="2" t="s">
        <v>540</v>
      </c>
      <c r="G158" s="2" t="s">
        <v>84</v>
      </c>
      <c r="H158" s="2" t="s">
        <v>85</v>
      </c>
      <c r="I158" s="2" t="s">
        <v>221</v>
      </c>
      <c r="J158" s="3"/>
      <c r="K158" s="2" t="s">
        <v>160</v>
      </c>
      <c r="L158" s="2" t="s">
        <v>549</v>
      </c>
      <c r="M158" s="2"/>
      <c r="N158" s="2" t="s">
        <v>129</v>
      </c>
      <c r="O158" s="2"/>
      <c r="P158" s="2"/>
      <c r="Q158" s="2" t="s">
        <v>550</v>
      </c>
      <c r="R158" s="2"/>
      <c r="S158" s="2"/>
      <c r="T158" s="3">
        <v>213</v>
      </c>
      <c r="U158" s="3">
        <v>30</v>
      </c>
      <c r="V158" s="3"/>
      <c r="W158" s="3">
        <v>22.5</v>
      </c>
      <c r="X158" s="3" t="s">
        <v>230</v>
      </c>
      <c r="Y158" t="s">
        <v>542</v>
      </c>
      <c r="Z158" t="s">
        <v>253</v>
      </c>
      <c r="AA158" s="2">
        <v>23</v>
      </c>
      <c r="AB158" s="2">
        <v>0</v>
      </c>
      <c r="AC158" s="3"/>
      <c r="AD158" s="3"/>
      <c r="AE158" s="3"/>
      <c r="AF158" s="2"/>
      <c r="AG158" s="2"/>
      <c r="AH158" s="2"/>
      <c r="AI158" s="3"/>
      <c r="AJ158" s="3"/>
      <c r="AK158" s="2"/>
      <c r="AL158" s="2"/>
      <c r="AM158" s="2"/>
      <c r="AN158" s="2"/>
      <c r="AO158" s="2"/>
      <c r="AP158" s="2"/>
      <c r="AQ158" s="2"/>
      <c r="AR158" s="2"/>
      <c r="AS158" s="2"/>
      <c r="AT158" s="2"/>
      <c r="AU158" s="3"/>
      <c r="AV158" s="3"/>
      <c r="AW158" s="2"/>
      <c r="AX158" s="2"/>
      <c r="AY158" s="2"/>
      <c r="AZ158" s="2"/>
      <c r="BA158" s="3">
        <v>0.49</v>
      </c>
      <c r="BB158" s="3">
        <v>0.03</v>
      </c>
      <c r="BC158" t="s">
        <v>543</v>
      </c>
      <c r="BD158" t="s">
        <v>357</v>
      </c>
      <c r="BE158" s="3">
        <v>23</v>
      </c>
      <c r="BF158" s="19">
        <v>0.5</v>
      </c>
      <c r="BG158" s="6"/>
      <c r="BH158" s="2"/>
      <c r="BI158" s="2"/>
      <c r="BJ158" s="2"/>
      <c r="BK158" s="2"/>
      <c r="BL158" s="2"/>
      <c r="BM158" s="2"/>
      <c r="BN158" s="3"/>
      <c r="BO158" s="2"/>
      <c r="BP158" s="2"/>
      <c r="BQ158" s="2"/>
      <c r="BR158" s="3"/>
      <c r="BS158" s="2"/>
      <c r="BT158" s="2"/>
      <c r="BU158" s="2"/>
      <c r="BV158" s="2"/>
      <c r="BW158" s="2"/>
      <c r="BX158" s="2" t="s">
        <v>544</v>
      </c>
      <c r="BY158" s="2" t="s">
        <v>99</v>
      </c>
      <c r="BZ158" s="2"/>
      <c r="CA158" s="2"/>
      <c r="CB158" s="2" t="s">
        <v>545</v>
      </c>
    </row>
    <row r="159" spans="1:80" ht="144" hidden="1">
      <c r="A159" s="2">
        <v>79</v>
      </c>
      <c r="B159" s="2" t="s">
        <v>537</v>
      </c>
      <c r="C159" s="2" t="s">
        <v>538</v>
      </c>
      <c r="D159" s="6">
        <v>2024</v>
      </c>
      <c r="E159" s="2" t="s">
        <v>539</v>
      </c>
      <c r="F159" s="2" t="s">
        <v>540</v>
      </c>
      <c r="G159" s="2" t="s">
        <v>84</v>
      </c>
      <c r="H159" s="2" t="s">
        <v>85</v>
      </c>
      <c r="I159" s="2" t="s">
        <v>221</v>
      </c>
      <c r="J159" s="3"/>
      <c r="K159" s="2" t="s">
        <v>160</v>
      </c>
      <c r="L159" s="2" t="s">
        <v>549</v>
      </c>
      <c r="M159" s="2"/>
      <c r="N159" s="2" t="s">
        <v>129</v>
      </c>
      <c r="O159" s="2"/>
      <c r="P159" s="2"/>
      <c r="Q159" s="2" t="s">
        <v>550</v>
      </c>
      <c r="R159" s="2"/>
      <c r="S159" s="2"/>
      <c r="T159" s="3">
        <v>213</v>
      </c>
      <c r="U159" s="3">
        <v>30</v>
      </c>
      <c r="V159" s="3"/>
      <c r="W159" s="3">
        <v>39</v>
      </c>
      <c r="X159" s="3" t="s">
        <v>230</v>
      </c>
      <c r="Y159" t="s">
        <v>542</v>
      </c>
      <c r="Z159" t="s">
        <v>546</v>
      </c>
      <c r="AA159" s="2">
        <v>23</v>
      </c>
      <c r="AB159" s="2">
        <v>50</v>
      </c>
      <c r="AC159" s="3"/>
      <c r="AD159" s="3"/>
      <c r="AE159" s="3"/>
      <c r="AF159" s="2"/>
      <c r="AG159" s="2"/>
      <c r="AH159" s="2"/>
      <c r="AI159" s="3"/>
      <c r="AJ159" s="3"/>
      <c r="AK159" s="2"/>
      <c r="AL159" s="2"/>
      <c r="AM159" s="2"/>
      <c r="AN159" s="2"/>
      <c r="AO159" s="2"/>
      <c r="AP159" s="2"/>
      <c r="AQ159" s="2"/>
      <c r="AR159" s="2"/>
      <c r="AS159" s="2"/>
      <c r="AT159" s="2"/>
      <c r="AU159" s="3"/>
      <c r="AV159" s="3"/>
      <c r="AW159" s="2"/>
      <c r="AX159" s="2"/>
      <c r="AY159" s="2"/>
      <c r="AZ159" s="2"/>
      <c r="BA159" s="3">
        <v>0.49</v>
      </c>
      <c r="BB159" s="3">
        <v>0.03</v>
      </c>
      <c r="BC159" t="s">
        <v>543</v>
      </c>
      <c r="BD159" t="s">
        <v>357</v>
      </c>
      <c r="BE159" s="3">
        <v>23</v>
      </c>
      <c r="BF159" s="19">
        <v>0.5</v>
      </c>
      <c r="BG159" s="6"/>
      <c r="BH159" s="2"/>
      <c r="BI159" s="2"/>
      <c r="BJ159" s="2"/>
      <c r="BK159" s="2"/>
      <c r="BL159" s="2"/>
      <c r="BM159" s="2"/>
      <c r="BN159" s="3"/>
      <c r="BO159" s="2"/>
      <c r="BP159" s="2"/>
      <c r="BQ159" s="2"/>
      <c r="BR159" s="3"/>
      <c r="BS159" s="2"/>
      <c r="BT159" s="2"/>
      <c r="BU159" s="2"/>
      <c r="BV159" s="2"/>
      <c r="BW159" s="2"/>
      <c r="BX159" s="2" t="s">
        <v>544</v>
      </c>
      <c r="BY159" s="2" t="s">
        <v>99</v>
      </c>
      <c r="BZ159" s="2"/>
      <c r="CA159" s="2"/>
      <c r="CB159" s="2" t="s">
        <v>545</v>
      </c>
    </row>
    <row r="160" spans="1:80" ht="144" hidden="1">
      <c r="A160" s="2">
        <v>79</v>
      </c>
      <c r="B160" s="2" t="s">
        <v>537</v>
      </c>
      <c r="C160" s="2" t="s">
        <v>538</v>
      </c>
      <c r="D160" s="6">
        <v>2024</v>
      </c>
      <c r="E160" s="2" t="s">
        <v>539</v>
      </c>
      <c r="F160" s="2" t="s">
        <v>540</v>
      </c>
      <c r="G160" s="2" t="s">
        <v>84</v>
      </c>
      <c r="H160" s="2" t="s">
        <v>85</v>
      </c>
      <c r="I160" s="2" t="s">
        <v>221</v>
      </c>
      <c r="J160" s="3"/>
      <c r="K160" s="2" t="s">
        <v>160</v>
      </c>
      <c r="L160" s="2" t="s">
        <v>549</v>
      </c>
      <c r="M160" s="2"/>
      <c r="N160" s="2" t="s">
        <v>129</v>
      </c>
      <c r="O160" s="2"/>
      <c r="P160" s="2"/>
      <c r="Q160" s="2" t="s">
        <v>550</v>
      </c>
      <c r="R160" s="2"/>
      <c r="S160" s="2"/>
      <c r="T160" s="3">
        <v>213</v>
      </c>
      <c r="U160" s="3">
        <v>30</v>
      </c>
      <c r="V160" s="3"/>
      <c r="W160" s="3">
        <v>94</v>
      </c>
      <c r="X160" s="3" t="s">
        <v>230</v>
      </c>
      <c r="Y160" t="s">
        <v>542</v>
      </c>
      <c r="Z160" t="s">
        <v>546</v>
      </c>
      <c r="AA160" s="2">
        <v>23</v>
      </c>
      <c r="AB160" s="2">
        <v>75</v>
      </c>
      <c r="AC160" s="3"/>
      <c r="AD160" s="3"/>
      <c r="AE160" s="3"/>
      <c r="AF160" s="2"/>
      <c r="AG160" s="2"/>
      <c r="AH160" s="2"/>
      <c r="AI160" s="3"/>
      <c r="AJ160" s="3"/>
      <c r="AK160" s="2"/>
      <c r="AL160" s="2"/>
      <c r="AM160" s="2"/>
      <c r="AN160" s="2"/>
      <c r="AO160" s="2"/>
      <c r="AP160" s="2"/>
      <c r="AQ160" s="2"/>
      <c r="AR160" s="2"/>
      <c r="AS160" s="2"/>
      <c r="AT160" s="2"/>
      <c r="AU160" s="3"/>
      <c r="AV160" s="3"/>
      <c r="AW160" s="2"/>
      <c r="AX160" s="2"/>
      <c r="AY160" s="2"/>
      <c r="AZ160" s="2"/>
      <c r="BA160" s="3">
        <v>0.49</v>
      </c>
      <c r="BB160" s="3">
        <v>0.03</v>
      </c>
      <c r="BC160" t="s">
        <v>543</v>
      </c>
      <c r="BD160" t="s">
        <v>357</v>
      </c>
      <c r="BE160" s="3">
        <v>23</v>
      </c>
      <c r="BF160" s="19">
        <v>0.5</v>
      </c>
      <c r="BG160" s="6"/>
      <c r="BH160" s="2"/>
      <c r="BI160" s="2"/>
      <c r="BJ160" s="2"/>
      <c r="BK160" s="2"/>
      <c r="BL160" s="2"/>
      <c r="BM160" s="2"/>
      <c r="BN160" s="3"/>
      <c r="BO160" s="2"/>
      <c r="BP160" s="2"/>
      <c r="BQ160" s="2"/>
      <c r="BR160" s="3"/>
      <c r="BS160" s="2"/>
      <c r="BT160" s="2"/>
      <c r="BU160" s="2"/>
      <c r="BV160" s="2"/>
      <c r="BW160" s="2"/>
      <c r="BX160" s="2" t="s">
        <v>544</v>
      </c>
      <c r="BY160" s="2" t="s">
        <v>99</v>
      </c>
      <c r="BZ160" s="2"/>
      <c r="CA160" s="2"/>
      <c r="CB160" s="2" t="s">
        <v>545</v>
      </c>
    </row>
    <row r="161" spans="1:80" ht="374.45">
      <c r="A161" s="5">
        <v>80</v>
      </c>
      <c r="B161" s="5" t="s">
        <v>551</v>
      </c>
      <c r="C161" s="5" t="s">
        <v>552</v>
      </c>
      <c r="D161" s="6">
        <v>2024</v>
      </c>
      <c r="E161" s="5" t="s">
        <v>553</v>
      </c>
      <c r="F161" s="5" t="s">
        <v>554</v>
      </c>
      <c r="G161" s="2" t="s">
        <v>84</v>
      </c>
      <c r="H161" s="2" t="s">
        <v>85</v>
      </c>
      <c r="I161" s="5" t="s">
        <v>84</v>
      </c>
      <c r="J161" s="3">
        <v>1</v>
      </c>
      <c r="K161" s="5"/>
      <c r="L161" s="5" t="s">
        <v>555</v>
      </c>
      <c r="M161" s="5" t="s">
        <v>229</v>
      </c>
      <c r="N161" s="5" t="s">
        <v>141</v>
      </c>
      <c r="O161" s="2" t="s">
        <v>84</v>
      </c>
      <c r="P161" s="2" t="s">
        <v>84</v>
      </c>
      <c r="Q161" s="5" t="s">
        <v>100</v>
      </c>
      <c r="R161" s="21">
        <v>0</v>
      </c>
      <c r="S161" s="5" t="s">
        <v>90</v>
      </c>
      <c r="T161" s="3">
        <v>58</v>
      </c>
      <c r="U161" s="3">
        <v>12</v>
      </c>
      <c r="V161" s="3">
        <v>5</v>
      </c>
      <c r="W161" s="3"/>
      <c r="X161" s="3"/>
      <c r="Y161" s="5"/>
      <c r="Z161" s="5"/>
      <c r="AA161" s="5"/>
      <c r="AB161" s="5"/>
      <c r="AC161" s="3"/>
      <c r="AD161" s="3"/>
      <c r="AE161" s="3"/>
      <c r="AF161" s="5"/>
      <c r="AG161" s="5"/>
      <c r="AH161" s="5"/>
      <c r="AI161" s="3"/>
      <c r="AJ161" s="3"/>
      <c r="AK161" s="5"/>
      <c r="AL161" s="5"/>
      <c r="AM161" s="5"/>
      <c r="AN161" s="5"/>
      <c r="AO161" s="5"/>
      <c r="AP161" s="5"/>
      <c r="AQ161" s="5"/>
      <c r="AR161" s="5"/>
      <c r="AS161" s="5"/>
      <c r="AT161" s="5"/>
      <c r="AU161" s="3"/>
      <c r="AV161" s="3"/>
      <c r="AW161" s="5"/>
      <c r="AX161" s="5"/>
      <c r="AY161" s="5"/>
      <c r="AZ161" s="5"/>
      <c r="BA161" s="3">
        <v>1.1200000000000001</v>
      </c>
      <c r="BB161" s="3">
        <v>7.0000000000000007E-2</v>
      </c>
      <c r="BC161" s="5" t="s">
        <v>556</v>
      </c>
      <c r="BD161" s="5" t="s">
        <v>92</v>
      </c>
      <c r="BE161" s="3">
        <v>23</v>
      </c>
      <c r="BF161" s="19">
        <v>0.5</v>
      </c>
      <c r="BG161" s="6">
        <v>3</v>
      </c>
      <c r="BH161" s="5" t="s">
        <v>270</v>
      </c>
      <c r="BI161" s="5"/>
      <c r="BJ161" s="5"/>
      <c r="BK161" s="5"/>
      <c r="BL161" s="5"/>
      <c r="BM161" s="5"/>
      <c r="BN161" s="3"/>
      <c r="BO161" s="5"/>
      <c r="BP161" s="5"/>
      <c r="BQ161" s="5"/>
      <c r="BR161" s="3"/>
      <c r="BS161" s="5"/>
      <c r="BT161" s="5">
        <v>0.03</v>
      </c>
      <c r="BU161" s="5" t="s">
        <v>557</v>
      </c>
      <c r="BV161" s="5"/>
      <c r="BW161" s="5"/>
      <c r="BX161" s="5" t="s">
        <v>558</v>
      </c>
      <c r="BY161" s="2" t="s">
        <v>99</v>
      </c>
      <c r="BZ161" s="5" t="s">
        <v>221</v>
      </c>
      <c r="CA161" s="5" t="s">
        <v>559</v>
      </c>
      <c r="CB161" s="5"/>
    </row>
    <row r="162" spans="1:80" ht="374.45">
      <c r="A162" s="5">
        <v>80</v>
      </c>
      <c r="B162" s="5" t="s">
        <v>551</v>
      </c>
      <c r="C162" s="5" t="s">
        <v>552</v>
      </c>
      <c r="D162" s="6">
        <v>2024</v>
      </c>
      <c r="E162" s="5" t="s">
        <v>553</v>
      </c>
      <c r="F162" s="5" t="s">
        <v>554</v>
      </c>
      <c r="G162" s="2" t="s">
        <v>84</v>
      </c>
      <c r="H162" s="2" t="s">
        <v>85</v>
      </c>
      <c r="I162" s="5" t="s">
        <v>84</v>
      </c>
      <c r="J162" s="3">
        <v>1</v>
      </c>
      <c r="K162" s="5"/>
      <c r="L162" s="5" t="s">
        <v>555</v>
      </c>
      <c r="M162" s="5" t="s">
        <v>229</v>
      </c>
      <c r="N162" s="5" t="s">
        <v>141</v>
      </c>
      <c r="O162" s="2" t="s">
        <v>84</v>
      </c>
      <c r="P162" s="2" t="s">
        <v>84</v>
      </c>
      <c r="Q162" s="5" t="s">
        <v>89</v>
      </c>
      <c r="R162" s="21">
        <v>0.3</v>
      </c>
      <c r="S162" s="5" t="s">
        <v>90</v>
      </c>
      <c r="T162" s="3">
        <v>87</v>
      </c>
      <c r="U162" s="3">
        <v>15</v>
      </c>
      <c r="V162" s="3">
        <v>5</v>
      </c>
      <c r="W162" s="3"/>
      <c r="X162" s="3"/>
      <c r="Y162" s="5"/>
      <c r="Z162" s="5"/>
      <c r="AA162" s="5"/>
      <c r="AB162" s="5"/>
      <c r="AC162" s="3"/>
      <c r="AD162" s="3"/>
      <c r="AE162" s="3"/>
      <c r="AF162" s="5"/>
      <c r="AG162" s="5"/>
      <c r="AH162" s="5"/>
      <c r="AI162" s="3"/>
      <c r="AJ162" s="3"/>
      <c r="AK162" s="5"/>
      <c r="AL162" s="5"/>
      <c r="AM162" s="5"/>
      <c r="AN162" s="5"/>
      <c r="AO162" s="5"/>
      <c r="AP162" s="5"/>
      <c r="AQ162" s="5"/>
      <c r="AR162" s="5"/>
      <c r="AS162" s="5"/>
      <c r="AT162" s="5"/>
      <c r="AU162" s="3"/>
      <c r="AV162" s="3"/>
      <c r="AW162" s="5"/>
      <c r="AX162" s="5"/>
      <c r="AY162" s="5"/>
      <c r="AZ162" s="5"/>
      <c r="BA162" s="3">
        <v>1.82</v>
      </c>
      <c r="BB162" s="3">
        <v>0.1</v>
      </c>
      <c r="BC162" s="5" t="s">
        <v>556</v>
      </c>
      <c r="BD162" s="5" t="s">
        <v>92</v>
      </c>
      <c r="BE162" s="3">
        <v>23</v>
      </c>
      <c r="BF162" s="19">
        <v>0.5</v>
      </c>
      <c r="BG162" s="6">
        <v>3</v>
      </c>
      <c r="BH162" s="5" t="s">
        <v>270</v>
      </c>
      <c r="BI162" s="5"/>
      <c r="BJ162" s="5"/>
      <c r="BK162" s="5"/>
      <c r="BL162" s="5"/>
      <c r="BM162" s="5"/>
      <c r="BN162" s="3"/>
      <c r="BO162" s="5"/>
      <c r="BP162" s="5"/>
      <c r="BQ162" s="5"/>
      <c r="BR162" s="3"/>
      <c r="BS162" s="5"/>
      <c r="BT162" s="5">
        <v>0.03</v>
      </c>
      <c r="BU162" s="5" t="s">
        <v>557</v>
      </c>
      <c r="BV162" s="5"/>
      <c r="BW162" s="5"/>
      <c r="BX162" s="5" t="s">
        <v>558</v>
      </c>
      <c r="BY162" s="2" t="s">
        <v>99</v>
      </c>
      <c r="BZ162" s="5" t="s">
        <v>221</v>
      </c>
      <c r="CA162" s="5" t="s">
        <v>559</v>
      </c>
      <c r="CB162" s="5"/>
    </row>
    <row r="163" spans="1:80" ht="374.45">
      <c r="A163" s="5">
        <v>80</v>
      </c>
      <c r="B163" s="5" t="s">
        <v>551</v>
      </c>
      <c r="C163" s="5" t="s">
        <v>552</v>
      </c>
      <c r="D163" s="6">
        <v>2024</v>
      </c>
      <c r="E163" s="5" t="s">
        <v>553</v>
      </c>
      <c r="F163" s="5" t="s">
        <v>554</v>
      </c>
      <c r="G163" s="2" t="s">
        <v>84</v>
      </c>
      <c r="H163" s="2" t="s">
        <v>85</v>
      </c>
      <c r="I163" s="5" t="s">
        <v>84</v>
      </c>
      <c r="J163" s="3">
        <v>1</v>
      </c>
      <c r="K163" s="5"/>
      <c r="L163" s="5" t="s">
        <v>555</v>
      </c>
      <c r="M163" s="5" t="s">
        <v>229</v>
      </c>
      <c r="N163" s="5" t="s">
        <v>141</v>
      </c>
      <c r="O163" s="2" t="s">
        <v>84</v>
      </c>
      <c r="P163" s="2" t="s">
        <v>84</v>
      </c>
      <c r="Q163" s="5" t="s">
        <v>243</v>
      </c>
      <c r="R163" s="21">
        <v>0.3</v>
      </c>
      <c r="S163" s="5" t="s">
        <v>90</v>
      </c>
      <c r="T163" s="3">
        <v>75</v>
      </c>
      <c r="U163" s="3">
        <v>19</v>
      </c>
      <c r="V163" s="3">
        <v>5</v>
      </c>
      <c r="W163" s="3"/>
      <c r="X163" s="3"/>
      <c r="Y163" s="5"/>
      <c r="Z163" s="5"/>
      <c r="AA163" s="5"/>
      <c r="AB163" s="5"/>
      <c r="AC163" s="3"/>
      <c r="AD163" s="3"/>
      <c r="AE163" s="3"/>
      <c r="AF163" s="5"/>
      <c r="AG163" s="5"/>
      <c r="AH163" s="5"/>
      <c r="AI163" s="3"/>
      <c r="AJ163" s="3"/>
      <c r="AK163" s="5"/>
      <c r="AL163" s="5"/>
      <c r="AM163" s="5"/>
      <c r="AN163" s="5"/>
      <c r="AO163" s="5"/>
      <c r="AP163" s="5"/>
      <c r="AQ163" s="5"/>
      <c r="AR163" s="5"/>
      <c r="AS163" s="5"/>
      <c r="AT163" s="5"/>
      <c r="AU163" s="3"/>
      <c r="AV163" s="3"/>
      <c r="AW163" s="5"/>
      <c r="AX163" s="5"/>
      <c r="AY163" s="5"/>
      <c r="AZ163" s="5"/>
      <c r="BA163" s="3">
        <v>1.31</v>
      </c>
      <c r="BB163" s="3">
        <v>0.01</v>
      </c>
      <c r="BC163" s="5" t="s">
        <v>556</v>
      </c>
      <c r="BD163" s="5" t="s">
        <v>92</v>
      </c>
      <c r="BE163" s="3">
        <v>23</v>
      </c>
      <c r="BF163" s="19">
        <v>0.5</v>
      </c>
      <c r="BG163" s="6">
        <v>3</v>
      </c>
      <c r="BH163" s="5" t="s">
        <v>270</v>
      </c>
      <c r="BI163" s="5"/>
      <c r="BJ163" s="5"/>
      <c r="BK163" s="5"/>
      <c r="BL163" s="5"/>
      <c r="BM163" s="5"/>
      <c r="BN163" s="3"/>
      <c r="BO163" s="5"/>
      <c r="BP163" s="5"/>
      <c r="BQ163" s="5"/>
      <c r="BR163" s="3"/>
      <c r="BS163" s="5"/>
      <c r="BT163" s="5">
        <v>0.03</v>
      </c>
      <c r="BU163" s="5" t="s">
        <v>557</v>
      </c>
      <c r="BV163" s="5"/>
      <c r="BW163" s="5"/>
      <c r="BX163" s="5" t="s">
        <v>558</v>
      </c>
      <c r="BY163" s="2" t="s">
        <v>99</v>
      </c>
      <c r="BZ163" s="5" t="s">
        <v>221</v>
      </c>
      <c r="CA163" s="5" t="s">
        <v>559</v>
      </c>
      <c r="CB163" s="5"/>
    </row>
    <row r="164" spans="1:80" ht="374.45">
      <c r="A164" s="5">
        <v>80</v>
      </c>
      <c r="B164" s="5" t="s">
        <v>551</v>
      </c>
      <c r="C164" s="5" t="s">
        <v>552</v>
      </c>
      <c r="D164" s="6">
        <v>2024</v>
      </c>
      <c r="E164" s="5" t="s">
        <v>553</v>
      </c>
      <c r="F164" s="5" t="s">
        <v>554</v>
      </c>
      <c r="G164" s="2" t="s">
        <v>84</v>
      </c>
      <c r="H164" s="2" t="s">
        <v>85</v>
      </c>
      <c r="I164" s="5" t="s">
        <v>84</v>
      </c>
      <c r="J164" s="3">
        <v>1</v>
      </c>
      <c r="K164" s="5"/>
      <c r="L164" s="5" t="s">
        <v>555</v>
      </c>
      <c r="M164" s="5" t="s">
        <v>229</v>
      </c>
      <c r="N164" s="5" t="s">
        <v>141</v>
      </c>
      <c r="O164" s="2" t="s">
        <v>84</v>
      </c>
      <c r="P164" s="2" t="s">
        <v>84</v>
      </c>
      <c r="Q164" s="5" t="s">
        <v>560</v>
      </c>
      <c r="R164" s="21">
        <v>0.3</v>
      </c>
      <c r="S164" s="5" t="s">
        <v>90</v>
      </c>
      <c r="T164" s="3">
        <v>70</v>
      </c>
      <c r="U164" s="3">
        <v>23</v>
      </c>
      <c r="V164" s="3">
        <v>5</v>
      </c>
      <c r="W164" s="3"/>
      <c r="X164" s="3"/>
      <c r="Y164" s="5"/>
      <c r="Z164" s="5"/>
      <c r="AA164" s="5"/>
      <c r="AB164" s="5"/>
      <c r="AC164" s="3"/>
      <c r="AD164" s="3"/>
      <c r="AE164" s="3"/>
      <c r="AF164" s="5"/>
      <c r="AG164" s="5"/>
      <c r="AH164" s="5"/>
      <c r="AI164" s="3"/>
      <c r="AJ164" s="3"/>
      <c r="AK164" s="5"/>
      <c r="AL164" s="5"/>
      <c r="AM164" s="5"/>
      <c r="AN164" s="5"/>
      <c r="AO164" s="5"/>
      <c r="AP164" s="5"/>
      <c r="AQ164" s="5"/>
      <c r="AR164" s="5"/>
      <c r="AS164" s="5"/>
      <c r="AT164" s="5"/>
      <c r="AU164" s="3"/>
      <c r="AV164" s="3"/>
      <c r="AW164" s="5"/>
      <c r="AX164" s="5"/>
      <c r="AY164" s="5"/>
      <c r="AZ164" s="5"/>
      <c r="BA164" s="3">
        <v>1.3</v>
      </c>
      <c r="BB164" s="3">
        <v>0.06</v>
      </c>
      <c r="BC164" s="5" t="s">
        <v>556</v>
      </c>
      <c r="BD164" s="5" t="s">
        <v>92</v>
      </c>
      <c r="BE164" s="3">
        <v>23</v>
      </c>
      <c r="BF164" s="19">
        <v>0.5</v>
      </c>
      <c r="BG164" s="6">
        <v>3</v>
      </c>
      <c r="BH164" s="5" t="s">
        <v>270</v>
      </c>
      <c r="BI164" s="5"/>
      <c r="BJ164" s="5"/>
      <c r="BK164" s="5"/>
      <c r="BL164" s="5"/>
      <c r="BM164" s="5"/>
      <c r="BN164" s="3"/>
      <c r="BO164" s="5"/>
      <c r="BP164" s="5"/>
      <c r="BQ164" s="5"/>
      <c r="BR164" s="3"/>
      <c r="BS164" s="5"/>
      <c r="BT164" s="5">
        <v>0.03</v>
      </c>
      <c r="BU164" s="5" t="s">
        <v>557</v>
      </c>
      <c r="BV164" s="5"/>
      <c r="BW164" s="5"/>
      <c r="BX164" s="5" t="s">
        <v>558</v>
      </c>
      <c r="BY164" s="2" t="s">
        <v>99</v>
      </c>
      <c r="BZ164" s="5" t="s">
        <v>221</v>
      </c>
      <c r="CA164" s="5" t="s">
        <v>559</v>
      </c>
      <c r="CB164" s="5"/>
    </row>
    <row r="165" spans="1:80" ht="345.6" hidden="1">
      <c r="A165" s="5">
        <v>81</v>
      </c>
      <c r="B165" s="5" t="s">
        <v>561</v>
      </c>
      <c r="C165" s="5" t="s">
        <v>562</v>
      </c>
      <c r="D165" s="6">
        <v>2024</v>
      </c>
      <c r="E165" s="5" t="s">
        <v>310</v>
      </c>
      <c r="F165" s="5" t="s">
        <v>563</v>
      </c>
      <c r="G165" s="2" t="s">
        <v>84</v>
      </c>
      <c r="H165" s="2" t="s">
        <v>85</v>
      </c>
      <c r="I165" s="5" t="s">
        <v>84</v>
      </c>
      <c r="J165" s="3">
        <v>0.79</v>
      </c>
      <c r="K165" s="5"/>
      <c r="L165" s="5" t="s">
        <v>128</v>
      </c>
      <c r="M165" s="5" t="s">
        <v>128</v>
      </c>
      <c r="N165" s="5" t="s">
        <v>129</v>
      </c>
      <c r="O165" s="2" t="s">
        <v>84</v>
      </c>
      <c r="P165" s="2" t="s">
        <v>84</v>
      </c>
      <c r="Q165" s="5" t="s">
        <v>100</v>
      </c>
      <c r="R165" s="21">
        <v>0</v>
      </c>
      <c r="S165" s="5" t="s">
        <v>90</v>
      </c>
      <c r="T165" s="3">
        <v>125</v>
      </c>
      <c r="U165" s="3">
        <v>10</v>
      </c>
      <c r="V165" s="3">
        <v>6</v>
      </c>
      <c r="W165" s="3"/>
      <c r="X165" s="3"/>
      <c r="Y165" s="5"/>
      <c r="Z165" s="5"/>
      <c r="AA165" s="5"/>
      <c r="AB165" s="5"/>
      <c r="AC165" s="3">
        <v>1.2999999999999999E-3</v>
      </c>
      <c r="AD165" s="3"/>
      <c r="AE165" s="5" t="s">
        <v>564</v>
      </c>
      <c r="AF165" s="5" t="s">
        <v>218</v>
      </c>
      <c r="AG165" s="5">
        <v>23</v>
      </c>
      <c r="AH165" s="5">
        <v>0</v>
      </c>
      <c r="AI165" s="3"/>
      <c r="AJ165" s="3"/>
      <c r="AK165" s="5"/>
      <c r="AL165" s="5"/>
      <c r="AM165" s="5"/>
      <c r="AN165" s="5"/>
      <c r="AO165" s="5"/>
      <c r="AP165" s="5"/>
      <c r="AQ165" s="5"/>
      <c r="AR165" s="5"/>
      <c r="AS165" s="5"/>
      <c r="AT165" s="5"/>
      <c r="AU165" s="3">
        <v>4.3499999999999996</v>
      </c>
      <c r="AV165" s="3" t="s">
        <v>218</v>
      </c>
      <c r="AW165" s="5" t="s">
        <v>565</v>
      </c>
      <c r="AX165" s="5" t="s">
        <v>92</v>
      </c>
      <c r="AY165" s="5">
        <v>20</v>
      </c>
      <c r="AZ165" s="5">
        <v>100</v>
      </c>
      <c r="BA165" s="3">
        <v>2.41</v>
      </c>
      <c r="BB165" s="3" t="s">
        <v>230</v>
      </c>
      <c r="BC165" s="5" t="s">
        <v>566</v>
      </c>
      <c r="BD165" s="5" t="s">
        <v>92</v>
      </c>
      <c r="BE165" s="3">
        <v>20</v>
      </c>
      <c r="BF165" s="19">
        <v>1</v>
      </c>
      <c r="BG165" s="6"/>
      <c r="BH165" s="5"/>
      <c r="BI165" s="5"/>
      <c r="BJ165" s="5"/>
      <c r="BK165" s="5"/>
      <c r="BL165" s="5"/>
      <c r="BM165" s="5"/>
      <c r="BN165" s="3"/>
      <c r="BO165" s="5"/>
      <c r="BP165" s="5"/>
      <c r="BQ165" s="5"/>
      <c r="BR165" s="3"/>
      <c r="BS165" s="5"/>
      <c r="BT165" s="5"/>
      <c r="BU165" s="5"/>
      <c r="BV165" s="5"/>
      <c r="BW165" s="5"/>
      <c r="BX165" s="5" t="s">
        <v>558</v>
      </c>
      <c r="BY165" s="2" t="s">
        <v>99</v>
      </c>
      <c r="BZ165" s="5" t="s">
        <v>221</v>
      </c>
      <c r="CA165" s="5" t="s">
        <v>567</v>
      </c>
      <c r="CB165" s="5"/>
    </row>
    <row r="166" spans="1:80" ht="100.9" hidden="1">
      <c r="A166">
        <v>82</v>
      </c>
      <c r="B166" s="2" t="s">
        <v>568</v>
      </c>
      <c r="C166" s="2" t="s">
        <v>569</v>
      </c>
      <c r="D166" s="6">
        <v>2024</v>
      </c>
      <c r="E166" s="2" t="s">
        <v>259</v>
      </c>
      <c r="F166" s="2" t="s">
        <v>570</v>
      </c>
      <c r="G166" s="2" t="s">
        <v>84</v>
      </c>
      <c r="H166" s="2" t="s">
        <v>85</v>
      </c>
      <c r="I166" s="2" t="s">
        <v>221</v>
      </c>
      <c r="J166" s="3">
        <v>0.71</v>
      </c>
      <c r="K166" s="2" t="s">
        <v>181</v>
      </c>
      <c r="L166" s="2" t="s">
        <v>571</v>
      </c>
      <c r="M166" s="2"/>
      <c r="N166" s="2" t="s">
        <v>141</v>
      </c>
      <c r="O166" s="2"/>
      <c r="P166" s="2"/>
      <c r="Q166" s="2" t="s">
        <v>243</v>
      </c>
      <c r="R166" s="2"/>
      <c r="S166" s="2" t="s">
        <v>90</v>
      </c>
      <c r="T166" s="7">
        <v>104.1</v>
      </c>
      <c r="U166" s="3">
        <v>3</v>
      </c>
      <c r="V166" s="3"/>
      <c r="W166" s="3"/>
      <c r="X166" s="3"/>
      <c r="Y166" s="2"/>
      <c r="Z166" s="2"/>
      <c r="AA166" s="2"/>
      <c r="AB166" s="2"/>
      <c r="AC166" s="3"/>
      <c r="AD166" s="3"/>
      <c r="AE166" s="3"/>
      <c r="AF166" s="2"/>
      <c r="AG166" s="2"/>
      <c r="AH166" s="2"/>
      <c r="AI166" s="3"/>
      <c r="AJ166" s="3"/>
      <c r="AK166" s="2"/>
      <c r="AL166" s="2"/>
      <c r="AM166" s="2"/>
      <c r="AN166" s="2"/>
      <c r="AO166" s="2"/>
      <c r="AP166" s="2"/>
      <c r="AQ166" s="2"/>
      <c r="AR166" s="2"/>
      <c r="AS166" s="2"/>
      <c r="AT166" s="2"/>
      <c r="AU166" s="3">
        <v>52.24</v>
      </c>
      <c r="AV166" s="3"/>
      <c r="AW166" t="s">
        <v>572</v>
      </c>
      <c r="AX166" s="2" t="s">
        <v>92</v>
      </c>
      <c r="AY166" s="2">
        <v>22</v>
      </c>
      <c r="AZ166" s="2" t="s">
        <v>573</v>
      </c>
      <c r="BA166" s="3">
        <v>6.92</v>
      </c>
      <c r="BB166" s="3"/>
      <c r="BC166" t="s">
        <v>574</v>
      </c>
      <c r="BD166" s="2" t="s">
        <v>92</v>
      </c>
      <c r="BE166" s="2">
        <v>22</v>
      </c>
      <c r="BF166" s="19" t="s">
        <v>573</v>
      </c>
      <c r="BG166" s="6">
        <v>3</v>
      </c>
      <c r="BH166" s="2"/>
      <c r="BI166" s="2"/>
      <c r="BJ166" s="2"/>
      <c r="BK166" s="2"/>
      <c r="BL166" s="2"/>
      <c r="BM166" s="2"/>
      <c r="BN166" s="3"/>
      <c r="BO166" s="2"/>
      <c r="BP166" s="2"/>
      <c r="BQ166" s="2"/>
      <c r="BR166" s="3"/>
      <c r="BS166" s="2"/>
      <c r="BT166" s="2"/>
      <c r="BU166" s="2"/>
      <c r="BV166" s="2"/>
      <c r="BW166" s="2"/>
      <c r="BX166" s="2" t="s">
        <v>558</v>
      </c>
      <c r="BY166" s="2" t="s">
        <v>99</v>
      </c>
      <c r="BZ166" s="2" t="s">
        <v>221</v>
      </c>
      <c r="CA166" s="2"/>
      <c r="CB166" s="2"/>
    </row>
    <row r="167" spans="1:80" ht="100.9" hidden="1">
      <c r="A167">
        <v>82</v>
      </c>
      <c r="B167" s="2" t="s">
        <v>568</v>
      </c>
      <c r="C167" s="2" t="s">
        <v>569</v>
      </c>
      <c r="D167" s="6">
        <v>2024</v>
      </c>
      <c r="E167" s="2" t="s">
        <v>259</v>
      </c>
      <c r="F167" s="2" t="s">
        <v>570</v>
      </c>
      <c r="G167" s="2" t="s">
        <v>84</v>
      </c>
      <c r="H167" s="2" t="s">
        <v>85</v>
      </c>
      <c r="I167" s="2" t="s">
        <v>221</v>
      </c>
      <c r="J167" s="3">
        <v>0.71</v>
      </c>
      <c r="K167" s="2" t="s">
        <v>181</v>
      </c>
      <c r="L167" s="2" t="s">
        <v>575</v>
      </c>
      <c r="M167" s="2"/>
      <c r="N167" s="2" t="s">
        <v>141</v>
      </c>
      <c r="O167" s="2"/>
      <c r="P167" s="2"/>
      <c r="Q167" s="2" t="s">
        <v>243</v>
      </c>
      <c r="R167" s="2"/>
      <c r="S167" s="2" t="s">
        <v>90</v>
      </c>
      <c r="T167">
        <v>91.4</v>
      </c>
      <c r="U167" s="3">
        <v>3</v>
      </c>
      <c r="V167" s="3"/>
      <c r="W167" s="3"/>
      <c r="X167" s="3"/>
      <c r="Y167" s="2"/>
      <c r="Z167" s="2"/>
      <c r="AA167" s="2"/>
      <c r="AB167" s="2"/>
      <c r="AC167" s="3"/>
      <c r="AD167" s="3"/>
      <c r="AE167" s="3"/>
      <c r="AF167" s="2"/>
      <c r="AG167" s="2"/>
      <c r="AH167" s="2"/>
      <c r="AI167" s="3"/>
      <c r="AJ167" s="3"/>
      <c r="AK167" s="2"/>
      <c r="AL167" s="2"/>
      <c r="AM167" s="2"/>
      <c r="AN167" s="2"/>
      <c r="AO167" s="2"/>
      <c r="AP167" s="2"/>
      <c r="AQ167" s="2"/>
      <c r="AR167" s="2"/>
      <c r="AS167" s="2"/>
      <c r="AT167" s="2"/>
      <c r="AU167" s="3">
        <v>48.85</v>
      </c>
      <c r="AV167" s="3"/>
      <c r="AW167" t="s">
        <v>572</v>
      </c>
      <c r="AX167" s="2" t="s">
        <v>92</v>
      </c>
      <c r="AY167" s="2">
        <v>22</v>
      </c>
      <c r="AZ167" s="2" t="s">
        <v>573</v>
      </c>
      <c r="BA167" s="3">
        <v>6.47</v>
      </c>
      <c r="BB167" s="3"/>
      <c r="BC167" t="s">
        <v>574</v>
      </c>
      <c r="BD167" s="2" t="s">
        <v>92</v>
      </c>
      <c r="BE167" s="2">
        <v>22</v>
      </c>
      <c r="BF167" s="19" t="s">
        <v>573</v>
      </c>
      <c r="BG167" s="6">
        <v>3</v>
      </c>
      <c r="BH167" s="2"/>
      <c r="BI167" s="2"/>
      <c r="BJ167" s="2"/>
      <c r="BK167" s="2"/>
      <c r="BL167" s="2"/>
      <c r="BM167" s="2"/>
      <c r="BN167" s="3"/>
      <c r="BO167" s="2"/>
      <c r="BP167" s="2"/>
      <c r="BQ167" s="2"/>
      <c r="BR167" s="3"/>
      <c r="BS167" s="2"/>
      <c r="BT167" s="2"/>
      <c r="BU167" s="2"/>
      <c r="BV167" s="2"/>
      <c r="BW167" s="2"/>
      <c r="BX167" s="2" t="s">
        <v>558</v>
      </c>
      <c r="BY167" s="2" t="s">
        <v>99</v>
      </c>
      <c r="BZ167" s="2" t="s">
        <v>221</v>
      </c>
      <c r="CA167" s="2"/>
      <c r="CB167" s="2"/>
    </row>
    <row r="168" spans="1:80" ht="100.9" hidden="1">
      <c r="A168" s="2">
        <v>82</v>
      </c>
      <c r="B168" s="2" t="s">
        <v>568</v>
      </c>
      <c r="C168" s="2" t="s">
        <v>569</v>
      </c>
      <c r="D168" s="6">
        <v>2024</v>
      </c>
      <c r="E168" s="2" t="s">
        <v>259</v>
      </c>
      <c r="F168" s="2" t="s">
        <v>570</v>
      </c>
      <c r="G168" s="2" t="s">
        <v>84</v>
      </c>
      <c r="H168" s="2" t="s">
        <v>85</v>
      </c>
      <c r="I168" s="2" t="s">
        <v>221</v>
      </c>
      <c r="J168" s="3">
        <v>0.71</v>
      </c>
      <c r="K168" s="2" t="s">
        <v>181</v>
      </c>
      <c r="L168" s="2" t="s">
        <v>576</v>
      </c>
      <c r="M168" s="2"/>
      <c r="N168" s="2" t="s">
        <v>141</v>
      </c>
      <c r="O168" s="2"/>
      <c r="P168" s="2"/>
      <c r="Q168" s="2" t="s">
        <v>243</v>
      </c>
      <c r="R168" s="2"/>
      <c r="S168" s="2" t="s">
        <v>90</v>
      </c>
      <c r="T168">
        <v>94</v>
      </c>
      <c r="U168" s="3">
        <v>3</v>
      </c>
      <c r="V168" s="3"/>
      <c r="W168" s="3"/>
      <c r="X168" s="3"/>
      <c r="Y168" s="2"/>
      <c r="Z168" s="2"/>
      <c r="AA168" s="2"/>
      <c r="AB168" s="2"/>
      <c r="AC168" s="3"/>
      <c r="AD168" s="3"/>
      <c r="AE168" s="3"/>
      <c r="AF168" s="2"/>
      <c r="AG168" s="2"/>
      <c r="AH168" s="2"/>
      <c r="AI168" s="3"/>
      <c r="AJ168" s="3"/>
      <c r="AK168" s="2"/>
      <c r="AL168" s="2"/>
      <c r="AM168" s="2"/>
      <c r="AN168" s="2"/>
      <c r="AO168" s="2"/>
      <c r="AP168" s="2"/>
      <c r="AQ168" s="2"/>
      <c r="AR168" s="2"/>
      <c r="AS168" s="2"/>
      <c r="AT168" s="2"/>
      <c r="AU168" s="3">
        <v>50.42</v>
      </c>
      <c r="AV168" s="3"/>
      <c r="AW168" t="s">
        <v>572</v>
      </c>
      <c r="AX168" s="2" t="s">
        <v>92</v>
      </c>
      <c r="AY168" s="2">
        <v>22</v>
      </c>
      <c r="AZ168" s="2" t="s">
        <v>573</v>
      </c>
      <c r="BA168" s="3">
        <v>6.68</v>
      </c>
      <c r="BB168" s="3"/>
      <c r="BC168" t="s">
        <v>574</v>
      </c>
      <c r="BD168" s="2" t="s">
        <v>92</v>
      </c>
      <c r="BE168" s="2">
        <v>22</v>
      </c>
      <c r="BF168" s="19" t="s">
        <v>573</v>
      </c>
      <c r="BG168" s="6">
        <v>3</v>
      </c>
      <c r="BH168" s="2"/>
      <c r="BI168" s="2"/>
      <c r="BJ168" s="2"/>
      <c r="BK168" s="2"/>
      <c r="BL168" s="2"/>
      <c r="BM168" s="2"/>
      <c r="BN168" s="3"/>
      <c r="BO168" s="2"/>
      <c r="BP168" s="2"/>
      <c r="BQ168" s="2"/>
      <c r="BR168" s="3"/>
      <c r="BS168" s="2"/>
      <c r="BT168" s="2"/>
      <c r="BU168" s="2"/>
      <c r="BV168" s="2"/>
      <c r="BW168" s="2"/>
      <c r="BX168" s="2" t="s">
        <v>558</v>
      </c>
      <c r="BY168" s="2" t="s">
        <v>99</v>
      </c>
      <c r="BZ168" s="2" t="s">
        <v>221</v>
      </c>
      <c r="CA168" s="2"/>
      <c r="CB168" s="2"/>
    </row>
    <row r="169" spans="1:80" ht="86.45" hidden="1">
      <c r="A169" s="2">
        <v>83</v>
      </c>
      <c r="B169" s="2" t="s">
        <v>577</v>
      </c>
      <c r="C169" s="2" t="s">
        <v>578</v>
      </c>
      <c r="D169" s="6">
        <v>2024</v>
      </c>
      <c r="E169" s="2" t="s">
        <v>118</v>
      </c>
      <c r="F169" s="2" t="s">
        <v>579</v>
      </c>
      <c r="G169" s="2" t="s">
        <v>84</v>
      </c>
      <c r="H169" s="2" t="s">
        <v>85</v>
      </c>
      <c r="I169" s="2" t="s">
        <v>100</v>
      </c>
      <c r="J169" s="3"/>
      <c r="K169" s="2" t="s">
        <v>160</v>
      </c>
      <c r="L169" s="2" t="s">
        <v>229</v>
      </c>
      <c r="M169" s="2"/>
      <c r="N169" s="2" t="s">
        <v>141</v>
      </c>
      <c r="O169" s="2"/>
      <c r="P169" s="2"/>
      <c r="Q169" s="2"/>
      <c r="R169" s="2"/>
      <c r="S169" s="2"/>
      <c r="U169" s="3"/>
      <c r="V169" s="3"/>
      <c r="W169" s="3"/>
      <c r="X169" s="3"/>
      <c r="Y169" s="2"/>
      <c r="Z169" s="2"/>
      <c r="AA169" s="2"/>
      <c r="AB169" s="2"/>
      <c r="AC169" s="3"/>
      <c r="AD169" s="3"/>
      <c r="AE169" s="3"/>
      <c r="AF169" s="2"/>
      <c r="AG169" s="2"/>
      <c r="AH169" s="2"/>
      <c r="AI169" s="3"/>
      <c r="AJ169" s="3"/>
      <c r="AK169" s="2"/>
      <c r="AL169" s="2"/>
      <c r="AM169" s="2"/>
      <c r="AN169" s="2"/>
      <c r="AO169" s="2"/>
      <c r="AP169" s="2"/>
      <c r="AQ169" s="2"/>
      <c r="AR169" s="2"/>
      <c r="AS169" s="2"/>
      <c r="AT169" s="2"/>
      <c r="AU169" s="3"/>
      <c r="AV169" s="3"/>
      <c r="AW169" s="2"/>
      <c r="AX169" s="2"/>
      <c r="AY169" s="2"/>
      <c r="AZ169" s="2"/>
      <c r="BA169" s="3"/>
      <c r="BB169" s="3"/>
      <c r="BC169" s="2"/>
      <c r="BD169" s="2"/>
      <c r="BE169" s="3"/>
      <c r="BF169" s="19"/>
      <c r="BG169" s="6"/>
      <c r="BH169" s="2"/>
      <c r="BI169" s="2"/>
      <c r="BJ169" s="2"/>
      <c r="BK169" s="2"/>
      <c r="BL169" s="2"/>
      <c r="BM169" s="2"/>
      <c r="BN169" s="3"/>
      <c r="BO169" s="2"/>
      <c r="BP169" s="2"/>
      <c r="BQ169" s="2"/>
      <c r="BR169" s="3"/>
      <c r="BS169" s="2"/>
      <c r="BT169" s="2"/>
      <c r="BU169" s="2"/>
      <c r="BV169" s="2"/>
      <c r="BW169" s="2"/>
      <c r="BX169" s="2"/>
      <c r="BY169" s="2" t="s">
        <v>99</v>
      </c>
      <c r="BZ169" s="2"/>
      <c r="CA169" s="2"/>
      <c r="CB169" s="2"/>
    </row>
    <row r="170" spans="1:80" ht="57.6" hidden="1">
      <c r="A170">
        <v>84</v>
      </c>
      <c r="B170" t="s">
        <v>580</v>
      </c>
      <c r="C170" t="s">
        <v>581</v>
      </c>
      <c r="D170" s="6">
        <v>2024</v>
      </c>
      <c r="E170" t="s">
        <v>137</v>
      </c>
      <c r="F170" t="s">
        <v>582</v>
      </c>
      <c r="G170" s="2" t="s">
        <v>84</v>
      </c>
      <c r="H170" s="2" t="s">
        <v>85</v>
      </c>
      <c r="I170" s="2" t="s">
        <v>100</v>
      </c>
      <c r="J170" s="3"/>
      <c r="K170" s="2" t="s">
        <v>115</v>
      </c>
      <c r="T170" s="3"/>
      <c r="U170" s="3"/>
      <c r="V170" s="3"/>
      <c r="W170" s="3"/>
      <c r="X170" s="3"/>
      <c r="AC170" s="3"/>
      <c r="AD170" s="3"/>
      <c r="AE170" s="3"/>
      <c r="AI170" s="3"/>
      <c r="AJ170" s="3"/>
      <c r="AU170" s="3"/>
      <c r="AV170" s="3"/>
      <c r="BA170" s="3"/>
      <c r="BB170" s="3"/>
      <c r="BE170" s="3"/>
      <c r="BF170" s="19"/>
      <c r="BG170" s="6"/>
      <c r="BN170" s="3"/>
      <c r="BR170" s="3"/>
      <c r="BY170" s="2" t="s">
        <v>99</v>
      </c>
    </row>
    <row r="171" spans="1:80" ht="57.6" hidden="1">
      <c r="A171">
        <v>85</v>
      </c>
      <c r="B171" t="s">
        <v>583</v>
      </c>
      <c r="C171" t="s">
        <v>584</v>
      </c>
      <c r="D171" s="6">
        <v>2024</v>
      </c>
      <c r="E171" t="s">
        <v>585</v>
      </c>
      <c r="F171" t="s">
        <v>586</v>
      </c>
      <c r="G171" s="2" t="s">
        <v>84</v>
      </c>
      <c r="H171" s="2" t="s">
        <v>85</v>
      </c>
      <c r="I171" s="2" t="s">
        <v>100</v>
      </c>
      <c r="J171" s="3"/>
      <c r="K171" s="2" t="s">
        <v>115</v>
      </c>
      <c r="T171" s="3"/>
      <c r="U171" s="3"/>
      <c r="V171" s="3"/>
      <c r="W171" s="3"/>
      <c r="X171" s="3"/>
      <c r="AC171" s="3"/>
      <c r="AD171" s="3"/>
      <c r="AE171" s="3"/>
      <c r="AI171" s="3"/>
      <c r="AJ171" s="3"/>
      <c r="AU171" s="3"/>
      <c r="AV171" s="3"/>
      <c r="BA171" s="3"/>
      <c r="BB171" s="3"/>
      <c r="BE171" s="3"/>
      <c r="BF171" s="19"/>
      <c r="BG171" s="6"/>
      <c r="BN171" s="3"/>
      <c r="BR171" s="3"/>
      <c r="BY171" s="2" t="s">
        <v>99</v>
      </c>
    </row>
    <row r="172" spans="1:80" ht="144" hidden="1">
      <c r="A172" s="2">
        <v>86</v>
      </c>
      <c r="B172" s="2" t="s">
        <v>587</v>
      </c>
      <c r="C172" s="2" t="s">
        <v>588</v>
      </c>
      <c r="D172" s="6">
        <v>2024</v>
      </c>
      <c r="E172" s="2" t="s">
        <v>226</v>
      </c>
      <c r="F172" s="2" t="s">
        <v>589</v>
      </c>
      <c r="G172" s="2" t="s">
        <v>84</v>
      </c>
      <c r="H172" s="2" t="s">
        <v>85</v>
      </c>
      <c r="I172" s="2" t="s">
        <v>100</v>
      </c>
      <c r="J172" s="3"/>
      <c r="K172" s="2" t="s">
        <v>160</v>
      </c>
      <c r="L172" s="2"/>
      <c r="M172" s="2"/>
      <c r="N172" s="2"/>
      <c r="O172" s="2"/>
      <c r="P172" s="2"/>
      <c r="Q172" s="2"/>
      <c r="R172" s="2"/>
      <c r="S172" s="2"/>
      <c r="T172" s="3"/>
      <c r="U172" s="3"/>
      <c r="V172" s="3"/>
      <c r="W172" s="3"/>
      <c r="X172" s="3"/>
      <c r="Y172" s="2"/>
      <c r="Z172" s="2"/>
      <c r="AA172" s="2"/>
      <c r="AB172" s="2"/>
      <c r="AC172" s="3"/>
      <c r="AD172" s="3"/>
      <c r="AE172" s="3"/>
      <c r="AF172" s="2"/>
      <c r="AG172" s="2"/>
      <c r="AH172" s="2"/>
      <c r="AI172" s="3"/>
      <c r="AJ172" s="3"/>
      <c r="AK172" s="2"/>
      <c r="AL172" s="2"/>
      <c r="AM172" s="2"/>
      <c r="AN172" s="2"/>
      <c r="AO172" s="2"/>
      <c r="AP172" s="2"/>
      <c r="AQ172" s="2"/>
      <c r="AR172" s="2"/>
      <c r="AS172" s="2"/>
      <c r="AT172" s="2"/>
      <c r="AU172" s="3"/>
      <c r="AV172" s="3"/>
      <c r="AW172" s="2"/>
      <c r="AX172" s="2"/>
      <c r="AY172" s="2"/>
      <c r="AZ172" s="2"/>
      <c r="BA172" s="3"/>
      <c r="BB172" s="3"/>
      <c r="BC172" s="2"/>
      <c r="BD172" s="2"/>
      <c r="BE172" s="3"/>
      <c r="BF172" s="19"/>
      <c r="BG172" s="6"/>
      <c r="BH172" s="2"/>
      <c r="BI172" s="2"/>
      <c r="BJ172" s="2"/>
      <c r="BK172" s="2"/>
      <c r="BL172" s="2"/>
      <c r="BM172" s="2"/>
      <c r="BN172" s="3"/>
      <c r="BO172" s="2"/>
      <c r="BP172" s="2"/>
      <c r="BQ172" s="2"/>
      <c r="BR172" s="3"/>
      <c r="BS172" s="2"/>
      <c r="BT172" s="2"/>
      <c r="BU172" s="2"/>
      <c r="BV172" s="2"/>
      <c r="BW172" s="2"/>
      <c r="BX172" s="2"/>
      <c r="BY172" s="2" t="s">
        <v>99</v>
      </c>
      <c r="BZ172" s="2"/>
      <c r="CA172" s="2"/>
      <c r="CB172" s="2"/>
    </row>
    <row r="173" spans="1:80" ht="57.6" hidden="1">
      <c r="A173">
        <v>87</v>
      </c>
      <c r="B173" t="s">
        <v>590</v>
      </c>
      <c r="C173" t="s">
        <v>591</v>
      </c>
      <c r="D173" s="6">
        <v>2024</v>
      </c>
      <c r="E173" t="s">
        <v>337</v>
      </c>
      <c r="F173" t="s">
        <v>592</v>
      </c>
      <c r="G173" s="2" t="s">
        <v>84</v>
      </c>
      <c r="H173" s="2" t="s">
        <v>85</v>
      </c>
      <c r="I173" s="2" t="s">
        <v>100</v>
      </c>
      <c r="J173" s="3"/>
      <c r="K173" s="2" t="s">
        <v>115</v>
      </c>
      <c r="T173" s="3"/>
      <c r="U173" s="3"/>
      <c r="V173" s="3"/>
      <c r="W173" s="3"/>
      <c r="X173" s="3"/>
      <c r="AC173" s="3"/>
      <c r="AD173" s="3"/>
      <c r="AE173" s="3"/>
      <c r="AI173" s="3"/>
      <c r="AJ173" s="3"/>
      <c r="AU173" s="3"/>
      <c r="AV173" s="3"/>
      <c r="BA173" s="3"/>
      <c r="BB173" s="3"/>
      <c r="BE173" s="3"/>
      <c r="BF173" s="19"/>
      <c r="BG173" s="6"/>
      <c r="BN173" s="3"/>
      <c r="BR173" s="3"/>
      <c r="BY173" s="2" t="s">
        <v>99</v>
      </c>
    </row>
    <row r="174" spans="1:80" ht="57.6" hidden="1">
      <c r="A174">
        <v>88</v>
      </c>
      <c r="B174" t="s">
        <v>593</v>
      </c>
      <c r="C174" t="s">
        <v>594</v>
      </c>
      <c r="D174" s="6">
        <v>2024</v>
      </c>
      <c r="E174" t="s">
        <v>137</v>
      </c>
      <c r="F174" t="s">
        <v>595</v>
      </c>
      <c r="G174" s="2" t="s">
        <v>84</v>
      </c>
      <c r="H174" s="2" t="s">
        <v>85</v>
      </c>
      <c r="I174" s="2" t="s">
        <v>100</v>
      </c>
      <c r="J174" s="3"/>
      <c r="K174" s="2" t="s">
        <v>115</v>
      </c>
      <c r="T174" s="3"/>
      <c r="U174" s="3"/>
      <c r="V174" s="3"/>
      <c r="W174" s="3"/>
      <c r="X174" s="3"/>
      <c r="AC174" s="3"/>
      <c r="AD174" s="3"/>
      <c r="AE174" s="3"/>
      <c r="AI174" s="3"/>
      <c r="AJ174" s="3"/>
      <c r="AU174" s="3"/>
      <c r="AV174" s="3"/>
      <c r="BA174" s="3"/>
      <c r="BB174" s="3"/>
      <c r="BE174" s="3"/>
      <c r="BF174" s="19"/>
      <c r="BG174" s="6"/>
      <c r="BN174" s="3"/>
      <c r="BR174" s="3"/>
      <c r="BY174" s="2" t="s">
        <v>99</v>
      </c>
    </row>
    <row r="175" spans="1:80" ht="100.9" hidden="1">
      <c r="A175" s="2">
        <v>89</v>
      </c>
      <c r="B175" s="2" t="s">
        <v>596</v>
      </c>
      <c r="C175" s="2" t="s">
        <v>597</v>
      </c>
      <c r="D175" s="6">
        <v>2024</v>
      </c>
      <c r="E175" s="2" t="s">
        <v>598</v>
      </c>
      <c r="F175" s="2" t="s">
        <v>599</v>
      </c>
      <c r="G175" s="2" t="s">
        <v>84</v>
      </c>
      <c r="H175" s="2" t="s">
        <v>85</v>
      </c>
      <c r="I175" s="2" t="s">
        <v>100</v>
      </c>
      <c r="J175" s="3"/>
      <c r="K175" s="2" t="s">
        <v>115</v>
      </c>
      <c r="L175" s="2"/>
      <c r="M175" s="2"/>
      <c r="N175" s="2"/>
      <c r="O175" s="2"/>
      <c r="P175" s="2"/>
      <c r="Q175" s="2"/>
      <c r="R175" s="2"/>
      <c r="S175" s="2"/>
      <c r="T175" s="3"/>
      <c r="U175" s="3"/>
      <c r="V175" s="3"/>
      <c r="W175" s="3"/>
      <c r="X175" s="3"/>
      <c r="Y175" s="2"/>
      <c r="Z175" s="2"/>
      <c r="AA175" s="2"/>
      <c r="AB175" s="2"/>
      <c r="AC175" s="3"/>
      <c r="AD175" s="3"/>
      <c r="AE175" s="3"/>
      <c r="AF175" s="2"/>
      <c r="AG175" s="2"/>
      <c r="AH175" s="2"/>
      <c r="AI175" s="3"/>
      <c r="AJ175" s="3"/>
      <c r="AK175" s="2"/>
      <c r="AL175" s="2"/>
      <c r="AM175" s="2"/>
      <c r="AN175" s="2"/>
      <c r="AO175" s="2"/>
      <c r="AP175" s="2"/>
      <c r="AQ175" s="2"/>
      <c r="AR175" s="2"/>
      <c r="AS175" s="2"/>
      <c r="AT175" s="2"/>
      <c r="AU175" s="3"/>
      <c r="AV175" s="3"/>
      <c r="AW175" s="2"/>
      <c r="AX175" s="2"/>
      <c r="AY175" s="2"/>
      <c r="AZ175" s="2"/>
      <c r="BA175" s="3"/>
      <c r="BB175" s="3"/>
      <c r="BC175" s="2"/>
      <c r="BD175" s="2"/>
      <c r="BE175" s="3"/>
      <c r="BF175" s="19"/>
      <c r="BG175" s="6"/>
      <c r="BH175" s="2"/>
      <c r="BI175" s="2"/>
      <c r="BJ175" s="2"/>
      <c r="BK175" s="2"/>
      <c r="BL175" s="2"/>
      <c r="BM175" s="2"/>
      <c r="BN175" s="3"/>
      <c r="BO175" s="2"/>
      <c r="BP175" s="2"/>
      <c r="BQ175" s="2"/>
      <c r="BR175" s="3"/>
      <c r="BS175" s="2"/>
      <c r="BT175" s="2"/>
      <c r="BU175" s="2"/>
      <c r="BV175" s="2"/>
      <c r="BW175" s="2"/>
      <c r="BX175" s="2"/>
      <c r="BY175" s="2" t="s">
        <v>99</v>
      </c>
      <c r="BZ175" s="2"/>
      <c r="CA175" s="2"/>
      <c r="CB175" s="2"/>
    </row>
    <row r="176" spans="1:80" ht="100.9" hidden="1">
      <c r="A176" s="2">
        <v>90</v>
      </c>
      <c r="B176" s="2" t="s">
        <v>600</v>
      </c>
      <c r="C176" s="2" t="s">
        <v>601</v>
      </c>
      <c r="D176" s="6">
        <v>2024</v>
      </c>
      <c r="E176" s="2" t="s">
        <v>602</v>
      </c>
      <c r="F176" s="2" t="s">
        <v>603</v>
      </c>
      <c r="G176" s="2" t="s">
        <v>84</v>
      </c>
      <c r="H176" s="2" t="s">
        <v>85</v>
      </c>
      <c r="I176" s="2" t="s">
        <v>100</v>
      </c>
      <c r="J176" s="3"/>
      <c r="K176" s="2" t="s">
        <v>115</v>
      </c>
      <c r="L176" s="2" t="s">
        <v>604</v>
      </c>
      <c r="M176" s="2"/>
      <c r="N176" s="2" t="s">
        <v>129</v>
      </c>
      <c r="O176" s="2"/>
      <c r="P176" s="2"/>
      <c r="Q176" s="2"/>
      <c r="R176" s="2"/>
      <c r="S176" s="2"/>
      <c r="T176" s="3"/>
      <c r="U176" s="3"/>
      <c r="V176" s="3"/>
      <c r="W176" s="3"/>
      <c r="X176" s="3"/>
      <c r="Y176" s="2"/>
      <c r="Z176" s="2" t="s">
        <v>253</v>
      </c>
      <c r="AA176" s="2">
        <v>23</v>
      </c>
      <c r="AB176" s="2">
        <v>0</v>
      </c>
      <c r="AC176" s="3"/>
      <c r="AD176" s="3"/>
      <c r="AE176" s="3"/>
      <c r="AF176" s="2"/>
      <c r="AG176" s="2"/>
      <c r="AH176" s="2"/>
      <c r="AI176" s="3"/>
      <c r="AJ176" s="3"/>
      <c r="AK176" s="2"/>
      <c r="AL176" s="2"/>
      <c r="AM176" s="2"/>
      <c r="AN176" s="2"/>
      <c r="AO176" s="2"/>
      <c r="AP176" s="2"/>
      <c r="AQ176" s="2"/>
      <c r="AR176" s="2"/>
      <c r="AS176" s="2"/>
      <c r="AT176" s="2"/>
      <c r="AU176" s="3"/>
      <c r="AV176" s="3"/>
      <c r="AW176" s="2"/>
      <c r="AX176" s="2"/>
      <c r="AY176" s="2"/>
      <c r="AZ176" s="2"/>
      <c r="BA176" s="3">
        <v>163.1</v>
      </c>
      <c r="BB176" s="3">
        <v>3.3</v>
      </c>
      <c r="BC176" t="s">
        <v>605</v>
      </c>
      <c r="BD176" s="2" t="s">
        <v>92</v>
      </c>
      <c r="BE176" s="3">
        <v>37.799999999999997</v>
      </c>
      <c r="BF176" s="19">
        <v>0.9</v>
      </c>
      <c r="BG176" s="6">
        <v>3</v>
      </c>
      <c r="BH176" s="2"/>
      <c r="BI176" s="2"/>
      <c r="BJ176" s="2"/>
      <c r="BK176" s="2"/>
      <c r="BL176" s="2"/>
      <c r="BM176" s="2"/>
      <c r="BN176" s="3"/>
      <c r="BO176" s="2"/>
      <c r="BP176" s="2"/>
      <c r="BQ176" s="2"/>
      <c r="BR176" s="3"/>
      <c r="BS176" s="2"/>
      <c r="BT176" s="2"/>
      <c r="BU176" s="2"/>
      <c r="BV176" s="2"/>
      <c r="BW176" s="2"/>
      <c r="BX176" s="2"/>
      <c r="BY176" s="2" t="s">
        <v>99</v>
      </c>
      <c r="BZ176" s="2"/>
      <c r="CA176" s="2"/>
      <c r="CB176" s="2"/>
    </row>
    <row r="177" spans="1:80" ht="100.9" hidden="1">
      <c r="A177" s="2">
        <v>90</v>
      </c>
      <c r="B177" s="2" t="s">
        <v>600</v>
      </c>
      <c r="C177" s="2" t="s">
        <v>601</v>
      </c>
      <c r="D177" s="6">
        <v>2024</v>
      </c>
      <c r="E177" s="2" t="s">
        <v>602</v>
      </c>
      <c r="F177" s="2" t="s">
        <v>603</v>
      </c>
      <c r="G177" s="2" t="s">
        <v>84</v>
      </c>
      <c r="H177" s="2" t="s">
        <v>85</v>
      </c>
      <c r="I177" s="2" t="s">
        <v>100</v>
      </c>
      <c r="J177" s="3"/>
      <c r="K177" s="2" t="s">
        <v>115</v>
      </c>
      <c r="L177" s="2" t="s">
        <v>486</v>
      </c>
      <c r="M177" s="2"/>
      <c r="N177" s="2" t="s">
        <v>129</v>
      </c>
      <c r="O177" s="2"/>
      <c r="P177" s="2"/>
      <c r="Q177" s="2"/>
      <c r="R177" s="2"/>
      <c r="S177" s="2"/>
      <c r="T177" s="3"/>
      <c r="U177" s="3"/>
      <c r="V177" s="3"/>
      <c r="W177" s="3"/>
      <c r="X177" s="3"/>
      <c r="Y177" s="2"/>
      <c r="Z177" s="2"/>
      <c r="AA177" s="2"/>
      <c r="AB177" s="2"/>
      <c r="AC177" s="3"/>
      <c r="AD177" s="3"/>
      <c r="AE177" s="3"/>
      <c r="AF177" s="2"/>
      <c r="AG177" s="2"/>
      <c r="AH177" s="2"/>
      <c r="AI177" s="3"/>
      <c r="AJ177" s="3"/>
      <c r="AK177" s="2"/>
      <c r="AL177" s="2"/>
      <c r="AM177" s="2"/>
      <c r="AN177" s="2"/>
      <c r="AO177" s="2"/>
      <c r="AP177" s="2"/>
      <c r="AQ177" s="2"/>
      <c r="AR177" s="2"/>
      <c r="AS177" s="2"/>
      <c r="AT177" s="2"/>
      <c r="AU177" s="3"/>
      <c r="AV177" s="3"/>
      <c r="AW177" s="2"/>
      <c r="AX177" s="2"/>
      <c r="AY177" s="2"/>
      <c r="AZ177" s="2"/>
      <c r="BA177" s="3">
        <v>9.3000000000000007</v>
      </c>
      <c r="BB177" s="3">
        <v>0.1</v>
      </c>
      <c r="BC177" t="s">
        <v>605</v>
      </c>
      <c r="BD177" s="2" t="s">
        <v>92</v>
      </c>
      <c r="BE177" s="3">
        <v>37.799999999999997</v>
      </c>
      <c r="BF177" s="19">
        <v>0.9</v>
      </c>
      <c r="BG177" s="6">
        <v>3</v>
      </c>
      <c r="BH177" s="2"/>
      <c r="BI177" s="2"/>
      <c r="BJ177" s="2"/>
      <c r="BK177" s="2"/>
      <c r="BL177" s="2"/>
      <c r="BM177" s="2"/>
      <c r="BN177" s="3"/>
      <c r="BO177" s="2"/>
      <c r="BP177" s="2"/>
      <c r="BQ177" s="2"/>
      <c r="BR177" s="3"/>
      <c r="BS177" s="2"/>
      <c r="BT177" s="2"/>
      <c r="BU177" s="2"/>
      <c r="BV177" s="2"/>
      <c r="BW177" s="2"/>
      <c r="BX177" s="2"/>
      <c r="BY177" s="2" t="s">
        <v>99</v>
      </c>
      <c r="BZ177" s="2"/>
      <c r="CA177" s="2"/>
      <c r="CB177" s="2"/>
    </row>
    <row r="178" spans="1:80" ht="86.45" hidden="1">
      <c r="A178" s="2">
        <v>91</v>
      </c>
      <c r="B178" s="2" t="s">
        <v>606</v>
      </c>
      <c r="C178" s="2" t="s">
        <v>607</v>
      </c>
      <c r="D178" s="6">
        <v>2024</v>
      </c>
      <c r="E178" s="2" t="s">
        <v>608</v>
      </c>
      <c r="F178" s="2" t="s">
        <v>609</v>
      </c>
      <c r="G178" s="2" t="s">
        <v>84</v>
      </c>
      <c r="H178" s="2" t="s">
        <v>85</v>
      </c>
      <c r="I178" s="2" t="s">
        <v>100</v>
      </c>
      <c r="J178" s="3">
        <v>0.64</v>
      </c>
      <c r="K178" s="2" t="s">
        <v>181</v>
      </c>
      <c r="L178" s="2" t="s">
        <v>303</v>
      </c>
      <c r="M178" s="2"/>
      <c r="N178" s="2" t="s">
        <v>141</v>
      </c>
      <c r="O178" s="2"/>
      <c r="P178" s="2"/>
      <c r="Q178" s="2" t="s">
        <v>89</v>
      </c>
      <c r="R178" s="2"/>
      <c r="S178" s="2" t="s">
        <v>90</v>
      </c>
      <c r="T178" s="3">
        <v>191</v>
      </c>
      <c r="U178" s="3" t="s">
        <v>230</v>
      </c>
      <c r="V178" s="3"/>
      <c r="W178" s="3">
        <v>0</v>
      </c>
      <c r="X178" s="3"/>
      <c r="Y178" s="2" t="s">
        <v>610</v>
      </c>
      <c r="Z178" s="2" t="s">
        <v>253</v>
      </c>
      <c r="AA178" s="2"/>
      <c r="AB178" s="2"/>
      <c r="AC178" s="3"/>
      <c r="AD178" s="3"/>
      <c r="AE178" s="3"/>
      <c r="AF178" s="2"/>
      <c r="AG178" s="2"/>
      <c r="AH178" s="2"/>
      <c r="AI178" s="3"/>
      <c r="AJ178" s="3"/>
      <c r="AK178" s="2"/>
      <c r="AL178" s="2"/>
      <c r="AM178" s="2"/>
      <c r="AN178" s="2"/>
      <c r="AO178" s="2"/>
      <c r="AP178" s="2"/>
      <c r="AQ178" s="2"/>
      <c r="AR178" s="2"/>
      <c r="AS178" s="2"/>
      <c r="AT178" s="2"/>
      <c r="AU178" s="3"/>
      <c r="AV178" s="3"/>
      <c r="AW178" s="2"/>
      <c r="AX178" s="2"/>
      <c r="AY178" s="2"/>
      <c r="AZ178" s="2"/>
      <c r="BA178" s="3"/>
      <c r="BB178" s="3"/>
      <c r="BC178" s="2"/>
      <c r="BD178" s="2"/>
      <c r="BE178" s="3"/>
      <c r="BF178" s="19"/>
      <c r="BG178" s="6" t="s">
        <v>230</v>
      </c>
      <c r="BH178" s="2"/>
      <c r="BI178" s="2"/>
      <c r="BJ178" s="2"/>
      <c r="BK178" s="2"/>
      <c r="BL178" s="2"/>
      <c r="BM178" s="2"/>
      <c r="BN178" s="3"/>
      <c r="BO178" s="2"/>
      <c r="BP178" s="2"/>
      <c r="BQ178" s="2"/>
      <c r="BR178" s="3"/>
      <c r="BS178" s="2"/>
      <c r="BT178" s="2"/>
      <c r="BU178" s="2"/>
      <c r="BV178" s="2"/>
      <c r="BW178" s="2"/>
      <c r="BX178" s="2" t="s">
        <v>558</v>
      </c>
      <c r="BY178" s="2" t="s">
        <v>99</v>
      </c>
      <c r="BZ178" s="2" t="s">
        <v>221</v>
      </c>
      <c r="CA178" s="2"/>
      <c r="CB178" s="2"/>
    </row>
    <row r="179" spans="1:80" ht="57.6" hidden="1">
      <c r="A179">
        <v>92</v>
      </c>
      <c r="B179" t="s">
        <v>611</v>
      </c>
      <c r="C179" t="s">
        <v>612</v>
      </c>
      <c r="D179" s="6">
        <v>2024</v>
      </c>
      <c r="E179" t="s">
        <v>137</v>
      </c>
      <c r="F179" t="s">
        <v>613</v>
      </c>
      <c r="G179" s="2" t="s">
        <v>84</v>
      </c>
      <c r="H179" s="2" t="s">
        <v>85</v>
      </c>
      <c r="I179" s="2" t="s">
        <v>100</v>
      </c>
      <c r="J179" s="3"/>
      <c r="K179" s="2" t="s">
        <v>115</v>
      </c>
      <c r="T179" s="3"/>
      <c r="U179" s="3"/>
      <c r="V179" s="3"/>
      <c r="W179" s="3"/>
      <c r="X179" s="3"/>
      <c r="AC179" s="3"/>
      <c r="AD179" s="3"/>
      <c r="AE179" s="3"/>
      <c r="AI179" s="3"/>
      <c r="AJ179" s="3"/>
      <c r="AU179" s="3"/>
      <c r="AV179" s="3"/>
      <c r="BA179" s="3"/>
      <c r="BB179" s="3"/>
      <c r="BE179" s="3"/>
      <c r="BF179" s="19"/>
      <c r="BG179" s="6"/>
      <c r="BN179" s="3"/>
      <c r="BR179" s="3"/>
      <c r="BY179" s="2" t="s">
        <v>99</v>
      </c>
    </row>
    <row r="180" spans="1:80" ht="345.6" hidden="1">
      <c r="A180" s="2">
        <v>93</v>
      </c>
      <c r="B180" s="2" t="s">
        <v>614</v>
      </c>
      <c r="C180" s="2" t="s">
        <v>615</v>
      </c>
      <c r="D180" s="6">
        <v>2024</v>
      </c>
      <c r="E180" s="2" t="s">
        <v>616</v>
      </c>
      <c r="F180" s="2" t="s">
        <v>617</v>
      </c>
      <c r="G180" s="2" t="s">
        <v>84</v>
      </c>
      <c r="H180" s="2" t="s">
        <v>85</v>
      </c>
      <c r="I180" s="2" t="s">
        <v>84</v>
      </c>
      <c r="J180" s="3">
        <v>0.86</v>
      </c>
      <c r="K180" s="2"/>
      <c r="L180" s="2" t="s">
        <v>303</v>
      </c>
      <c r="M180" s="2" t="s">
        <v>303</v>
      </c>
      <c r="N180" s="2" t="s">
        <v>141</v>
      </c>
      <c r="O180" s="2" t="s">
        <v>84</v>
      </c>
      <c r="P180" s="2" t="s">
        <v>84</v>
      </c>
      <c r="Q180" s="2" t="s">
        <v>243</v>
      </c>
      <c r="R180" s="19">
        <v>0.4</v>
      </c>
      <c r="S180" s="2" t="s">
        <v>90</v>
      </c>
      <c r="T180" s="3">
        <v>6.3E-2</v>
      </c>
      <c r="U180" s="3">
        <v>1E-3</v>
      </c>
      <c r="V180" s="3">
        <v>3</v>
      </c>
      <c r="W180" s="3"/>
      <c r="X180" s="3"/>
      <c r="Y180" s="2"/>
      <c r="Z180" s="2"/>
      <c r="AA180" s="2"/>
      <c r="AB180" s="2"/>
      <c r="AC180" s="3"/>
      <c r="AD180" s="3"/>
      <c r="AE180" s="3"/>
      <c r="AF180" s="2"/>
      <c r="AG180" s="2"/>
      <c r="AH180" s="2"/>
      <c r="AI180" s="3"/>
      <c r="AJ180" s="3"/>
      <c r="AK180" s="2"/>
      <c r="AL180" s="2"/>
      <c r="AM180" s="2"/>
      <c r="AN180" s="2"/>
      <c r="AO180" s="2"/>
      <c r="AP180" s="2"/>
      <c r="AQ180" s="2"/>
      <c r="AR180" s="2"/>
      <c r="AS180" s="2"/>
      <c r="AT180" s="2"/>
      <c r="AU180" s="3"/>
      <c r="AV180" s="3"/>
      <c r="AW180" s="2"/>
      <c r="AX180" s="2"/>
      <c r="AY180" s="2"/>
      <c r="AZ180" s="2"/>
      <c r="BA180" s="3">
        <v>3.4299999999999999E-9</v>
      </c>
      <c r="BB180" s="3">
        <v>1.2999999999999999E-10</v>
      </c>
      <c r="BC180" s="5" t="s">
        <v>618</v>
      </c>
      <c r="BD180" s="2"/>
      <c r="BE180" s="3">
        <v>25</v>
      </c>
      <c r="BF180" s="19">
        <v>0.6</v>
      </c>
      <c r="BG180" s="6">
        <v>3</v>
      </c>
      <c r="BH180" s="2"/>
      <c r="BI180" s="2"/>
      <c r="BJ180" s="2"/>
      <c r="BK180" s="2"/>
      <c r="BL180" s="2"/>
      <c r="BM180" s="2"/>
      <c r="BN180" s="3"/>
      <c r="BO180" s="2"/>
      <c r="BP180" s="2"/>
      <c r="BQ180" s="2"/>
      <c r="BR180" s="3"/>
      <c r="BS180" s="2"/>
      <c r="BT180" s="2"/>
      <c r="BU180" s="2"/>
      <c r="BV180" s="2"/>
      <c r="BW180" s="2"/>
      <c r="BX180" s="2" t="s">
        <v>98</v>
      </c>
      <c r="BY180" s="2" t="s">
        <v>99</v>
      </c>
      <c r="BZ180" s="2" t="s">
        <v>100</v>
      </c>
      <c r="CA180" s="5" t="s">
        <v>619</v>
      </c>
      <c r="CB180" s="2"/>
    </row>
    <row r="181" spans="1:80" ht="345.6" hidden="1">
      <c r="A181" s="2">
        <v>93</v>
      </c>
      <c r="B181" s="2" t="s">
        <v>614</v>
      </c>
      <c r="C181" s="2" t="s">
        <v>615</v>
      </c>
      <c r="D181" s="6">
        <v>2024</v>
      </c>
      <c r="E181" s="2" t="s">
        <v>616</v>
      </c>
      <c r="F181" s="2" t="s">
        <v>617</v>
      </c>
      <c r="G181" s="2" t="s">
        <v>84</v>
      </c>
      <c r="H181" s="2" t="s">
        <v>85</v>
      </c>
      <c r="I181" s="2" t="s">
        <v>84</v>
      </c>
      <c r="J181" s="3">
        <v>0.86</v>
      </c>
      <c r="K181" s="2"/>
      <c r="L181" s="2" t="s">
        <v>303</v>
      </c>
      <c r="M181" s="2" t="s">
        <v>303</v>
      </c>
      <c r="N181" s="2" t="s">
        <v>141</v>
      </c>
      <c r="O181" s="2" t="s">
        <v>84</v>
      </c>
      <c r="P181" s="2" t="s">
        <v>84</v>
      </c>
      <c r="Q181" s="5" t="s">
        <v>620</v>
      </c>
      <c r="R181" s="21" t="s">
        <v>621</v>
      </c>
      <c r="S181" s="2" t="s">
        <v>90</v>
      </c>
      <c r="T181" s="3">
        <v>6.7000000000000004E-2</v>
      </c>
      <c r="U181" s="3">
        <v>2E-3</v>
      </c>
      <c r="V181" s="3">
        <v>3</v>
      </c>
      <c r="W181" s="3"/>
      <c r="X181" s="3"/>
      <c r="Y181" s="2"/>
      <c r="Z181" s="2"/>
      <c r="AA181" s="2"/>
      <c r="AB181" s="2"/>
      <c r="AC181" s="3"/>
      <c r="AD181" s="3"/>
      <c r="AE181" s="3"/>
      <c r="AF181" s="2"/>
      <c r="AG181" s="2"/>
      <c r="AH181" s="2"/>
      <c r="AI181" s="3"/>
      <c r="AJ181" s="3"/>
      <c r="AK181" s="2"/>
      <c r="AL181" s="2"/>
      <c r="AM181" s="2"/>
      <c r="AN181" s="2"/>
      <c r="AO181" s="2"/>
      <c r="AP181" s="2"/>
      <c r="AQ181" s="2"/>
      <c r="AR181" s="2"/>
      <c r="AS181" s="2"/>
      <c r="AT181" s="2"/>
      <c r="AU181" s="3"/>
      <c r="AV181" s="3"/>
      <c r="AW181" s="2"/>
      <c r="AX181" s="2"/>
      <c r="AY181" s="2"/>
      <c r="AZ181" s="2"/>
      <c r="BA181" s="3">
        <v>3.3299999999999999E-9</v>
      </c>
      <c r="BB181" s="3">
        <v>5.0000000000000002E-11</v>
      </c>
      <c r="BC181" s="5" t="s">
        <v>618</v>
      </c>
      <c r="BD181" s="2"/>
      <c r="BE181" s="3">
        <v>25</v>
      </c>
      <c r="BF181" s="19">
        <v>0.6</v>
      </c>
      <c r="BG181" s="6">
        <v>3</v>
      </c>
      <c r="BH181" s="2"/>
      <c r="BI181" s="2"/>
      <c r="BJ181" s="2"/>
      <c r="BK181" s="2"/>
      <c r="BL181" s="2"/>
      <c r="BM181" s="2"/>
      <c r="BN181" s="3"/>
      <c r="BO181" s="2"/>
      <c r="BP181" s="2"/>
      <c r="BQ181" s="2"/>
      <c r="BR181" s="3"/>
      <c r="BS181" s="2"/>
      <c r="BT181" s="2"/>
      <c r="BU181" s="2"/>
      <c r="BV181" s="2"/>
      <c r="BW181" s="2"/>
      <c r="BX181" s="2" t="s">
        <v>558</v>
      </c>
      <c r="BY181" s="2" t="s">
        <v>99</v>
      </c>
      <c r="BZ181" s="2" t="s">
        <v>100</v>
      </c>
      <c r="CA181" s="5" t="s">
        <v>619</v>
      </c>
      <c r="CB181" s="2"/>
    </row>
    <row r="182" spans="1:80" ht="345.6" hidden="1">
      <c r="A182" s="2">
        <v>93</v>
      </c>
      <c r="B182" s="2" t="s">
        <v>614</v>
      </c>
      <c r="C182" s="2" t="s">
        <v>615</v>
      </c>
      <c r="D182" s="6">
        <v>2024</v>
      </c>
      <c r="E182" s="2" t="s">
        <v>616</v>
      </c>
      <c r="F182" s="2" t="s">
        <v>617</v>
      </c>
      <c r="G182" s="2" t="s">
        <v>84</v>
      </c>
      <c r="H182" s="2" t="s">
        <v>85</v>
      </c>
      <c r="I182" s="2" t="s">
        <v>84</v>
      </c>
      <c r="J182" s="3">
        <v>0.86</v>
      </c>
      <c r="K182" s="2"/>
      <c r="L182" s="2" t="s">
        <v>303</v>
      </c>
      <c r="M182" s="2" t="s">
        <v>303</v>
      </c>
      <c r="N182" s="2" t="s">
        <v>141</v>
      </c>
      <c r="O182" s="2" t="s">
        <v>84</v>
      </c>
      <c r="P182" s="2" t="s">
        <v>84</v>
      </c>
      <c r="Q182" s="5" t="s">
        <v>620</v>
      </c>
      <c r="R182" s="19" t="s">
        <v>622</v>
      </c>
      <c r="S182" s="2" t="s">
        <v>90</v>
      </c>
      <c r="T182" s="3">
        <v>6.8000000000000005E-2</v>
      </c>
      <c r="U182" s="3">
        <v>1E-3</v>
      </c>
      <c r="V182" s="3">
        <v>3</v>
      </c>
      <c r="W182" s="3"/>
      <c r="X182" s="3"/>
      <c r="Y182" s="2"/>
      <c r="Z182" s="2"/>
      <c r="AA182" s="2"/>
      <c r="AB182" s="2"/>
      <c r="AC182" s="3"/>
      <c r="AD182" s="3"/>
      <c r="AE182" s="3"/>
      <c r="AF182" s="2"/>
      <c r="AG182" s="2"/>
      <c r="AH182" s="2"/>
      <c r="AI182" s="3"/>
      <c r="AJ182" s="3"/>
      <c r="AK182" s="2"/>
      <c r="AL182" s="2"/>
      <c r="AM182" s="2"/>
      <c r="AN182" s="2"/>
      <c r="AO182" s="2"/>
      <c r="AP182" s="2"/>
      <c r="AQ182" s="2"/>
      <c r="AR182" s="2"/>
      <c r="AS182" s="2"/>
      <c r="AT182" s="2"/>
      <c r="AU182" s="3"/>
      <c r="AV182" s="3"/>
      <c r="AW182" s="2"/>
      <c r="AX182" s="2"/>
      <c r="AY182" s="2"/>
      <c r="AZ182" s="2"/>
      <c r="BA182" s="3">
        <v>3.2700000000000001E-9</v>
      </c>
      <c r="BB182" s="3">
        <v>3.9999999999999998E-11</v>
      </c>
      <c r="BC182" s="5" t="s">
        <v>618</v>
      </c>
      <c r="BD182" s="2"/>
      <c r="BE182" s="3">
        <v>25</v>
      </c>
      <c r="BF182" s="19">
        <v>0.6</v>
      </c>
      <c r="BG182" s="6">
        <v>3</v>
      </c>
      <c r="BH182" s="2"/>
      <c r="BI182" s="2"/>
      <c r="BJ182" s="2"/>
      <c r="BK182" s="2"/>
      <c r="BL182" s="2"/>
      <c r="BM182" s="2"/>
      <c r="BN182" s="3"/>
      <c r="BO182" s="2"/>
      <c r="BP182" s="2"/>
      <c r="BQ182" s="2"/>
      <c r="BR182" s="3"/>
      <c r="BS182" s="2"/>
      <c r="BT182" s="2"/>
      <c r="BU182" s="2"/>
      <c r="BV182" s="2"/>
      <c r="BW182" s="2"/>
      <c r="BX182" s="2" t="s">
        <v>558</v>
      </c>
      <c r="BY182" s="2" t="s">
        <v>99</v>
      </c>
      <c r="BZ182" s="2" t="s">
        <v>100</v>
      </c>
      <c r="CA182" s="5" t="s">
        <v>619</v>
      </c>
      <c r="CB182" s="2"/>
    </row>
    <row r="183" spans="1:80" ht="345.6" hidden="1">
      <c r="A183" s="2">
        <v>93</v>
      </c>
      <c r="B183" s="2" t="s">
        <v>614</v>
      </c>
      <c r="C183" s="2" t="s">
        <v>615</v>
      </c>
      <c r="D183" s="6">
        <v>2024</v>
      </c>
      <c r="E183" s="2" t="s">
        <v>616</v>
      </c>
      <c r="F183" s="2" t="s">
        <v>617</v>
      </c>
      <c r="G183" s="2" t="s">
        <v>84</v>
      </c>
      <c r="H183" s="2" t="s">
        <v>85</v>
      </c>
      <c r="I183" s="2" t="s">
        <v>84</v>
      </c>
      <c r="J183" s="3">
        <v>0.86</v>
      </c>
      <c r="K183" s="2"/>
      <c r="L183" s="2" t="s">
        <v>303</v>
      </c>
      <c r="M183" s="2" t="s">
        <v>303</v>
      </c>
      <c r="N183" s="2" t="s">
        <v>141</v>
      </c>
      <c r="O183" s="2" t="s">
        <v>84</v>
      </c>
      <c r="P183" s="2" t="s">
        <v>84</v>
      </c>
      <c r="Q183" s="5" t="s">
        <v>620</v>
      </c>
      <c r="R183" s="21" t="s">
        <v>623</v>
      </c>
      <c r="S183" s="2" t="s">
        <v>90</v>
      </c>
      <c r="T183" s="3">
        <v>6.9000000000000006E-2</v>
      </c>
      <c r="U183" s="3">
        <v>1E-3</v>
      </c>
      <c r="V183" s="3">
        <v>3</v>
      </c>
      <c r="W183" s="3"/>
      <c r="X183" s="3"/>
      <c r="Y183" s="2"/>
      <c r="Z183" s="2"/>
      <c r="AA183" s="2"/>
      <c r="AB183" s="2"/>
      <c r="AC183" s="3"/>
      <c r="AD183" s="3"/>
      <c r="AE183" s="3"/>
      <c r="AF183" s="2"/>
      <c r="AG183" s="2"/>
      <c r="AH183" s="2"/>
      <c r="AI183" s="3"/>
      <c r="AJ183" s="3"/>
      <c r="AK183" s="2"/>
      <c r="AL183" s="2"/>
      <c r="AM183" s="2"/>
      <c r="AN183" s="2"/>
      <c r="AO183" s="2"/>
      <c r="AP183" s="2"/>
      <c r="AQ183" s="2"/>
      <c r="AR183" s="2"/>
      <c r="AS183" s="2"/>
      <c r="AT183" s="2"/>
      <c r="AU183" s="3"/>
      <c r="AV183" s="3"/>
      <c r="AW183" s="2"/>
      <c r="AX183" s="2"/>
      <c r="AY183" s="2"/>
      <c r="AZ183" s="2"/>
      <c r="BA183" s="3">
        <v>3.24E-9</v>
      </c>
      <c r="BB183" s="3">
        <v>1.9999999999999999E-11</v>
      </c>
      <c r="BC183" s="5" t="s">
        <v>618</v>
      </c>
      <c r="BD183" s="2"/>
      <c r="BE183" s="3">
        <v>25</v>
      </c>
      <c r="BF183" s="19">
        <v>0.6</v>
      </c>
      <c r="BG183" s="6">
        <v>3</v>
      </c>
      <c r="BH183" s="2"/>
      <c r="BI183" s="2"/>
      <c r="BJ183" s="2"/>
      <c r="BK183" s="2"/>
      <c r="BL183" s="2"/>
      <c r="BM183" s="2"/>
      <c r="BN183" s="3"/>
      <c r="BO183" s="2"/>
      <c r="BP183" s="2"/>
      <c r="BQ183" s="2"/>
      <c r="BR183" s="3"/>
      <c r="BS183" s="2"/>
      <c r="BT183" s="2"/>
      <c r="BU183" s="2"/>
      <c r="BV183" s="2"/>
      <c r="BW183" s="2"/>
      <c r="BX183" s="2" t="s">
        <v>558</v>
      </c>
      <c r="BY183" s="2" t="s">
        <v>99</v>
      </c>
      <c r="BZ183" s="2" t="s">
        <v>100</v>
      </c>
      <c r="CA183" s="5" t="s">
        <v>619</v>
      </c>
      <c r="CB183" s="2"/>
    </row>
    <row r="184" spans="1:80" ht="14.45" hidden="1">
      <c r="D184" s="3"/>
      <c r="J184" s="3"/>
      <c r="T184" s="3"/>
      <c r="U184" s="3"/>
      <c r="V184" s="3"/>
      <c r="W184" s="3"/>
      <c r="X184" s="3"/>
      <c r="AC184" s="3"/>
      <c r="AD184" s="3"/>
      <c r="AE184" s="3"/>
      <c r="AI184" s="3"/>
      <c r="AJ184" s="3"/>
      <c r="AU184" s="3"/>
      <c r="AV184" s="3"/>
      <c r="BA184" s="3"/>
      <c r="BB184" s="3"/>
      <c r="BE184" s="3"/>
      <c r="BF184" s="19"/>
      <c r="BG184" s="3"/>
      <c r="BN184" s="3"/>
      <c r="BR184" s="3"/>
    </row>
    <row r="185" spans="1:80" ht="14.45" hidden="1">
      <c r="D185" s="3"/>
      <c r="J185" s="3"/>
      <c r="T185" s="3"/>
      <c r="U185" s="3"/>
      <c r="V185" s="3"/>
      <c r="W185" s="3"/>
      <c r="X185" s="3"/>
      <c r="AC185" s="3"/>
      <c r="AD185" s="3"/>
      <c r="AE185" s="3"/>
      <c r="AI185" s="3"/>
      <c r="AJ185" s="3"/>
      <c r="AU185" s="3"/>
      <c r="AV185" s="3"/>
      <c r="BA185" s="3"/>
      <c r="BB185" s="3"/>
      <c r="BE185" s="3"/>
      <c r="BF185" s="19"/>
      <c r="BG185" s="3"/>
      <c r="BN185" s="3"/>
      <c r="BR185" s="3"/>
    </row>
    <row r="186" spans="1:80" ht="14.45" hidden="1">
      <c r="D186" s="3"/>
      <c r="J186" s="3"/>
      <c r="T186" s="3"/>
      <c r="U186" s="3"/>
      <c r="V186" s="3"/>
      <c r="W186" s="3"/>
      <c r="X186" s="3"/>
      <c r="AC186" s="3"/>
      <c r="AD186" s="3"/>
      <c r="AE186" s="3"/>
      <c r="AI186" s="3"/>
      <c r="AJ186" s="3"/>
      <c r="AU186" s="3"/>
      <c r="AV186" s="3"/>
      <c r="BA186" s="3"/>
      <c r="BB186" s="3"/>
      <c r="BE186" s="3"/>
      <c r="BF186" s="19"/>
      <c r="BG186" s="3"/>
      <c r="BN186" s="3"/>
      <c r="BR186" s="3"/>
    </row>
    <row r="187" spans="1:80" ht="14.45" hidden="1">
      <c r="D187" s="3"/>
      <c r="J187" s="3"/>
      <c r="T187" s="3"/>
      <c r="U187" s="3"/>
      <c r="V187" s="3"/>
      <c r="W187" s="3"/>
      <c r="X187" s="3"/>
      <c r="AC187" s="3"/>
      <c r="AD187" s="3"/>
      <c r="AE187" s="3"/>
      <c r="AI187" s="3"/>
      <c r="AJ187" s="3"/>
      <c r="AU187" s="3"/>
      <c r="AV187" s="3"/>
      <c r="BA187" s="3"/>
      <c r="BB187" s="3"/>
      <c r="BE187" s="3"/>
      <c r="BF187" s="19"/>
      <c r="BG187" s="3"/>
      <c r="BN187" s="3"/>
      <c r="BR187" s="3"/>
    </row>
    <row r="188" spans="1:80" ht="14.45" hidden="1">
      <c r="D188" s="3"/>
      <c r="J188" s="3"/>
      <c r="T188" s="3"/>
      <c r="U188" s="3"/>
      <c r="V188" s="3"/>
      <c r="W188" s="3"/>
      <c r="X188" s="3"/>
      <c r="AC188" s="3"/>
      <c r="AD188" s="3"/>
      <c r="AE188" s="3"/>
      <c r="AI188" s="3"/>
      <c r="AJ188" s="3"/>
      <c r="AU188" s="3"/>
      <c r="AV188" s="3"/>
      <c r="BA188" s="3"/>
      <c r="BB188" s="3"/>
      <c r="BE188" s="3"/>
      <c r="BF188" s="19"/>
      <c r="BG188" s="3"/>
      <c r="BN188" s="3"/>
      <c r="BR188" s="3"/>
    </row>
    <row r="189" spans="1:80" ht="14.45" hidden="1">
      <c r="D189" s="3"/>
      <c r="J189" s="3"/>
      <c r="T189" s="3"/>
      <c r="U189" s="3"/>
      <c r="V189" s="3"/>
      <c r="W189" s="3"/>
      <c r="X189" s="3"/>
      <c r="AC189" s="3"/>
      <c r="AD189" s="3"/>
      <c r="AE189" s="3"/>
      <c r="AI189" s="3"/>
      <c r="AJ189" s="3"/>
      <c r="AU189" s="3"/>
      <c r="AV189" s="3"/>
      <c r="BA189" s="3"/>
      <c r="BB189" s="3"/>
      <c r="BE189" s="3"/>
      <c r="BF189" s="19"/>
      <c r="BG189" s="3"/>
      <c r="BN189" s="3"/>
      <c r="BR189" s="3"/>
    </row>
    <row r="190" spans="1:80" ht="14.45" hidden="1">
      <c r="D190" s="3"/>
      <c r="J190" s="3"/>
      <c r="T190" s="3"/>
      <c r="U190" s="3"/>
      <c r="V190" s="3"/>
      <c r="W190" s="3"/>
      <c r="X190" s="3"/>
      <c r="AC190" s="3"/>
      <c r="AD190" s="3"/>
      <c r="AE190" s="3"/>
      <c r="AI190" s="3"/>
      <c r="AJ190" s="3"/>
      <c r="AU190" s="3"/>
      <c r="AV190" s="3"/>
      <c r="BA190" s="3"/>
      <c r="BB190" s="3"/>
      <c r="BE190" s="3"/>
      <c r="BF190" s="19"/>
      <c r="BG190" s="3"/>
      <c r="BN190" s="3"/>
      <c r="BR190" s="3"/>
    </row>
    <row r="191" spans="1:80" ht="14.45" hidden="1">
      <c r="D191" s="3"/>
      <c r="J191" s="3"/>
      <c r="T191" s="3"/>
      <c r="U191" s="3"/>
      <c r="V191" s="3"/>
      <c r="W191" s="3"/>
      <c r="X191" s="3"/>
      <c r="AC191" s="3"/>
      <c r="AD191" s="3"/>
      <c r="AE191" s="3"/>
      <c r="AI191" s="3"/>
      <c r="AJ191" s="3"/>
      <c r="AU191" s="3"/>
      <c r="AV191" s="3"/>
      <c r="BA191" s="3"/>
      <c r="BB191" s="3"/>
      <c r="BE191" s="3"/>
      <c r="BF191" s="19"/>
      <c r="BG191" s="3"/>
      <c r="BN191" s="3"/>
      <c r="BR191" s="3"/>
    </row>
    <row r="192" spans="1:80" ht="14.45" hidden="1">
      <c r="D192" s="3"/>
      <c r="J192" s="3"/>
      <c r="T192" s="3"/>
      <c r="U192" s="3"/>
      <c r="V192" s="3"/>
      <c r="W192" s="3"/>
      <c r="X192" s="3"/>
      <c r="AC192" s="3"/>
      <c r="AD192" s="3"/>
      <c r="AE192" s="3"/>
      <c r="AI192" s="3"/>
      <c r="AJ192" s="3"/>
      <c r="AU192" s="3"/>
      <c r="AV192" s="3"/>
      <c r="BA192" s="3"/>
      <c r="BB192" s="3"/>
      <c r="BE192" s="3"/>
      <c r="BF192" s="19"/>
      <c r="BG192" s="3"/>
      <c r="BN192" s="3"/>
      <c r="BR192" s="3"/>
    </row>
    <row r="193" spans="4:70" ht="14.45" hidden="1">
      <c r="D193" s="3"/>
      <c r="J193" s="3"/>
      <c r="T193" s="3"/>
      <c r="U193" s="3"/>
      <c r="V193" s="3"/>
      <c r="W193" s="3"/>
      <c r="X193" s="3"/>
      <c r="AC193" s="3"/>
      <c r="AD193" s="3"/>
      <c r="AE193" s="3"/>
      <c r="AI193" s="3"/>
      <c r="AJ193" s="3"/>
      <c r="AU193" s="3"/>
      <c r="AV193" s="3"/>
      <c r="BA193" s="3"/>
      <c r="BB193" s="3"/>
      <c r="BE193" s="3"/>
      <c r="BF193" s="19"/>
      <c r="BG193" s="3"/>
      <c r="BN193" s="3"/>
      <c r="BR193" s="3"/>
    </row>
    <row r="194" spans="4:70" ht="14.45" hidden="1">
      <c r="D194" s="3"/>
      <c r="J194" s="3"/>
      <c r="T194" s="3"/>
      <c r="U194" s="3"/>
      <c r="V194" s="3"/>
      <c r="W194" s="3"/>
      <c r="X194" s="3"/>
      <c r="AC194" s="3"/>
      <c r="AD194" s="3"/>
      <c r="AE194" s="3"/>
      <c r="AI194" s="3"/>
      <c r="AJ194" s="3"/>
      <c r="AU194" s="3"/>
      <c r="AV194" s="3"/>
      <c r="BA194" s="3"/>
      <c r="BB194" s="3"/>
      <c r="BE194" s="3"/>
      <c r="BF194" s="19"/>
      <c r="BG194" s="3"/>
      <c r="BN194" s="3"/>
      <c r="BR194" s="3"/>
    </row>
    <row r="195" spans="4:70" ht="14.45" hidden="1">
      <c r="D195" s="3"/>
      <c r="J195" s="3"/>
      <c r="T195" s="3"/>
      <c r="U195" s="3"/>
      <c r="V195" s="3"/>
      <c r="W195" s="3"/>
      <c r="X195" s="3"/>
      <c r="AC195" s="3"/>
      <c r="AD195" s="3"/>
      <c r="AE195" s="3"/>
      <c r="AI195" s="3"/>
      <c r="AJ195" s="3"/>
      <c r="AU195" s="3"/>
      <c r="AV195" s="3"/>
      <c r="BA195" s="3"/>
      <c r="BB195" s="3"/>
      <c r="BE195" s="3"/>
      <c r="BF195" s="19"/>
      <c r="BG195" s="3"/>
      <c r="BN195" s="3"/>
      <c r="BR195" s="3"/>
    </row>
    <row r="196" spans="4:70" ht="14.45" hidden="1">
      <c r="D196" s="3"/>
      <c r="J196" s="3"/>
      <c r="T196" s="3"/>
      <c r="U196" s="3"/>
      <c r="V196" s="3"/>
      <c r="W196" s="3"/>
      <c r="X196" s="3"/>
      <c r="AC196" s="3"/>
      <c r="AD196" s="3"/>
      <c r="AE196" s="3"/>
      <c r="AI196" s="3"/>
      <c r="AJ196" s="3"/>
      <c r="AU196" s="3"/>
      <c r="AV196" s="3"/>
      <c r="BA196" s="3"/>
      <c r="BB196" s="3"/>
      <c r="BE196" s="3"/>
      <c r="BF196" s="19"/>
      <c r="BG196" s="3"/>
      <c r="BN196" s="3"/>
      <c r="BR196" s="3"/>
    </row>
    <row r="197" spans="4:70" ht="14.45" hidden="1">
      <c r="D197" s="3"/>
      <c r="J197" s="3"/>
      <c r="T197" s="3"/>
      <c r="U197" s="3"/>
      <c r="V197" s="3"/>
      <c r="W197" s="3"/>
      <c r="X197" s="3"/>
      <c r="AC197" s="3"/>
      <c r="AD197" s="3"/>
      <c r="AE197" s="3"/>
      <c r="AI197" s="3"/>
      <c r="AJ197" s="3"/>
      <c r="AU197" s="3"/>
      <c r="AV197" s="3"/>
      <c r="BA197" s="3"/>
      <c r="BB197" s="3"/>
      <c r="BE197" s="3"/>
      <c r="BF197" s="19"/>
      <c r="BG197" s="3"/>
      <c r="BN197" s="3"/>
      <c r="BR197" s="3"/>
    </row>
    <row r="198" spans="4:70" ht="14.45" hidden="1">
      <c r="D198" s="3"/>
      <c r="J198" s="3"/>
      <c r="T198" s="3"/>
      <c r="U198" s="3"/>
      <c r="V198" s="3"/>
      <c r="W198" s="3"/>
      <c r="X198" s="3"/>
      <c r="AC198" s="3"/>
      <c r="AD198" s="3"/>
      <c r="AE198" s="3"/>
      <c r="AI198" s="3"/>
      <c r="AJ198" s="3"/>
      <c r="AU198" s="3"/>
      <c r="AV198" s="3"/>
      <c r="BA198" s="3"/>
      <c r="BB198" s="3"/>
      <c r="BE198" s="3"/>
      <c r="BF198" s="19"/>
      <c r="BG198" s="3"/>
      <c r="BN198" s="3"/>
      <c r="BR198" s="3"/>
    </row>
    <row r="199" spans="4:70" ht="14.45" hidden="1">
      <c r="D199" s="3"/>
      <c r="J199" s="3"/>
      <c r="T199" s="3"/>
      <c r="U199" s="3"/>
      <c r="V199" s="3"/>
      <c r="W199" s="3"/>
      <c r="X199" s="3"/>
      <c r="AC199" s="3"/>
      <c r="AD199" s="3"/>
      <c r="AE199" s="3"/>
      <c r="AI199" s="3"/>
      <c r="AJ199" s="3"/>
      <c r="AU199" s="3"/>
      <c r="AV199" s="3"/>
      <c r="BA199" s="3"/>
      <c r="BB199" s="3"/>
      <c r="BE199" s="3"/>
      <c r="BF199" s="19"/>
      <c r="BG199" s="3"/>
      <c r="BN199" s="3"/>
      <c r="BR199" s="3"/>
    </row>
    <row r="200" spans="4:70" ht="14.45" hidden="1">
      <c r="D200" s="3"/>
      <c r="J200" s="3"/>
      <c r="T200" s="3"/>
      <c r="U200" s="3"/>
      <c r="V200" s="3"/>
      <c r="W200" s="3"/>
      <c r="X200" s="3"/>
      <c r="AC200" s="3"/>
      <c r="AD200" s="3"/>
      <c r="AE200" s="3"/>
      <c r="AI200" s="3"/>
      <c r="AJ200" s="3"/>
      <c r="AU200" s="3"/>
      <c r="AV200" s="3"/>
      <c r="BA200" s="3"/>
      <c r="BB200" s="3"/>
      <c r="BE200" s="3"/>
      <c r="BF200" s="19"/>
      <c r="BG200" s="3"/>
      <c r="BN200" s="3"/>
      <c r="BR200" s="3"/>
    </row>
    <row r="201" spans="4:70" ht="14.45" hidden="1">
      <c r="D201" s="3"/>
      <c r="J201" s="3"/>
      <c r="T201" s="3"/>
      <c r="U201" s="3"/>
      <c r="V201" s="3"/>
      <c r="W201" s="3"/>
      <c r="X201" s="3"/>
      <c r="AC201" s="3"/>
      <c r="AD201" s="3"/>
      <c r="AE201" s="3"/>
      <c r="AI201" s="3"/>
      <c r="AJ201" s="3"/>
      <c r="AU201" s="3"/>
      <c r="AV201" s="3"/>
      <c r="BA201" s="3"/>
      <c r="BB201" s="3"/>
      <c r="BE201" s="3"/>
      <c r="BF201" s="19"/>
      <c r="BG201" s="3"/>
      <c r="BN201" s="3"/>
      <c r="BR201" s="3"/>
    </row>
    <row r="202" spans="4:70" ht="14.45" hidden="1">
      <c r="D202" s="3"/>
      <c r="J202" s="3"/>
      <c r="T202" s="3"/>
      <c r="U202" s="3"/>
      <c r="V202" s="3"/>
      <c r="W202" s="3"/>
      <c r="X202" s="3"/>
      <c r="AC202" s="3"/>
      <c r="AD202" s="3"/>
      <c r="AE202" s="3"/>
      <c r="AI202" s="3"/>
      <c r="AJ202" s="3"/>
      <c r="AU202" s="3"/>
      <c r="AV202" s="3"/>
      <c r="BA202" s="3"/>
      <c r="BB202" s="3"/>
      <c r="BE202" s="3"/>
      <c r="BF202" s="19"/>
      <c r="BG202" s="3"/>
      <c r="BN202" s="3"/>
      <c r="BR202" s="3"/>
    </row>
    <row r="203" spans="4:70" ht="14.45" hidden="1">
      <c r="D203" s="3"/>
      <c r="J203" s="3"/>
      <c r="T203" s="3"/>
      <c r="U203" s="3"/>
      <c r="V203" s="3"/>
      <c r="W203" s="3"/>
      <c r="X203" s="3"/>
      <c r="AC203" s="3"/>
      <c r="AD203" s="3"/>
      <c r="AE203" s="3"/>
      <c r="AI203" s="3"/>
      <c r="AJ203" s="3"/>
      <c r="AU203" s="3"/>
      <c r="AV203" s="3"/>
      <c r="BA203" s="3"/>
      <c r="BB203" s="3"/>
      <c r="BE203" s="3"/>
      <c r="BF203" s="19"/>
      <c r="BG203" s="3"/>
      <c r="BN203" s="3"/>
      <c r="BR203" s="3"/>
    </row>
    <row r="204" spans="4:70" ht="14.45" hidden="1">
      <c r="D204" s="3"/>
      <c r="J204" s="3"/>
      <c r="T204" s="3"/>
      <c r="U204" s="3"/>
      <c r="V204" s="3"/>
      <c r="W204" s="3"/>
      <c r="X204" s="3"/>
      <c r="AC204" s="3"/>
      <c r="AD204" s="3"/>
      <c r="AE204" s="3"/>
      <c r="AI204" s="3"/>
      <c r="AJ204" s="3"/>
      <c r="AU204" s="3"/>
      <c r="AV204" s="3"/>
      <c r="BA204" s="3"/>
      <c r="BB204" s="3"/>
      <c r="BE204" s="3"/>
      <c r="BF204" s="19"/>
      <c r="BG204" s="3"/>
      <c r="BN204" s="3"/>
      <c r="BR204" s="3"/>
    </row>
    <row r="205" spans="4:70" ht="14.45" hidden="1">
      <c r="D205" s="3"/>
      <c r="J205" s="3"/>
      <c r="T205" s="3"/>
      <c r="U205" s="3"/>
      <c r="V205" s="3"/>
      <c r="W205" s="3"/>
      <c r="X205" s="3"/>
      <c r="AC205" s="3"/>
      <c r="AD205" s="3"/>
      <c r="AE205" s="3"/>
      <c r="AI205" s="3"/>
      <c r="AJ205" s="3"/>
      <c r="AU205" s="3"/>
      <c r="AV205" s="3"/>
      <c r="BA205" s="3"/>
      <c r="BB205" s="3"/>
      <c r="BE205" s="3"/>
      <c r="BF205" s="19"/>
      <c r="BG205" s="3"/>
      <c r="BN205" s="3"/>
      <c r="BR205" s="3"/>
    </row>
    <row r="206" spans="4:70" ht="14.45" hidden="1">
      <c r="D206" s="3"/>
      <c r="J206" s="3"/>
      <c r="T206" s="3"/>
      <c r="U206" s="3"/>
      <c r="V206" s="3"/>
      <c r="W206" s="3"/>
      <c r="X206" s="3"/>
      <c r="AC206" s="3"/>
      <c r="AD206" s="3"/>
      <c r="AE206" s="3"/>
      <c r="AI206" s="3"/>
      <c r="AJ206" s="3"/>
      <c r="AU206" s="3"/>
      <c r="AV206" s="3"/>
      <c r="BA206" s="3"/>
      <c r="BB206" s="3"/>
      <c r="BE206" s="3"/>
      <c r="BF206" s="19"/>
      <c r="BG206" s="3"/>
      <c r="BN206" s="3"/>
      <c r="BR206" s="3"/>
    </row>
    <row r="207" spans="4:70" ht="14.45" hidden="1">
      <c r="D207" s="3"/>
      <c r="J207" s="3"/>
      <c r="T207" s="3"/>
      <c r="U207" s="3"/>
      <c r="V207" s="3"/>
      <c r="W207" s="3"/>
      <c r="X207" s="3"/>
      <c r="AC207" s="3"/>
      <c r="AD207" s="3"/>
      <c r="AE207" s="3"/>
      <c r="AI207" s="3"/>
      <c r="AJ207" s="3"/>
      <c r="AU207" s="3"/>
      <c r="AV207" s="3"/>
      <c r="BA207" s="3"/>
      <c r="BB207" s="3"/>
      <c r="BE207" s="3"/>
      <c r="BF207" s="19"/>
      <c r="BG207" s="3"/>
      <c r="BN207" s="3"/>
      <c r="BR207" s="3"/>
    </row>
    <row r="208" spans="4:70" ht="14.45" hidden="1">
      <c r="D208" s="3"/>
      <c r="J208" s="3"/>
      <c r="T208" s="3"/>
      <c r="U208" s="3"/>
      <c r="V208" s="3"/>
      <c r="W208" s="3"/>
      <c r="X208" s="3"/>
      <c r="AC208" s="3"/>
      <c r="AD208" s="3"/>
      <c r="AE208" s="3"/>
      <c r="AI208" s="3"/>
      <c r="AJ208" s="3"/>
      <c r="AU208" s="3"/>
      <c r="AV208" s="3"/>
      <c r="BA208" s="3"/>
      <c r="BB208" s="3"/>
      <c r="BE208" s="3"/>
      <c r="BF208" s="19"/>
      <c r="BG208" s="3"/>
      <c r="BN208" s="3"/>
      <c r="BR208" s="3"/>
    </row>
    <row r="209" spans="4:70" ht="14.45" hidden="1">
      <c r="D209" s="3"/>
      <c r="J209" s="3"/>
      <c r="T209" s="3"/>
      <c r="U209" s="3"/>
      <c r="V209" s="3"/>
      <c r="W209" s="3"/>
      <c r="X209" s="3"/>
      <c r="AC209" s="3"/>
      <c r="AD209" s="3"/>
      <c r="AE209" s="3"/>
      <c r="AI209" s="3"/>
      <c r="AJ209" s="3"/>
      <c r="AU209" s="3"/>
      <c r="AV209" s="3"/>
      <c r="BA209" s="3"/>
      <c r="BB209" s="3"/>
      <c r="BE209" s="3"/>
      <c r="BF209" s="19"/>
      <c r="BG209" s="3"/>
      <c r="BN209" s="3"/>
      <c r="BR209" s="3"/>
    </row>
    <row r="210" spans="4:70" ht="14.45" hidden="1">
      <c r="D210" s="3"/>
      <c r="J210" s="3"/>
      <c r="T210" s="3"/>
      <c r="U210" s="3"/>
      <c r="V210" s="3"/>
      <c r="W210" s="3"/>
      <c r="X210" s="3"/>
      <c r="AC210" s="3"/>
      <c r="AD210" s="3"/>
      <c r="AE210" s="3"/>
      <c r="AI210" s="3"/>
      <c r="AJ210" s="3"/>
      <c r="AU210" s="3"/>
      <c r="AV210" s="3"/>
      <c r="BA210" s="3"/>
      <c r="BB210" s="3"/>
      <c r="BE210" s="3"/>
      <c r="BF210" s="19"/>
      <c r="BG210" s="3"/>
      <c r="BN210" s="3"/>
      <c r="BR210" s="3"/>
    </row>
    <row r="211" spans="4:70" ht="14.45" hidden="1">
      <c r="D211" s="3"/>
      <c r="J211" s="3"/>
      <c r="T211" s="3"/>
      <c r="U211" s="3"/>
      <c r="V211" s="3"/>
      <c r="W211" s="3"/>
      <c r="X211" s="3"/>
      <c r="AC211" s="3"/>
      <c r="AD211" s="3"/>
      <c r="AE211" s="3"/>
      <c r="AI211" s="3"/>
      <c r="AJ211" s="3"/>
      <c r="AU211" s="3"/>
      <c r="AV211" s="3"/>
      <c r="BA211" s="3"/>
      <c r="BB211" s="3"/>
      <c r="BE211" s="3"/>
      <c r="BF211" s="19"/>
      <c r="BG211" s="3"/>
      <c r="BN211" s="3"/>
      <c r="BR211" s="3"/>
    </row>
    <row r="212" spans="4:70" ht="14.45" hidden="1">
      <c r="D212" s="3"/>
      <c r="J212" s="3"/>
      <c r="T212" s="3"/>
      <c r="U212" s="3"/>
      <c r="V212" s="3"/>
      <c r="W212" s="3"/>
      <c r="X212" s="3"/>
      <c r="AC212" s="3"/>
      <c r="AD212" s="3"/>
      <c r="AE212" s="3"/>
      <c r="AI212" s="3"/>
      <c r="AJ212" s="3"/>
      <c r="AU212" s="3"/>
      <c r="AV212" s="3"/>
      <c r="BA212" s="3"/>
      <c r="BB212" s="3"/>
      <c r="BE212" s="3"/>
      <c r="BF212" s="19"/>
      <c r="BG212" s="3"/>
      <c r="BN212" s="3"/>
      <c r="BR212" s="3"/>
    </row>
    <row r="213" spans="4:70" ht="14.45" hidden="1">
      <c r="D213" s="3"/>
      <c r="J213" s="3"/>
      <c r="T213" s="3"/>
      <c r="U213" s="3"/>
      <c r="V213" s="3"/>
      <c r="W213" s="3"/>
      <c r="X213" s="3"/>
      <c r="AC213" s="3"/>
      <c r="AD213" s="3"/>
      <c r="AE213" s="3"/>
      <c r="AI213" s="3"/>
      <c r="AJ213" s="3"/>
      <c r="AU213" s="3"/>
      <c r="AV213" s="3"/>
      <c r="BA213" s="3"/>
      <c r="BB213" s="3"/>
      <c r="BE213" s="3"/>
      <c r="BF213" s="19"/>
      <c r="BG213" s="3"/>
      <c r="BN213" s="3"/>
      <c r="BR213" s="3"/>
    </row>
    <row r="214" spans="4:70" ht="14.45" hidden="1">
      <c r="D214" s="3"/>
      <c r="J214" s="3"/>
      <c r="T214" s="3"/>
      <c r="U214" s="3"/>
      <c r="V214" s="3"/>
      <c r="W214" s="3"/>
      <c r="X214" s="3"/>
      <c r="AC214" s="3"/>
      <c r="AD214" s="3"/>
      <c r="AE214" s="3"/>
      <c r="AI214" s="3"/>
      <c r="AJ214" s="3"/>
      <c r="AU214" s="3"/>
      <c r="AV214" s="3"/>
      <c r="BA214" s="3"/>
      <c r="BB214" s="3"/>
      <c r="BE214" s="3"/>
      <c r="BF214" s="19"/>
      <c r="BG214" s="3"/>
      <c r="BN214" s="3"/>
      <c r="BR214" s="3"/>
    </row>
    <row r="215" spans="4:70" ht="14.45" hidden="1">
      <c r="D215" s="3"/>
      <c r="J215" s="3"/>
      <c r="T215" s="3"/>
      <c r="U215" s="3"/>
      <c r="V215" s="3"/>
      <c r="W215" s="3"/>
      <c r="X215" s="3"/>
      <c r="AC215" s="3"/>
      <c r="AD215" s="3"/>
      <c r="AE215" s="3"/>
      <c r="AI215" s="3"/>
      <c r="AJ215" s="3"/>
      <c r="AU215" s="3"/>
      <c r="AV215" s="3"/>
      <c r="BA215" s="3"/>
      <c r="BB215" s="3"/>
      <c r="BE215" s="3"/>
      <c r="BF215" s="19"/>
      <c r="BG215" s="3"/>
      <c r="BN215" s="3"/>
      <c r="BR215" s="3"/>
    </row>
    <row r="216" spans="4:70" ht="14.45" hidden="1">
      <c r="D216" s="3"/>
      <c r="J216" s="3"/>
      <c r="T216" s="3"/>
      <c r="U216" s="3"/>
      <c r="V216" s="3"/>
      <c r="W216" s="3"/>
      <c r="X216" s="3"/>
      <c r="AC216" s="3"/>
      <c r="AD216" s="3"/>
      <c r="AE216" s="3"/>
      <c r="AI216" s="3"/>
      <c r="AJ216" s="3"/>
      <c r="AU216" s="3"/>
      <c r="AV216" s="3"/>
      <c r="BA216" s="3"/>
      <c r="BB216" s="3"/>
      <c r="BE216" s="3"/>
      <c r="BF216" s="19"/>
      <c r="BG216" s="3"/>
      <c r="BN216" s="3"/>
      <c r="BR216" s="3"/>
    </row>
    <row r="217" spans="4:70" ht="14.45" hidden="1">
      <c r="D217" s="3"/>
      <c r="J217" s="3"/>
      <c r="T217" s="3"/>
      <c r="U217" s="3"/>
      <c r="V217" s="3"/>
      <c r="W217" s="3"/>
      <c r="X217" s="3"/>
      <c r="AC217" s="3"/>
      <c r="AD217" s="3"/>
      <c r="AE217" s="3"/>
      <c r="AI217" s="3"/>
      <c r="AJ217" s="3"/>
      <c r="AU217" s="3"/>
      <c r="AV217" s="3"/>
      <c r="BA217" s="3"/>
      <c r="BB217" s="3"/>
      <c r="BE217" s="3"/>
      <c r="BF217" s="19"/>
      <c r="BG217" s="3"/>
      <c r="BN217" s="3"/>
      <c r="BR217" s="3"/>
    </row>
    <row r="218" spans="4:70" ht="14.45" hidden="1">
      <c r="D218" s="3"/>
      <c r="J218" s="3"/>
      <c r="T218" s="3"/>
      <c r="U218" s="3"/>
      <c r="V218" s="3"/>
      <c r="W218" s="3"/>
      <c r="X218" s="3"/>
      <c r="AC218" s="3"/>
      <c r="AD218" s="3"/>
      <c r="AE218" s="3"/>
      <c r="AI218" s="3"/>
      <c r="AJ218" s="3"/>
      <c r="AU218" s="3"/>
      <c r="AV218" s="3"/>
      <c r="BA218" s="3"/>
      <c r="BB218" s="3"/>
      <c r="BE218" s="3"/>
      <c r="BF218" s="19"/>
      <c r="BG218" s="3"/>
      <c r="BN218" s="3"/>
      <c r="BR218" s="3"/>
    </row>
    <row r="219" spans="4:70" ht="14.45" hidden="1">
      <c r="D219" s="3"/>
      <c r="J219" s="3"/>
      <c r="T219" s="3"/>
      <c r="U219" s="3"/>
      <c r="V219" s="3"/>
      <c r="W219" s="3"/>
      <c r="X219" s="3"/>
      <c r="AC219" s="3"/>
      <c r="AD219" s="3"/>
      <c r="AE219" s="3"/>
      <c r="AI219" s="3"/>
      <c r="AJ219" s="3"/>
      <c r="AU219" s="3"/>
      <c r="AV219" s="3"/>
      <c r="BA219" s="3"/>
      <c r="BB219" s="3"/>
      <c r="BE219" s="3"/>
      <c r="BF219" s="19"/>
      <c r="BG219" s="3"/>
      <c r="BN219" s="3"/>
      <c r="BR219" s="3"/>
    </row>
    <row r="220" spans="4:70" ht="14.45" hidden="1">
      <c r="D220" s="3"/>
      <c r="J220" s="3"/>
      <c r="T220" s="3"/>
      <c r="U220" s="3"/>
      <c r="V220" s="3"/>
      <c r="W220" s="3"/>
      <c r="X220" s="3"/>
      <c r="AC220" s="3"/>
      <c r="AD220" s="3"/>
      <c r="AE220" s="3"/>
      <c r="AI220" s="3"/>
      <c r="AJ220" s="3"/>
      <c r="AU220" s="3"/>
      <c r="AV220" s="3"/>
      <c r="BA220" s="3"/>
      <c r="BB220" s="3"/>
      <c r="BE220" s="3"/>
      <c r="BF220" s="19"/>
      <c r="BG220" s="3"/>
      <c r="BN220" s="3"/>
      <c r="BR220" s="3"/>
    </row>
    <row r="221" spans="4:70" ht="14.45" hidden="1">
      <c r="D221" s="3"/>
      <c r="J221" s="3"/>
      <c r="T221" s="3"/>
      <c r="U221" s="3"/>
      <c r="V221" s="3"/>
      <c r="W221" s="3"/>
      <c r="X221" s="3"/>
      <c r="AC221" s="3"/>
      <c r="AD221" s="3"/>
      <c r="AE221" s="3"/>
      <c r="AI221" s="3"/>
      <c r="AJ221" s="3"/>
      <c r="AU221" s="3"/>
      <c r="AV221" s="3"/>
      <c r="BA221" s="3"/>
      <c r="BB221" s="3"/>
      <c r="BE221" s="3"/>
      <c r="BF221" s="19"/>
      <c r="BG221" s="3"/>
      <c r="BN221" s="3"/>
      <c r="BR221" s="3"/>
    </row>
    <row r="222" spans="4:70" ht="14.45" hidden="1">
      <c r="D222" s="3"/>
      <c r="J222" s="3"/>
      <c r="T222" s="3"/>
      <c r="U222" s="3"/>
      <c r="V222" s="3"/>
      <c r="W222" s="3"/>
      <c r="X222" s="3"/>
      <c r="AC222" s="3"/>
      <c r="AD222" s="3"/>
      <c r="AE222" s="3"/>
      <c r="AI222" s="3"/>
      <c r="AJ222" s="3"/>
      <c r="AU222" s="3"/>
      <c r="AV222" s="3"/>
      <c r="BA222" s="3"/>
      <c r="BB222" s="3"/>
      <c r="BE222" s="3"/>
      <c r="BF222" s="19"/>
      <c r="BG222" s="3"/>
      <c r="BN222" s="3"/>
      <c r="BR222" s="3"/>
    </row>
    <row r="223" spans="4:70" ht="14.45" hidden="1">
      <c r="D223" s="3"/>
      <c r="J223" s="3"/>
      <c r="T223" s="3"/>
      <c r="U223" s="3"/>
      <c r="V223" s="3"/>
      <c r="W223" s="3"/>
      <c r="X223" s="3"/>
      <c r="AC223" s="3"/>
      <c r="AD223" s="3"/>
      <c r="AE223" s="3"/>
      <c r="AI223" s="3"/>
      <c r="AJ223" s="3"/>
      <c r="AU223" s="3"/>
      <c r="AV223" s="3"/>
      <c r="BA223" s="3"/>
      <c r="BB223" s="3"/>
      <c r="BE223" s="3"/>
      <c r="BF223" s="19"/>
      <c r="BG223" s="3"/>
      <c r="BN223" s="3"/>
      <c r="BR223" s="3"/>
    </row>
    <row r="224" spans="4:70" ht="14.45" hidden="1">
      <c r="D224" s="3"/>
      <c r="J224" s="3"/>
      <c r="T224" s="3"/>
      <c r="U224" s="3"/>
      <c r="V224" s="3"/>
      <c r="W224" s="3"/>
      <c r="X224" s="3"/>
      <c r="AC224" s="3"/>
      <c r="AD224" s="3"/>
      <c r="AE224" s="3"/>
      <c r="AI224" s="3"/>
      <c r="AJ224" s="3"/>
      <c r="AU224" s="3"/>
      <c r="AV224" s="3"/>
      <c r="BA224" s="3"/>
      <c r="BB224" s="3"/>
      <c r="BE224" s="3"/>
      <c r="BF224" s="19"/>
      <c r="BG224" s="3"/>
      <c r="BN224" s="3"/>
      <c r="BR224" s="3"/>
    </row>
    <row r="225" spans="4:70" ht="14.45" hidden="1">
      <c r="D225" s="3"/>
      <c r="J225" s="3"/>
      <c r="T225" s="3"/>
      <c r="U225" s="3"/>
      <c r="V225" s="3"/>
      <c r="W225" s="3"/>
      <c r="X225" s="3"/>
      <c r="AC225" s="3"/>
      <c r="AD225" s="3"/>
      <c r="AE225" s="3"/>
      <c r="AI225" s="3"/>
      <c r="AJ225" s="3"/>
      <c r="AU225" s="3"/>
      <c r="AV225" s="3"/>
      <c r="BA225" s="3"/>
      <c r="BB225" s="3"/>
      <c r="BE225" s="3"/>
      <c r="BF225" s="19"/>
      <c r="BG225" s="3"/>
      <c r="BN225" s="3"/>
      <c r="BR225" s="3"/>
    </row>
    <row r="226" spans="4:70" ht="14.45" hidden="1">
      <c r="D226" s="3"/>
      <c r="J226" s="3"/>
      <c r="T226" s="3"/>
      <c r="U226" s="3"/>
      <c r="V226" s="3"/>
      <c r="W226" s="3"/>
      <c r="X226" s="3"/>
      <c r="AC226" s="3"/>
      <c r="AD226" s="3"/>
      <c r="AE226" s="3"/>
      <c r="AI226" s="3"/>
      <c r="AJ226" s="3"/>
      <c r="AU226" s="3"/>
      <c r="AV226" s="3"/>
      <c r="BA226" s="3"/>
      <c r="BB226" s="3"/>
      <c r="BE226" s="3"/>
      <c r="BF226" s="19"/>
      <c r="BG226" s="3"/>
      <c r="BN226" s="3"/>
      <c r="BR226" s="3"/>
    </row>
    <row r="227" spans="4:70" ht="14.45" hidden="1">
      <c r="D227" s="3"/>
      <c r="J227" s="3"/>
      <c r="T227" s="3"/>
      <c r="U227" s="3"/>
      <c r="V227" s="3"/>
      <c r="W227" s="3"/>
      <c r="X227" s="3"/>
      <c r="AC227" s="3"/>
      <c r="AD227" s="3"/>
      <c r="AE227" s="3"/>
      <c r="AI227" s="3"/>
      <c r="AJ227" s="3"/>
      <c r="AU227" s="3"/>
      <c r="AV227" s="3"/>
      <c r="BA227" s="3"/>
      <c r="BB227" s="3"/>
      <c r="BE227" s="3"/>
      <c r="BF227" s="19"/>
      <c r="BG227" s="3"/>
      <c r="BN227" s="3"/>
      <c r="BR227" s="3"/>
    </row>
    <row r="228" spans="4:70" ht="14.45" hidden="1">
      <c r="D228" s="3"/>
      <c r="J228" s="3"/>
      <c r="T228" s="3"/>
      <c r="U228" s="3"/>
      <c r="V228" s="3"/>
      <c r="W228" s="3"/>
      <c r="X228" s="3"/>
      <c r="AC228" s="3"/>
      <c r="AD228" s="3"/>
      <c r="AE228" s="3"/>
      <c r="AI228" s="3"/>
      <c r="AJ228" s="3"/>
      <c r="AU228" s="3"/>
      <c r="AV228" s="3"/>
      <c r="BA228" s="3"/>
      <c r="BB228" s="3"/>
      <c r="BE228" s="3"/>
      <c r="BF228" s="19"/>
      <c r="BG228" s="3"/>
      <c r="BN228" s="3"/>
      <c r="BR228" s="3"/>
    </row>
    <row r="229" spans="4:70" ht="14.45" hidden="1">
      <c r="D229" s="3"/>
      <c r="J229" s="3"/>
      <c r="T229" s="3"/>
      <c r="U229" s="3"/>
      <c r="V229" s="3"/>
      <c r="W229" s="3"/>
      <c r="X229" s="3"/>
      <c r="AC229" s="3"/>
      <c r="AD229" s="3"/>
      <c r="AE229" s="3"/>
      <c r="AI229" s="3"/>
      <c r="AJ229" s="3"/>
      <c r="AU229" s="3"/>
      <c r="AV229" s="3"/>
      <c r="BA229" s="3"/>
      <c r="BB229" s="3"/>
      <c r="BE229" s="3"/>
      <c r="BF229" s="19"/>
      <c r="BG229" s="3"/>
      <c r="BN229" s="3"/>
      <c r="BR229" s="3"/>
    </row>
    <row r="230" spans="4:70" ht="14.45" hidden="1">
      <c r="D230" s="3"/>
      <c r="J230" s="3"/>
      <c r="T230" s="3"/>
      <c r="U230" s="3"/>
      <c r="V230" s="3"/>
      <c r="W230" s="3"/>
      <c r="X230" s="3"/>
      <c r="AC230" s="3"/>
      <c r="AD230" s="3"/>
      <c r="AE230" s="3"/>
      <c r="AI230" s="3"/>
      <c r="AJ230" s="3"/>
      <c r="AU230" s="3"/>
      <c r="AV230" s="3"/>
      <c r="BA230" s="3"/>
      <c r="BB230" s="3"/>
      <c r="BE230" s="3"/>
      <c r="BF230" s="19"/>
      <c r="BG230" s="3"/>
      <c r="BN230" s="3"/>
      <c r="BR230" s="3"/>
    </row>
    <row r="231" spans="4:70" ht="14.45" hidden="1">
      <c r="D231" s="3"/>
      <c r="J231" s="3"/>
      <c r="T231" s="3"/>
      <c r="U231" s="3"/>
      <c r="V231" s="3"/>
      <c r="W231" s="3"/>
      <c r="X231" s="3"/>
      <c r="AC231" s="3"/>
      <c r="AD231" s="3"/>
      <c r="AE231" s="3"/>
      <c r="AI231" s="3"/>
      <c r="AJ231" s="3"/>
      <c r="AU231" s="3"/>
      <c r="AV231" s="3"/>
      <c r="BA231" s="3"/>
      <c r="BB231" s="3"/>
      <c r="BE231" s="3"/>
      <c r="BF231" s="19"/>
      <c r="BG231" s="3"/>
      <c r="BN231" s="3"/>
      <c r="BR231" s="3"/>
    </row>
    <row r="232" spans="4:70" ht="14.45" hidden="1">
      <c r="D232" s="3"/>
      <c r="J232" s="3"/>
      <c r="T232" s="3"/>
      <c r="U232" s="3"/>
      <c r="V232" s="3"/>
      <c r="W232" s="3"/>
      <c r="X232" s="3"/>
      <c r="AC232" s="3"/>
      <c r="AD232" s="3"/>
      <c r="AE232" s="3"/>
      <c r="AI232" s="3"/>
      <c r="AJ232" s="3"/>
      <c r="AU232" s="3"/>
      <c r="AV232" s="3"/>
      <c r="BA232" s="3"/>
      <c r="BB232" s="3"/>
      <c r="BE232" s="3"/>
      <c r="BF232" s="19"/>
      <c r="BG232" s="3"/>
      <c r="BN232" s="3"/>
      <c r="BR232" s="3"/>
    </row>
    <row r="233" spans="4:70" ht="14.45" hidden="1">
      <c r="D233" s="3"/>
      <c r="J233" s="3"/>
      <c r="T233" s="3"/>
      <c r="U233" s="3"/>
      <c r="V233" s="3"/>
      <c r="W233" s="3"/>
      <c r="X233" s="3"/>
      <c r="AC233" s="3"/>
      <c r="AD233" s="3"/>
      <c r="AE233" s="3"/>
      <c r="AI233" s="3"/>
      <c r="AJ233" s="3"/>
      <c r="AU233" s="3"/>
      <c r="AV233" s="3"/>
      <c r="BA233" s="3"/>
      <c r="BB233" s="3"/>
      <c r="BE233" s="3"/>
      <c r="BF233" s="19"/>
      <c r="BG233" s="3"/>
      <c r="BN233" s="3"/>
      <c r="BR233" s="3"/>
    </row>
    <row r="234" spans="4:70" ht="14.45" hidden="1">
      <c r="D234" s="3"/>
      <c r="J234" s="3"/>
      <c r="T234" s="3"/>
      <c r="U234" s="3"/>
      <c r="V234" s="3"/>
      <c r="W234" s="3"/>
      <c r="X234" s="3"/>
      <c r="AC234" s="3"/>
      <c r="AD234" s="3"/>
      <c r="AE234" s="3"/>
      <c r="AI234" s="3"/>
      <c r="AJ234" s="3"/>
      <c r="AU234" s="3"/>
      <c r="AV234" s="3"/>
      <c r="BA234" s="3"/>
      <c r="BB234" s="3"/>
      <c r="BE234" s="3"/>
      <c r="BF234" s="19"/>
      <c r="BG234" s="3"/>
      <c r="BN234" s="3"/>
      <c r="BR234" s="3"/>
    </row>
    <row r="235" spans="4:70" ht="14.45" hidden="1">
      <c r="D235" s="3"/>
      <c r="J235" s="3"/>
      <c r="T235" s="3"/>
      <c r="U235" s="3"/>
      <c r="V235" s="3"/>
      <c r="W235" s="3"/>
      <c r="X235" s="3"/>
      <c r="AC235" s="3"/>
      <c r="AD235" s="3"/>
      <c r="AE235" s="3"/>
      <c r="AI235" s="3"/>
      <c r="AJ235" s="3"/>
      <c r="AU235" s="3"/>
      <c r="AV235" s="3"/>
      <c r="BA235" s="3"/>
      <c r="BB235" s="3"/>
      <c r="BE235" s="3"/>
      <c r="BF235" s="19"/>
      <c r="BG235" s="3"/>
      <c r="BN235" s="3"/>
      <c r="BR235" s="3"/>
    </row>
    <row r="236" spans="4:70" ht="14.45" hidden="1">
      <c r="D236" s="3"/>
      <c r="J236" s="3"/>
      <c r="T236" s="3"/>
      <c r="U236" s="3"/>
      <c r="V236" s="3"/>
      <c r="W236" s="3"/>
      <c r="X236" s="3"/>
      <c r="AC236" s="3"/>
      <c r="AD236" s="3"/>
      <c r="AE236" s="3"/>
      <c r="AI236" s="3"/>
      <c r="AJ236" s="3"/>
      <c r="AU236" s="3"/>
      <c r="AV236" s="3"/>
      <c r="BA236" s="3"/>
      <c r="BB236" s="3"/>
      <c r="BE236" s="3"/>
      <c r="BF236" s="19"/>
      <c r="BG236" s="3"/>
      <c r="BN236" s="3"/>
      <c r="BR236" s="3"/>
    </row>
    <row r="237" spans="4:70" ht="14.45" hidden="1">
      <c r="D237" s="3"/>
      <c r="J237" s="3"/>
      <c r="T237" s="3"/>
      <c r="U237" s="3"/>
      <c r="V237" s="3"/>
      <c r="W237" s="3"/>
      <c r="X237" s="3"/>
      <c r="AC237" s="3"/>
      <c r="AD237" s="3"/>
      <c r="AE237" s="3"/>
      <c r="AI237" s="3"/>
      <c r="AJ237" s="3"/>
      <c r="AU237" s="3"/>
      <c r="AV237" s="3"/>
      <c r="BA237" s="3"/>
      <c r="BB237" s="3"/>
      <c r="BE237" s="3"/>
      <c r="BF237" s="19"/>
      <c r="BG237" s="3"/>
      <c r="BN237" s="3"/>
      <c r="BR237" s="3"/>
    </row>
    <row r="238" spans="4:70" ht="14.45" hidden="1">
      <c r="D238" s="3"/>
      <c r="J238" s="3"/>
      <c r="T238" s="3"/>
      <c r="U238" s="3"/>
      <c r="V238" s="3"/>
      <c r="W238" s="3"/>
      <c r="X238" s="3"/>
      <c r="AC238" s="3"/>
      <c r="AD238" s="3"/>
      <c r="AE238" s="3"/>
      <c r="AI238" s="3"/>
      <c r="AJ238" s="3"/>
      <c r="AU238" s="3"/>
      <c r="AV238" s="3"/>
      <c r="BA238" s="3"/>
      <c r="BB238" s="3"/>
      <c r="BE238" s="3"/>
      <c r="BF238" s="19"/>
      <c r="BG238" s="3"/>
      <c r="BN238" s="3"/>
      <c r="BR238" s="3"/>
    </row>
    <row r="239" spans="4:70" ht="14.45" hidden="1">
      <c r="D239" s="3"/>
      <c r="J239" s="3"/>
      <c r="T239" s="3"/>
      <c r="U239" s="3"/>
      <c r="V239" s="3"/>
      <c r="W239" s="3"/>
      <c r="X239" s="3"/>
      <c r="AC239" s="3"/>
      <c r="AD239" s="3"/>
      <c r="AE239" s="3"/>
      <c r="AI239" s="3"/>
      <c r="AJ239" s="3"/>
      <c r="AU239" s="3"/>
      <c r="AV239" s="3"/>
      <c r="BA239" s="3"/>
      <c r="BB239" s="3"/>
      <c r="BE239" s="3"/>
      <c r="BF239" s="19"/>
      <c r="BG239" s="3"/>
      <c r="BN239" s="3"/>
      <c r="BR239" s="3"/>
    </row>
    <row r="240" spans="4:70" ht="14.45" hidden="1">
      <c r="D240" s="3"/>
      <c r="J240" s="3"/>
      <c r="T240" s="3"/>
      <c r="U240" s="3"/>
      <c r="V240" s="3"/>
      <c r="W240" s="3"/>
      <c r="X240" s="3"/>
      <c r="AC240" s="3"/>
      <c r="AD240" s="3"/>
      <c r="AE240" s="3"/>
      <c r="AI240" s="3"/>
      <c r="AJ240" s="3"/>
      <c r="AU240" s="3"/>
      <c r="AV240" s="3"/>
      <c r="BA240" s="3"/>
      <c r="BB240" s="3"/>
      <c r="BE240" s="3"/>
      <c r="BF240" s="19"/>
      <c r="BG240" s="3"/>
      <c r="BN240" s="3"/>
      <c r="BR240" s="3"/>
    </row>
    <row r="241" spans="4:70" ht="14.45" hidden="1">
      <c r="D241" s="3"/>
      <c r="J241" s="3"/>
      <c r="T241" s="3"/>
      <c r="U241" s="3"/>
      <c r="V241" s="3"/>
      <c r="W241" s="3"/>
      <c r="X241" s="3"/>
      <c r="AC241" s="3"/>
      <c r="AD241" s="3"/>
      <c r="AE241" s="3"/>
      <c r="AI241" s="3"/>
      <c r="AJ241" s="3"/>
      <c r="AU241" s="3"/>
      <c r="AV241" s="3"/>
      <c r="BA241" s="3"/>
      <c r="BB241" s="3"/>
      <c r="BE241" s="3"/>
      <c r="BF241" s="19"/>
      <c r="BG241" s="3"/>
      <c r="BN241" s="3"/>
      <c r="BR241" s="3"/>
    </row>
    <row r="242" spans="4:70" ht="14.45" hidden="1">
      <c r="D242" s="3"/>
      <c r="J242" s="3"/>
      <c r="T242" s="3"/>
      <c r="U242" s="3"/>
      <c r="V242" s="3"/>
      <c r="W242" s="3"/>
      <c r="X242" s="3"/>
      <c r="AC242" s="3"/>
      <c r="AD242" s="3"/>
      <c r="AE242" s="3"/>
      <c r="AI242" s="3"/>
      <c r="AJ242" s="3"/>
      <c r="AU242" s="3"/>
      <c r="AV242" s="3"/>
      <c r="BA242" s="3"/>
      <c r="BB242" s="3"/>
      <c r="BE242" s="3"/>
      <c r="BF242" s="19"/>
      <c r="BG242" s="3"/>
      <c r="BN242" s="3"/>
      <c r="BR242" s="3"/>
    </row>
    <row r="243" spans="4:70" ht="14.45" hidden="1">
      <c r="D243" s="3"/>
      <c r="J243" s="3"/>
      <c r="T243" s="3"/>
      <c r="U243" s="3"/>
      <c r="V243" s="3"/>
      <c r="W243" s="3"/>
      <c r="X243" s="3"/>
      <c r="AC243" s="3"/>
      <c r="AD243" s="3"/>
      <c r="AE243" s="3"/>
      <c r="AI243" s="3"/>
      <c r="AJ243" s="3"/>
      <c r="AU243" s="3"/>
      <c r="AV243" s="3"/>
      <c r="BA243" s="3"/>
      <c r="BB243" s="3"/>
      <c r="BE243" s="3"/>
      <c r="BF243" s="19"/>
      <c r="BG243" s="3"/>
      <c r="BN243" s="3"/>
      <c r="BR243" s="3"/>
    </row>
    <row r="244" spans="4:70" ht="14.45" hidden="1">
      <c r="D244" s="3"/>
      <c r="J244" s="3"/>
      <c r="T244" s="3"/>
      <c r="U244" s="3"/>
      <c r="V244" s="3"/>
      <c r="W244" s="3"/>
      <c r="X244" s="3"/>
      <c r="AC244" s="3"/>
      <c r="AD244" s="3"/>
      <c r="AE244" s="3"/>
      <c r="AI244" s="3"/>
      <c r="AJ244" s="3"/>
      <c r="AU244" s="3"/>
      <c r="AV244" s="3"/>
      <c r="BA244" s="3"/>
      <c r="BB244" s="3"/>
      <c r="BE244" s="3"/>
      <c r="BF244" s="19"/>
      <c r="BG244" s="3"/>
      <c r="BN244" s="3"/>
      <c r="BR244" s="3"/>
    </row>
    <row r="245" spans="4:70" ht="14.45" hidden="1">
      <c r="D245" s="3"/>
      <c r="J245" s="3"/>
      <c r="T245" s="3"/>
      <c r="U245" s="3"/>
      <c r="V245" s="3"/>
      <c r="W245" s="3"/>
      <c r="X245" s="3"/>
      <c r="AC245" s="3"/>
      <c r="AD245" s="3"/>
      <c r="AE245" s="3"/>
      <c r="AI245" s="3"/>
      <c r="AJ245" s="3"/>
      <c r="AU245" s="3"/>
      <c r="AV245" s="3"/>
      <c r="BA245" s="3"/>
      <c r="BB245" s="3"/>
      <c r="BE245" s="3"/>
      <c r="BF245" s="19"/>
      <c r="BG245" s="3"/>
      <c r="BN245" s="3"/>
      <c r="BR245" s="3"/>
    </row>
    <row r="246" spans="4:70" ht="14.45" hidden="1">
      <c r="D246" s="3"/>
      <c r="J246" s="3"/>
      <c r="T246" s="3"/>
      <c r="U246" s="3"/>
      <c r="V246" s="3"/>
      <c r="W246" s="3"/>
      <c r="X246" s="3"/>
      <c r="AC246" s="3"/>
      <c r="AD246" s="3"/>
      <c r="AE246" s="3"/>
      <c r="AI246" s="3"/>
      <c r="AJ246" s="3"/>
      <c r="AU246" s="3"/>
      <c r="AV246" s="3"/>
      <c r="BA246" s="3"/>
      <c r="BB246" s="3"/>
      <c r="BE246" s="3"/>
      <c r="BF246" s="19"/>
      <c r="BG246" s="3"/>
      <c r="BN246" s="3"/>
      <c r="BR246" s="3"/>
    </row>
    <row r="247" spans="4:70" ht="14.45" hidden="1">
      <c r="D247" s="3"/>
      <c r="J247" s="3"/>
      <c r="T247" s="3"/>
      <c r="U247" s="3"/>
      <c r="V247" s="3"/>
      <c r="W247" s="3"/>
      <c r="X247" s="3"/>
      <c r="AC247" s="3"/>
      <c r="AD247" s="3"/>
      <c r="AE247" s="3"/>
      <c r="AI247" s="3"/>
      <c r="AJ247" s="3"/>
      <c r="AU247" s="3"/>
      <c r="AV247" s="3"/>
      <c r="BA247" s="3"/>
      <c r="BB247" s="3"/>
      <c r="BE247" s="3"/>
      <c r="BF247" s="19"/>
      <c r="BG247" s="3"/>
      <c r="BN247" s="3"/>
      <c r="BR247" s="3"/>
    </row>
    <row r="248" spans="4:70" ht="14.45" hidden="1">
      <c r="D248" s="3"/>
      <c r="J248" s="3"/>
      <c r="T248" s="3"/>
      <c r="U248" s="3"/>
      <c r="V248" s="3"/>
      <c r="W248" s="3"/>
      <c r="X248" s="3"/>
      <c r="AC248" s="3"/>
      <c r="AD248" s="3"/>
      <c r="AE248" s="3"/>
      <c r="AI248" s="3"/>
      <c r="AJ248" s="3"/>
      <c r="AU248" s="3"/>
      <c r="AV248" s="3"/>
      <c r="BA248" s="3"/>
      <c r="BB248" s="3"/>
      <c r="BE248" s="3"/>
      <c r="BF248" s="19"/>
      <c r="BG248" s="3"/>
      <c r="BN248" s="3"/>
      <c r="BR248" s="3"/>
    </row>
    <row r="249" spans="4:70" ht="14.45" hidden="1">
      <c r="D249" s="3"/>
      <c r="J249" s="3"/>
      <c r="T249" s="3"/>
      <c r="U249" s="3"/>
      <c r="V249" s="3"/>
      <c r="W249" s="3"/>
      <c r="X249" s="3"/>
      <c r="AC249" s="3"/>
      <c r="AD249" s="3"/>
      <c r="AE249" s="3"/>
      <c r="AI249" s="3"/>
      <c r="AJ249" s="3"/>
      <c r="AU249" s="3"/>
      <c r="AV249" s="3"/>
      <c r="BA249" s="3"/>
      <c r="BB249" s="3"/>
      <c r="BE249" s="3"/>
      <c r="BF249" s="19"/>
      <c r="BG249" s="3"/>
      <c r="BN249" s="3"/>
      <c r="BR249" s="3"/>
    </row>
    <row r="250" spans="4:70" ht="14.45" hidden="1">
      <c r="D250" s="3"/>
      <c r="J250" s="3"/>
      <c r="T250" s="3"/>
      <c r="U250" s="3"/>
      <c r="V250" s="3"/>
      <c r="W250" s="3"/>
      <c r="X250" s="3"/>
      <c r="AC250" s="3"/>
      <c r="AD250" s="3"/>
      <c r="AE250" s="3"/>
      <c r="AI250" s="3"/>
      <c r="AJ250" s="3"/>
      <c r="AU250" s="3"/>
      <c r="AV250" s="3"/>
      <c r="BA250" s="3"/>
      <c r="BB250" s="3"/>
      <c r="BE250" s="3"/>
      <c r="BF250" s="19"/>
      <c r="BG250" s="3"/>
      <c r="BN250" s="3"/>
      <c r="BR250" s="3"/>
    </row>
    <row r="251" spans="4:70" ht="14.45" hidden="1">
      <c r="D251" s="3"/>
      <c r="J251" s="3"/>
      <c r="T251" s="3"/>
      <c r="U251" s="3"/>
      <c r="V251" s="3"/>
      <c r="W251" s="3"/>
      <c r="X251" s="3"/>
      <c r="AC251" s="3"/>
      <c r="AD251" s="3"/>
      <c r="AE251" s="3"/>
      <c r="AI251" s="3"/>
      <c r="AJ251" s="3"/>
      <c r="AU251" s="3"/>
      <c r="AV251" s="3"/>
      <c r="BA251" s="3"/>
      <c r="BB251" s="3"/>
      <c r="BE251" s="3"/>
      <c r="BF251" s="19"/>
      <c r="BG251" s="3"/>
      <c r="BN251" s="3"/>
      <c r="BR251" s="3"/>
    </row>
    <row r="252" spans="4:70" ht="14.45" hidden="1">
      <c r="D252" s="3"/>
      <c r="J252" s="3"/>
      <c r="T252" s="3"/>
      <c r="U252" s="3"/>
      <c r="V252" s="3"/>
      <c r="W252" s="3"/>
      <c r="X252" s="3"/>
      <c r="AC252" s="3"/>
      <c r="AD252" s="3"/>
      <c r="AE252" s="3"/>
      <c r="AI252" s="3"/>
      <c r="AJ252" s="3"/>
      <c r="AU252" s="3"/>
      <c r="AV252" s="3"/>
      <c r="BA252" s="3"/>
      <c r="BB252" s="3"/>
      <c r="BE252" s="3"/>
      <c r="BF252" s="19"/>
      <c r="BG252" s="3"/>
      <c r="BN252" s="3"/>
      <c r="BR252" s="3"/>
    </row>
    <row r="253" spans="4:70" ht="14.45" hidden="1">
      <c r="D253" s="3"/>
      <c r="J253" s="3"/>
      <c r="T253" s="3"/>
      <c r="U253" s="3"/>
      <c r="V253" s="3"/>
      <c r="W253" s="3"/>
      <c r="X253" s="3"/>
      <c r="AC253" s="3"/>
      <c r="AD253" s="3"/>
      <c r="AE253" s="3"/>
      <c r="AI253" s="3"/>
      <c r="AJ253" s="3"/>
      <c r="AU253" s="3"/>
      <c r="AV253" s="3"/>
      <c r="BA253" s="3"/>
      <c r="BB253" s="3"/>
      <c r="BE253" s="3"/>
      <c r="BF253" s="19"/>
      <c r="BG253" s="3"/>
      <c r="BN253" s="3"/>
      <c r="BR253" s="3"/>
    </row>
    <row r="254" spans="4:70" ht="14.45" hidden="1">
      <c r="D254" s="3"/>
      <c r="J254" s="3"/>
      <c r="T254" s="3"/>
      <c r="U254" s="3"/>
      <c r="V254" s="3"/>
      <c r="W254" s="3"/>
      <c r="X254" s="3"/>
      <c r="AC254" s="3"/>
      <c r="AD254" s="3"/>
      <c r="AE254" s="3"/>
      <c r="AI254" s="3"/>
      <c r="AJ254" s="3"/>
      <c r="AU254" s="3"/>
      <c r="AV254" s="3"/>
      <c r="BA254" s="3"/>
      <c r="BB254" s="3"/>
      <c r="BE254" s="3"/>
      <c r="BF254" s="19"/>
      <c r="BG254" s="3"/>
      <c r="BN254" s="3"/>
      <c r="BR254" s="3"/>
    </row>
    <row r="255" spans="4:70" ht="14.45" hidden="1">
      <c r="D255" s="3"/>
      <c r="J255" s="3"/>
      <c r="T255" s="3"/>
      <c r="U255" s="3"/>
      <c r="V255" s="3"/>
      <c r="W255" s="3"/>
      <c r="X255" s="3"/>
      <c r="AC255" s="3"/>
      <c r="AD255" s="3"/>
      <c r="AE255" s="3"/>
      <c r="AI255" s="3"/>
      <c r="AJ255" s="3"/>
      <c r="AU255" s="3"/>
      <c r="AV255" s="3"/>
      <c r="BA255" s="3"/>
      <c r="BB255" s="3"/>
      <c r="BE255" s="3"/>
      <c r="BF255" s="19"/>
      <c r="BG255" s="3"/>
      <c r="BN255" s="3"/>
      <c r="BR255" s="3"/>
    </row>
    <row r="256" spans="4:70" ht="14.45" hidden="1">
      <c r="D256" s="3"/>
      <c r="J256" s="3"/>
      <c r="T256" s="3"/>
      <c r="U256" s="3"/>
      <c r="V256" s="3"/>
      <c r="W256" s="3"/>
      <c r="X256" s="3"/>
      <c r="AC256" s="3"/>
      <c r="AD256" s="3"/>
      <c r="AE256" s="3"/>
      <c r="AI256" s="3"/>
      <c r="AJ256" s="3"/>
      <c r="AU256" s="3"/>
      <c r="AV256" s="3"/>
      <c r="BA256" s="3"/>
      <c r="BB256" s="3"/>
      <c r="BE256" s="3"/>
      <c r="BF256" s="19"/>
      <c r="BG256" s="3"/>
      <c r="BN256" s="3"/>
      <c r="BR256" s="3"/>
    </row>
    <row r="257" spans="4:70" ht="14.45" hidden="1">
      <c r="D257" s="3"/>
      <c r="J257" s="3"/>
      <c r="T257" s="3"/>
      <c r="U257" s="3"/>
      <c r="V257" s="3"/>
      <c r="W257" s="3"/>
      <c r="X257" s="3"/>
      <c r="AC257" s="3"/>
      <c r="AD257" s="3"/>
      <c r="AE257" s="3"/>
      <c r="AI257" s="3"/>
      <c r="AJ257" s="3"/>
      <c r="AU257" s="3"/>
      <c r="AV257" s="3"/>
      <c r="BA257" s="3"/>
      <c r="BB257" s="3"/>
      <c r="BE257" s="3"/>
      <c r="BF257" s="19"/>
      <c r="BG257" s="3"/>
      <c r="BN257" s="3"/>
      <c r="BR257" s="3"/>
    </row>
    <row r="258" spans="4:70" ht="14.45" hidden="1">
      <c r="D258" s="3"/>
      <c r="J258" s="3"/>
      <c r="T258" s="3"/>
      <c r="U258" s="3"/>
      <c r="V258" s="3"/>
      <c r="W258" s="3"/>
      <c r="X258" s="3"/>
      <c r="AC258" s="3"/>
      <c r="AD258" s="3"/>
      <c r="AE258" s="3"/>
      <c r="AI258" s="3"/>
      <c r="AJ258" s="3"/>
      <c r="AU258" s="3"/>
      <c r="AV258" s="3"/>
      <c r="BA258" s="3"/>
      <c r="BB258" s="3"/>
      <c r="BE258" s="3"/>
      <c r="BF258" s="19"/>
      <c r="BG258" s="3"/>
      <c r="BN258" s="3"/>
      <c r="BR258" s="3"/>
    </row>
    <row r="259" spans="4:70" ht="14.45" hidden="1">
      <c r="D259" s="3"/>
      <c r="J259" s="3"/>
      <c r="T259" s="3"/>
      <c r="U259" s="3"/>
      <c r="V259" s="3"/>
      <c r="W259" s="3"/>
      <c r="X259" s="3"/>
      <c r="AC259" s="3"/>
      <c r="AD259" s="3"/>
      <c r="AE259" s="3"/>
      <c r="AI259" s="3"/>
      <c r="AJ259" s="3"/>
      <c r="AU259" s="3"/>
      <c r="AV259" s="3"/>
      <c r="BA259" s="3"/>
      <c r="BB259" s="3"/>
      <c r="BE259" s="3"/>
      <c r="BF259" s="19"/>
      <c r="BG259" s="3"/>
      <c r="BN259" s="3"/>
      <c r="BR259" s="3"/>
    </row>
    <row r="260" spans="4:70" ht="14.45" hidden="1">
      <c r="D260" s="3"/>
      <c r="J260" s="3"/>
      <c r="T260" s="3"/>
      <c r="U260" s="3"/>
      <c r="V260" s="3"/>
      <c r="W260" s="3"/>
      <c r="X260" s="3"/>
      <c r="AC260" s="3"/>
      <c r="AD260" s="3"/>
      <c r="AE260" s="3"/>
      <c r="AI260" s="3"/>
      <c r="AJ260" s="3"/>
      <c r="AU260" s="3"/>
      <c r="AV260" s="3"/>
      <c r="BA260" s="3"/>
      <c r="BB260" s="3"/>
      <c r="BE260" s="3"/>
      <c r="BF260" s="19"/>
      <c r="BG260" s="3"/>
      <c r="BN260" s="3"/>
      <c r="BR260" s="3"/>
    </row>
    <row r="261" spans="4:70" ht="14.45" hidden="1">
      <c r="D261" s="3"/>
      <c r="J261" s="3"/>
      <c r="T261" s="3"/>
      <c r="U261" s="3"/>
      <c r="V261" s="3"/>
      <c r="W261" s="3"/>
      <c r="X261" s="3"/>
      <c r="AC261" s="3"/>
      <c r="AD261" s="3"/>
      <c r="AE261" s="3"/>
      <c r="AI261" s="3"/>
      <c r="AJ261" s="3"/>
      <c r="AU261" s="3"/>
      <c r="AV261" s="3"/>
      <c r="BA261" s="3"/>
      <c r="BB261" s="3"/>
      <c r="BE261" s="3"/>
      <c r="BF261" s="19"/>
      <c r="BG261" s="3"/>
      <c r="BN261" s="3"/>
      <c r="BR261" s="3"/>
    </row>
    <row r="262" spans="4:70" ht="14.45" hidden="1">
      <c r="D262" s="3"/>
      <c r="J262" s="3"/>
      <c r="T262" s="3"/>
      <c r="U262" s="3"/>
      <c r="V262" s="3"/>
      <c r="W262" s="3"/>
      <c r="X262" s="3"/>
      <c r="AC262" s="3"/>
      <c r="AD262" s="3"/>
      <c r="AE262" s="3"/>
      <c r="AI262" s="3"/>
      <c r="AJ262" s="3"/>
      <c r="AU262" s="3"/>
      <c r="AV262" s="3"/>
      <c r="BA262" s="3"/>
      <c r="BB262" s="3"/>
      <c r="BE262" s="3"/>
      <c r="BF262" s="19"/>
      <c r="BG262" s="3"/>
      <c r="BN262" s="3"/>
      <c r="BR262" s="3"/>
    </row>
    <row r="263" spans="4:70" ht="14.45" hidden="1">
      <c r="D263" s="3"/>
      <c r="J263" s="3"/>
      <c r="T263" s="3"/>
      <c r="U263" s="3"/>
      <c r="V263" s="3"/>
      <c r="W263" s="3"/>
      <c r="X263" s="3"/>
      <c r="AC263" s="3"/>
      <c r="AD263" s="3"/>
      <c r="AE263" s="3"/>
      <c r="AI263" s="3"/>
      <c r="AJ263" s="3"/>
      <c r="AU263" s="3"/>
      <c r="AV263" s="3"/>
      <c r="BA263" s="3"/>
      <c r="BB263" s="3"/>
      <c r="BE263" s="3"/>
      <c r="BF263" s="19"/>
      <c r="BG263" s="3"/>
      <c r="BN263" s="3"/>
      <c r="BR263" s="3"/>
    </row>
    <row r="264" spans="4:70" ht="14.45" hidden="1">
      <c r="D264" s="3"/>
      <c r="J264" s="3"/>
      <c r="T264" s="3"/>
      <c r="U264" s="3"/>
      <c r="V264" s="3"/>
      <c r="W264" s="3"/>
      <c r="X264" s="3"/>
      <c r="AC264" s="3"/>
      <c r="AD264" s="3"/>
      <c r="AE264" s="3"/>
      <c r="AI264" s="3"/>
      <c r="AJ264" s="3"/>
      <c r="AU264" s="3"/>
      <c r="AV264" s="3"/>
      <c r="BA264" s="3"/>
      <c r="BB264" s="3"/>
      <c r="BE264" s="3"/>
      <c r="BF264" s="19"/>
      <c r="BG264" s="3"/>
      <c r="BN264" s="3"/>
      <c r="BR264" s="3"/>
    </row>
    <row r="265" spans="4:70" ht="14.45" hidden="1">
      <c r="D265" s="3"/>
      <c r="J265" s="3"/>
      <c r="T265" s="3"/>
      <c r="U265" s="3"/>
      <c r="V265" s="3"/>
      <c r="W265" s="3"/>
      <c r="X265" s="3"/>
      <c r="AC265" s="3"/>
      <c r="AD265" s="3"/>
      <c r="AE265" s="3"/>
      <c r="AI265" s="3"/>
      <c r="AJ265" s="3"/>
      <c r="AU265" s="3"/>
      <c r="AV265" s="3"/>
      <c r="BA265" s="3"/>
      <c r="BB265" s="3"/>
      <c r="BE265" s="3"/>
      <c r="BF265" s="19"/>
      <c r="BG265" s="3"/>
      <c r="BN265" s="3"/>
      <c r="BR265" s="3"/>
    </row>
    <row r="266" spans="4:70" ht="14.45" hidden="1">
      <c r="D266" s="3"/>
      <c r="J266" s="3"/>
      <c r="T266" s="3"/>
      <c r="U266" s="3"/>
      <c r="V266" s="3"/>
      <c r="W266" s="3"/>
      <c r="X266" s="3"/>
      <c r="AC266" s="3"/>
      <c r="AD266" s="3"/>
      <c r="AE266" s="3"/>
      <c r="AI266" s="3"/>
      <c r="AJ266" s="3"/>
      <c r="AU266" s="3"/>
      <c r="AV266" s="3"/>
      <c r="BA266" s="3"/>
      <c r="BB266" s="3"/>
      <c r="BE266" s="3"/>
      <c r="BF266" s="19"/>
      <c r="BG266" s="3"/>
      <c r="BN266" s="3"/>
      <c r="BR266" s="3"/>
    </row>
    <row r="267" spans="4:70" ht="14.45" hidden="1">
      <c r="D267" s="3"/>
      <c r="J267" s="3"/>
      <c r="T267" s="3"/>
      <c r="U267" s="3"/>
      <c r="V267" s="3"/>
      <c r="W267" s="3"/>
      <c r="X267" s="3"/>
      <c r="AC267" s="3"/>
      <c r="AD267" s="3"/>
      <c r="AE267" s="3"/>
      <c r="AI267" s="3"/>
      <c r="AJ267" s="3"/>
      <c r="AU267" s="3"/>
      <c r="AV267" s="3"/>
      <c r="BA267" s="3"/>
      <c r="BB267" s="3"/>
      <c r="BE267" s="3"/>
      <c r="BF267" s="19"/>
      <c r="BG267" s="3"/>
      <c r="BN267" s="3"/>
      <c r="BR267" s="3"/>
    </row>
    <row r="268" spans="4:70" ht="14.45" hidden="1">
      <c r="D268" s="3"/>
      <c r="J268" s="3"/>
      <c r="T268" s="3"/>
      <c r="U268" s="3"/>
      <c r="V268" s="3"/>
      <c r="W268" s="3"/>
      <c r="X268" s="3"/>
      <c r="AC268" s="3"/>
      <c r="AD268" s="3"/>
      <c r="AE268" s="3"/>
      <c r="AI268" s="3"/>
      <c r="AJ268" s="3"/>
      <c r="AU268" s="3"/>
      <c r="AV268" s="3"/>
      <c r="BA268" s="3"/>
      <c r="BB268" s="3"/>
      <c r="BE268" s="3"/>
      <c r="BF268" s="19"/>
      <c r="BG268" s="3"/>
      <c r="BN268" s="3"/>
      <c r="BR268" s="3"/>
    </row>
    <row r="269" spans="4:70" ht="14.45" hidden="1">
      <c r="D269" s="3"/>
      <c r="J269" s="3"/>
      <c r="T269" s="3"/>
      <c r="U269" s="3"/>
      <c r="V269" s="3"/>
      <c r="W269" s="3"/>
      <c r="X269" s="3"/>
      <c r="AC269" s="3"/>
      <c r="AD269" s="3"/>
      <c r="AE269" s="3"/>
      <c r="AI269" s="3"/>
      <c r="AJ269" s="3"/>
      <c r="AU269" s="3"/>
      <c r="AV269" s="3"/>
      <c r="BA269" s="3"/>
      <c r="BB269" s="3"/>
      <c r="BE269" s="3"/>
      <c r="BF269" s="19"/>
      <c r="BG269" s="3"/>
      <c r="BN269" s="3"/>
      <c r="BR269" s="3"/>
    </row>
    <row r="270" spans="4:70" ht="14.45" hidden="1">
      <c r="D270" s="3"/>
      <c r="J270" s="3"/>
      <c r="T270" s="3"/>
      <c r="U270" s="3"/>
      <c r="V270" s="3"/>
      <c r="W270" s="3"/>
      <c r="X270" s="3"/>
      <c r="AC270" s="3"/>
      <c r="AD270" s="3"/>
      <c r="AE270" s="3"/>
      <c r="AI270" s="3"/>
      <c r="AJ270" s="3"/>
      <c r="AU270" s="3"/>
      <c r="AV270" s="3"/>
      <c r="BA270" s="3"/>
      <c r="BB270" s="3"/>
      <c r="BE270" s="3"/>
      <c r="BF270" s="19"/>
      <c r="BG270" s="3"/>
      <c r="BN270" s="3"/>
      <c r="BR270" s="3"/>
    </row>
    <row r="271" spans="4:70" ht="14.45" hidden="1">
      <c r="D271" s="3"/>
      <c r="J271" s="3"/>
      <c r="T271" s="3"/>
      <c r="U271" s="3"/>
      <c r="V271" s="3"/>
      <c r="W271" s="3"/>
      <c r="X271" s="3"/>
      <c r="AC271" s="3"/>
      <c r="AD271" s="3"/>
      <c r="AE271" s="3"/>
      <c r="AI271" s="3"/>
      <c r="AJ271" s="3"/>
      <c r="AU271" s="3"/>
      <c r="AV271" s="3"/>
      <c r="BA271" s="3"/>
      <c r="BB271" s="3"/>
      <c r="BE271" s="3"/>
      <c r="BF271" s="19"/>
      <c r="BG271" s="3"/>
      <c r="BN271" s="3"/>
      <c r="BR271" s="3"/>
    </row>
    <row r="272" spans="4:70" ht="14.45" hidden="1">
      <c r="D272" s="3"/>
      <c r="J272" s="3"/>
      <c r="T272" s="3"/>
      <c r="U272" s="3"/>
      <c r="V272" s="3"/>
      <c r="W272" s="3"/>
      <c r="X272" s="3"/>
      <c r="AC272" s="3"/>
      <c r="AD272" s="3"/>
      <c r="AE272" s="3"/>
      <c r="AI272" s="3"/>
      <c r="AJ272" s="3"/>
      <c r="AU272" s="3"/>
      <c r="AV272" s="3"/>
      <c r="BA272" s="3"/>
      <c r="BB272" s="3"/>
      <c r="BE272" s="3"/>
      <c r="BF272" s="19"/>
      <c r="BG272" s="3"/>
      <c r="BN272" s="3"/>
      <c r="BR272" s="3"/>
    </row>
    <row r="273" spans="4:70" ht="14.45" hidden="1">
      <c r="D273" s="3"/>
      <c r="J273" s="3"/>
      <c r="T273" s="3"/>
      <c r="U273" s="3"/>
      <c r="V273" s="3"/>
      <c r="W273" s="3"/>
      <c r="X273" s="3"/>
      <c r="AC273" s="3"/>
      <c r="AD273" s="3"/>
      <c r="AE273" s="3"/>
      <c r="AI273" s="3"/>
      <c r="AJ273" s="3"/>
      <c r="AU273" s="3"/>
      <c r="AV273" s="3"/>
      <c r="BA273" s="3"/>
      <c r="BB273" s="3"/>
      <c r="BE273" s="3"/>
      <c r="BF273" s="19"/>
      <c r="BG273" s="3"/>
      <c r="BN273" s="3"/>
      <c r="BR273" s="3"/>
    </row>
    <row r="274" spans="4:70" ht="14.45" hidden="1">
      <c r="D274" s="3"/>
      <c r="J274" s="3"/>
      <c r="T274" s="3"/>
      <c r="U274" s="3"/>
      <c r="V274" s="3"/>
      <c r="W274" s="3"/>
      <c r="X274" s="3"/>
      <c r="AC274" s="3"/>
      <c r="AD274" s="3"/>
      <c r="AE274" s="3"/>
      <c r="AI274" s="3"/>
      <c r="AJ274" s="3"/>
      <c r="AU274" s="3"/>
      <c r="AV274" s="3"/>
      <c r="BA274" s="3"/>
      <c r="BB274" s="3"/>
      <c r="BE274" s="3"/>
      <c r="BF274" s="19"/>
      <c r="BG274" s="3"/>
      <c r="BN274" s="3"/>
      <c r="BR274" s="3"/>
    </row>
    <row r="275" spans="4:70" ht="14.45" hidden="1">
      <c r="D275" s="3"/>
      <c r="J275" s="3"/>
      <c r="T275" s="3"/>
      <c r="U275" s="3"/>
      <c r="V275" s="3"/>
      <c r="W275" s="3"/>
      <c r="X275" s="3"/>
      <c r="AC275" s="3"/>
      <c r="AD275" s="3"/>
      <c r="AE275" s="3"/>
      <c r="AI275" s="3"/>
      <c r="AJ275" s="3"/>
      <c r="AU275" s="3"/>
      <c r="AV275" s="3"/>
      <c r="BA275" s="3"/>
      <c r="BB275" s="3"/>
      <c r="BE275" s="3"/>
      <c r="BF275" s="19"/>
      <c r="BG275" s="3"/>
      <c r="BN275" s="3"/>
      <c r="BR275" s="3"/>
    </row>
    <row r="276" spans="4:70" ht="14.45" hidden="1">
      <c r="D276" s="3"/>
      <c r="J276" s="3"/>
      <c r="T276" s="3"/>
      <c r="U276" s="3"/>
      <c r="V276" s="3"/>
      <c r="W276" s="3"/>
      <c r="X276" s="3"/>
      <c r="AC276" s="3"/>
      <c r="AD276" s="3"/>
      <c r="AE276" s="3"/>
      <c r="AI276" s="3"/>
      <c r="AJ276" s="3"/>
      <c r="AU276" s="3"/>
      <c r="AV276" s="3"/>
      <c r="BA276" s="3"/>
      <c r="BB276" s="3"/>
      <c r="BE276" s="3"/>
      <c r="BF276" s="19"/>
      <c r="BG276" s="3"/>
      <c r="BN276" s="3"/>
      <c r="BR276" s="3"/>
    </row>
    <row r="277" spans="4:70" ht="14.45" hidden="1">
      <c r="D277" s="3"/>
      <c r="J277" s="3"/>
      <c r="T277" s="3"/>
      <c r="U277" s="3"/>
      <c r="V277" s="3"/>
      <c r="W277" s="3"/>
      <c r="X277" s="3"/>
      <c r="AC277" s="3"/>
      <c r="AD277" s="3"/>
      <c r="AE277" s="3"/>
      <c r="AI277" s="3"/>
      <c r="AJ277" s="3"/>
      <c r="AU277" s="3"/>
      <c r="AV277" s="3"/>
      <c r="BA277" s="3"/>
      <c r="BB277" s="3"/>
      <c r="BE277" s="3"/>
      <c r="BF277" s="19"/>
      <c r="BG277" s="3"/>
      <c r="BN277" s="3"/>
      <c r="BR277" s="3"/>
    </row>
    <row r="278" spans="4:70" ht="14.45" hidden="1">
      <c r="D278" s="3"/>
      <c r="J278" s="3"/>
      <c r="T278" s="3"/>
      <c r="U278" s="3"/>
      <c r="V278" s="3"/>
      <c r="W278" s="3"/>
      <c r="X278" s="3"/>
      <c r="AC278" s="3"/>
      <c r="AD278" s="3"/>
      <c r="AE278" s="3"/>
      <c r="AI278" s="3"/>
      <c r="AJ278" s="3"/>
      <c r="AU278" s="3"/>
      <c r="AV278" s="3"/>
      <c r="BA278" s="3"/>
      <c r="BB278" s="3"/>
      <c r="BE278" s="3"/>
      <c r="BF278" s="19"/>
      <c r="BG278" s="3"/>
      <c r="BN278" s="3"/>
      <c r="BR278" s="3"/>
    </row>
    <row r="279" spans="4:70" ht="14.45" hidden="1">
      <c r="D279" s="3"/>
      <c r="J279" s="3"/>
      <c r="T279" s="3"/>
      <c r="U279" s="3"/>
      <c r="V279" s="3"/>
      <c r="W279" s="3"/>
      <c r="X279" s="3"/>
      <c r="AC279" s="3"/>
      <c r="AD279" s="3"/>
      <c r="AE279" s="3"/>
      <c r="AI279" s="3"/>
      <c r="AJ279" s="3"/>
      <c r="AU279" s="3"/>
      <c r="AV279" s="3"/>
      <c r="BA279" s="3"/>
      <c r="BB279" s="3"/>
      <c r="BE279" s="3"/>
      <c r="BF279" s="19"/>
      <c r="BG279" s="3"/>
      <c r="BN279" s="3"/>
      <c r="BR279" s="3"/>
    </row>
    <row r="280" spans="4:70" ht="14.45" hidden="1">
      <c r="D280" s="3"/>
      <c r="J280" s="3"/>
      <c r="T280" s="3"/>
      <c r="U280" s="3"/>
      <c r="V280" s="3"/>
      <c r="W280" s="3"/>
      <c r="X280" s="3"/>
      <c r="AC280" s="3"/>
      <c r="AD280" s="3"/>
      <c r="AE280" s="3"/>
      <c r="AI280" s="3"/>
      <c r="AJ280" s="3"/>
      <c r="AU280" s="3"/>
      <c r="AV280" s="3"/>
      <c r="BA280" s="3"/>
      <c r="BB280" s="3"/>
      <c r="BE280" s="3"/>
      <c r="BF280" s="19"/>
      <c r="BG280" s="3"/>
      <c r="BN280" s="3"/>
      <c r="BR280" s="3"/>
    </row>
    <row r="281" spans="4:70" ht="14.45" hidden="1">
      <c r="D281" s="3"/>
      <c r="J281" s="3"/>
      <c r="T281" s="3"/>
      <c r="U281" s="3"/>
      <c r="V281" s="3"/>
      <c r="W281" s="3"/>
      <c r="X281" s="3"/>
      <c r="AC281" s="3"/>
      <c r="AD281" s="3"/>
      <c r="AE281" s="3"/>
      <c r="AI281" s="3"/>
      <c r="AJ281" s="3"/>
      <c r="AU281" s="3"/>
      <c r="AV281" s="3"/>
      <c r="BA281" s="3"/>
      <c r="BB281" s="3"/>
      <c r="BE281" s="3"/>
      <c r="BF281" s="19"/>
      <c r="BG281" s="3"/>
      <c r="BN281" s="3"/>
      <c r="BR281" s="3"/>
    </row>
    <row r="282" spans="4:70" ht="14.45" hidden="1">
      <c r="D282" s="3"/>
      <c r="J282" s="3"/>
      <c r="T282" s="3"/>
      <c r="U282" s="3"/>
      <c r="V282" s="3"/>
      <c r="W282" s="3"/>
      <c r="X282" s="3"/>
      <c r="AC282" s="3"/>
      <c r="AD282" s="3"/>
      <c r="AE282" s="3"/>
      <c r="AI282" s="3"/>
      <c r="AJ282" s="3"/>
      <c r="AU282" s="3"/>
      <c r="AV282" s="3"/>
      <c r="BA282" s="3"/>
      <c r="BB282" s="3"/>
      <c r="BE282" s="3"/>
      <c r="BF282" s="19"/>
      <c r="BG282" s="3"/>
      <c r="BN282" s="3"/>
      <c r="BR282" s="3"/>
    </row>
    <row r="283" spans="4:70" ht="14.45" hidden="1">
      <c r="D283" s="3"/>
      <c r="J283" s="3"/>
      <c r="T283" s="3"/>
      <c r="U283" s="3"/>
      <c r="V283" s="3"/>
      <c r="W283" s="3"/>
      <c r="X283" s="3"/>
      <c r="AC283" s="3"/>
      <c r="AD283" s="3"/>
      <c r="AE283" s="3"/>
      <c r="AI283" s="3"/>
      <c r="AJ283" s="3"/>
      <c r="AU283" s="3"/>
      <c r="AV283" s="3"/>
      <c r="BA283" s="3"/>
      <c r="BB283" s="3"/>
      <c r="BE283" s="3"/>
      <c r="BF283" s="19"/>
      <c r="BG283" s="3"/>
      <c r="BN283" s="3"/>
      <c r="BR283" s="3"/>
    </row>
    <row r="284" spans="4:70" ht="14.45" hidden="1">
      <c r="D284" s="3"/>
      <c r="J284" s="3"/>
      <c r="T284" s="3"/>
      <c r="U284" s="3"/>
      <c r="V284" s="3"/>
      <c r="W284" s="3"/>
      <c r="X284" s="3"/>
      <c r="AC284" s="3"/>
      <c r="AD284" s="3"/>
      <c r="AE284" s="3"/>
      <c r="AI284" s="3"/>
      <c r="AJ284" s="3"/>
      <c r="AU284" s="3"/>
      <c r="AV284" s="3"/>
      <c r="BA284" s="3"/>
      <c r="BB284" s="3"/>
      <c r="BE284" s="3"/>
      <c r="BF284" s="19"/>
      <c r="BG284" s="3"/>
      <c r="BN284" s="3"/>
      <c r="BR284" s="3"/>
    </row>
    <row r="285" spans="4:70" ht="14.45" hidden="1">
      <c r="D285" s="3"/>
      <c r="J285" s="3"/>
      <c r="T285" s="3"/>
      <c r="U285" s="3"/>
      <c r="V285" s="3"/>
      <c r="W285" s="3"/>
      <c r="X285" s="3"/>
      <c r="AC285" s="3"/>
      <c r="AD285" s="3"/>
      <c r="AE285" s="3"/>
      <c r="AI285" s="3"/>
      <c r="AJ285" s="3"/>
      <c r="AU285" s="3"/>
      <c r="AV285" s="3"/>
      <c r="BA285" s="3"/>
      <c r="BB285" s="3"/>
      <c r="BE285" s="3"/>
      <c r="BF285" s="19"/>
      <c r="BG285" s="3"/>
      <c r="BN285" s="3"/>
      <c r="BR285" s="3"/>
    </row>
    <row r="286" spans="4:70" ht="14.45" hidden="1">
      <c r="D286" s="3"/>
      <c r="J286" s="3"/>
      <c r="T286" s="3"/>
      <c r="U286" s="3"/>
      <c r="V286" s="3"/>
      <c r="W286" s="3"/>
      <c r="X286" s="3"/>
      <c r="AC286" s="3"/>
      <c r="AD286" s="3"/>
      <c r="AE286" s="3"/>
      <c r="AI286" s="3"/>
      <c r="AJ286" s="3"/>
      <c r="AU286" s="3"/>
      <c r="AV286" s="3"/>
      <c r="BA286" s="3"/>
      <c r="BB286" s="3"/>
      <c r="BE286" s="3"/>
      <c r="BF286" s="19"/>
      <c r="BG286" s="3"/>
      <c r="BN286" s="3"/>
      <c r="BR286" s="3"/>
    </row>
    <row r="287" spans="4:70" ht="14.45" hidden="1">
      <c r="D287" s="3"/>
      <c r="J287" s="3"/>
      <c r="T287" s="3"/>
      <c r="U287" s="3"/>
      <c r="V287" s="3"/>
      <c r="W287" s="3"/>
      <c r="X287" s="3"/>
      <c r="AC287" s="3"/>
      <c r="AD287" s="3"/>
      <c r="AE287" s="3"/>
      <c r="AI287" s="3"/>
      <c r="AJ287" s="3"/>
      <c r="AU287" s="3"/>
      <c r="AV287" s="3"/>
      <c r="BA287" s="3"/>
      <c r="BB287" s="3"/>
      <c r="BE287" s="3"/>
      <c r="BF287" s="19"/>
      <c r="BG287" s="3"/>
      <c r="BN287" s="3"/>
      <c r="BR287" s="3"/>
    </row>
    <row r="288" spans="4:70" ht="14.45" hidden="1">
      <c r="D288" s="3"/>
      <c r="J288" s="3"/>
      <c r="T288" s="3"/>
      <c r="U288" s="3"/>
      <c r="V288" s="3"/>
      <c r="W288" s="3"/>
      <c r="X288" s="3"/>
      <c r="AC288" s="3"/>
      <c r="AD288" s="3"/>
      <c r="AE288" s="3"/>
      <c r="AI288" s="3"/>
      <c r="AJ288" s="3"/>
      <c r="AU288" s="3"/>
      <c r="AV288" s="3"/>
      <c r="BA288" s="3"/>
      <c r="BB288" s="3"/>
      <c r="BE288" s="3"/>
      <c r="BF288" s="19"/>
      <c r="BG288" s="3"/>
      <c r="BN288" s="3"/>
      <c r="BR288" s="3"/>
    </row>
    <row r="289" spans="4:70" ht="14.45" hidden="1">
      <c r="D289" s="3"/>
      <c r="J289" s="3"/>
      <c r="T289" s="3"/>
      <c r="U289" s="3"/>
      <c r="V289" s="3"/>
      <c r="W289" s="3"/>
      <c r="X289" s="3"/>
      <c r="AC289" s="3"/>
      <c r="AD289" s="3"/>
      <c r="AE289" s="3"/>
      <c r="AI289" s="3"/>
      <c r="AJ289" s="3"/>
      <c r="AU289" s="3"/>
      <c r="AV289" s="3"/>
      <c r="BA289" s="3"/>
      <c r="BB289" s="3"/>
      <c r="BE289" s="3"/>
      <c r="BF289" s="19"/>
      <c r="BG289" s="3"/>
      <c r="BN289" s="3"/>
      <c r="BR289" s="3"/>
    </row>
    <row r="290" spans="4:70" ht="14.45" hidden="1">
      <c r="D290" s="3"/>
      <c r="J290" s="3"/>
      <c r="T290" s="3"/>
      <c r="U290" s="3"/>
      <c r="V290" s="3"/>
      <c r="W290" s="3"/>
      <c r="X290" s="3"/>
      <c r="AC290" s="3"/>
      <c r="AD290" s="3"/>
      <c r="AE290" s="3"/>
      <c r="AI290" s="3"/>
      <c r="AJ290" s="3"/>
      <c r="AU290" s="3"/>
      <c r="AV290" s="3"/>
      <c r="BA290" s="3"/>
      <c r="BB290" s="3"/>
      <c r="BE290" s="3"/>
      <c r="BF290" s="19"/>
      <c r="BG290" s="3"/>
      <c r="BN290" s="3"/>
      <c r="BR290" s="3"/>
    </row>
    <row r="291" spans="4:70" ht="14.45" hidden="1">
      <c r="D291" s="3"/>
      <c r="J291" s="3"/>
      <c r="T291" s="3"/>
      <c r="U291" s="3"/>
      <c r="V291" s="3"/>
      <c r="W291" s="3"/>
      <c r="X291" s="3"/>
      <c r="AC291" s="3"/>
      <c r="AD291" s="3"/>
      <c r="AE291" s="3"/>
      <c r="AI291" s="3"/>
      <c r="AJ291" s="3"/>
      <c r="AU291" s="3"/>
      <c r="AV291" s="3"/>
      <c r="BA291" s="3"/>
      <c r="BB291" s="3"/>
      <c r="BE291" s="3"/>
      <c r="BF291" s="19"/>
      <c r="BG291" s="3"/>
      <c r="BN291" s="3"/>
      <c r="BR291" s="3"/>
    </row>
    <row r="292" spans="4:70" ht="14.45" hidden="1">
      <c r="D292" s="3"/>
      <c r="J292" s="3"/>
      <c r="T292" s="3"/>
      <c r="U292" s="3"/>
      <c r="V292" s="3"/>
      <c r="W292" s="3"/>
      <c r="X292" s="3"/>
      <c r="AC292" s="3"/>
      <c r="AD292" s="3"/>
      <c r="AE292" s="3"/>
      <c r="AI292" s="3"/>
      <c r="AJ292" s="3"/>
      <c r="AU292" s="3"/>
      <c r="AV292" s="3"/>
      <c r="BA292" s="3"/>
      <c r="BB292" s="3"/>
      <c r="BE292" s="3"/>
      <c r="BF292" s="19"/>
      <c r="BG292" s="3"/>
      <c r="BN292" s="3"/>
      <c r="BR292" s="3"/>
    </row>
    <row r="293" spans="4:70" ht="14.45" hidden="1">
      <c r="D293" s="3"/>
      <c r="J293" s="3"/>
      <c r="T293" s="3"/>
      <c r="U293" s="3"/>
      <c r="V293" s="3"/>
      <c r="W293" s="3"/>
      <c r="X293" s="3"/>
      <c r="AC293" s="3"/>
      <c r="AD293" s="3"/>
      <c r="AE293" s="3"/>
      <c r="AI293" s="3"/>
      <c r="AJ293" s="3"/>
      <c r="AU293" s="3"/>
      <c r="AV293" s="3"/>
      <c r="BA293" s="3"/>
      <c r="BB293" s="3"/>
      <c r="BE293" s="3"/>
      <c r="BF293" s="19"/>
      <c r="BG293" s="3"/>
      <c r="BN293" s="3"/>
      <c r="BR293" s="3"/>
    </row>
    <row r="294" spans="4:70" ht="14.45" hidden="1">
      <c r="D294" s="3"/>
      <c r="J294" s="3"/>
      <c r="T294" s="3"/>
      <c r="U294" s="3"/>
      <c r="V294" s="3"/>
      <c r="W294" s="3"/>
      <c r="X294" s="3"/>
      <c r="AC294" s="3"/>
      <c r="AD294" s="3"/>
      <c r="AE294" s="3"/>
      <c r="AI294" s="3"/>
      <c r="AJ294" s="3"/>
      <c r="AU294" s="3"/>
      <c r="AV294" s="3"/>
      <c r="BA294" s="3"/>
      <c r="BB294" s="3"/>
      <c r="BE294" s="3"/>
      <c r="BF294" s="19"/>
      <c r="BG294" s="3"/>
      <c r="BN294" s="3"/>
      <c r="BR294" s="3"/>
    </row>
    <row r="295" spans="4:70" ht="14.45" hidden="1">
      <c r="D295" s="3"/>
      <c r="J295" s="3"/>
      <c r="T295" s="3"/>
      <c r="U295" s="3"/>
      <c r="V295" s="3"/>
      <c r="W295" s="3"/>
      <c r="X295" s="3"/>
      <c r="AC295" s="3"/>
      <c r="AD295" s="3"/>
      <c r="AE295" s="3"/>
      <c r="AI295" s="3"/>
      <c r="AJ295" s="3"/>
      <c r="AU295" s="3"/>
      <c r="AV295" s="3"/>
      <c r="BA295" s="3"/>
      <c r="BB295" s="3"/>
      <c r="BE295" s="3"/>
      <c r="BF295" s="19"/>
      <c r="BG295" s="3"/>
      <c r="BN295" s="3"/>
      <c r="BR295" s="3"/>
    </row>
    <row r="296" spans="4:70" ht="14.45" hidden="1">
      <c r="D296" s="3"/>
      <c r="J296" s="3"/>
      <c r="T296" s="3"/>
      <c r="U296" s="3"/>
      <c r="V296" s="3"/>
      <c r="W296" s="3"/>
      <c r="X296" s="3"/>
      <c r="AC296" s="3"/>
      <c r="AD296" s="3"/>
      <c r="AE296" s="3"/>
      <c r="AI296" s="3"/>
      <c r="AJ296" s="3"/>
      <c r="AU296" s="3"/>
      <c r="AV296" s="3"/>
      <c r="BA296" s="3"/>
      <c r="BB296" s="3"/>
      <c r="BE296" s="3"/>
      <c r="BF296" s="19"/>
      <c r="BG296" s="3"/>
      <c r="BN296" s="3"/>
      <c r="BR296" s="3"/>
    </row>
    <row r="297" spans="4:70" ht="14.45" hidden="1">
      <c r="D297" s="3"/>
      <c r="J297" s="3"/>
      <c r="T297" s="3"/>
      <c r="U297" s="3"/>
      <c r="V297" s="3"/>
      <c r="W297" s="3"/>
      <c r="X297" s="3"/>
      <c r="AC297" s="3"/>
      <c r="AD297" s="3"/>
      <c r="AE297" s="3"/>
      <c r="AI297" s="3"/>
      <c r="AJ297" s="3"/>
      <c r="AU297" s="3"/>
      <c r="AV297" s="3"/>
      <c r="BA297" s="3"/>
      <c r="BB297" s="3"/>
      <c r="BE297" s="3"/>
      <c r="BF297" s="19"/>
      <c r="BG297" s="3"/>
      <c r="BN297" s="3"/>
      <c r="BR297" s="3"/>
    </row>
    <row r="298" spans="4:70" ht="14.45" hidden="1">
      <c r="D298" s="3"/>
      <c r="J298" s="3"/>
      <c r="T298" s="3"/>
      <c r="U298" s="3"/>
      <c r="V298" s="3"/>
      <c r="W298" s="3"/>
      <c r="X298" s="3"/>
      <c r="AC298" s="3"/>
      <c r="AD298" s="3"/>
      <c r="AE298" s="3"/>
      <c r="AI298" s="3"/>
      <c r="AJ298" s="3"/>
      <c r="AU298" s="3"/>
      <c r="AV298" s="3"/>
      <c r="BA298" s="3"/>
      <c r="BB298" s="3"/>
      <c r="BE298" s="3"/>
      <c r="BF298" s="19"/>
      <c r="BG298" s="3"/>
      <c r="BN298" s="3"/>
      <c r="BR298" s="3"/>
    </row>
    <row r="299" spans="4:70" ht="14.45" hidden="1">
      <c r="D299" s="3"/>
      <c r="J299" s="3"/>
      <c r="T299" s="3"/>
      <c r="U299" s="3"/>
      <c r="V299" s="3"/>
      <c r="W299" s="3"/>
      <c r="X299" s="3"/>
      <c r="AC299" s="3"/>
      <c r="AD299" s="3"/>
      <c r="AE299" s="3"/>
      <c r="AI299" s="3"/>
      <c r="AJ299" s="3"/>
      <c r="AU299" s="3"/>
      <c r="AV299" s="3"/>
      <c r="BA299" s="3"/>
      <c r="BB299" s="3"/>
      <c r="BE299" s="3"/>
      <c r="BF299" s="19"/>
      <c r="BG299" s="3"/>
      <c r="BN299" s="3"/>
      <c r="BR299" s="3"/>
    </row>
    <row r="300" spans="4:70" ht="14.45" hidden="1">
      <c r="D300" s="3"/>
      <c r="J300" s="3"/>
      <c r="T300" s="3"/>
      <c r="U300" s="3"/>
      <c r="V300" s="3"/>
      <c r="W300" s="3"/>
      <c r="X300" s="3"/>
      <c r="AC300" s="3"/>
      <c r="AD300" s="3"/>
      <c r="AE300" s="3"/>
      <c r="AI300" s="3"/>
      <c r="AJ300" s="3"/>
      <c r="AU300" s="3"/>
      <c r="AV300" s="3"/>
      <c r="BA300" s="3"/>
      <c r="BB300" s="3"/>
      <c r="BE300" s="3"/>
      <c r="BF300" s="19"/>
      <c r="BG300" s="3"/>
      <c r="BN300" s="3"/>
      <c r="BR300" s="3"/>
    </row>
    <row r="301" spans="4:70" ht="14.45" hidden="1">
      <c r="D301" s="3"/>
      <c r="J301" s="3"/>
      <c r="T301" s="3"/>
      <c r="U301" s="3"/>
      <c r="V301" s="3"/>
      <c r="W301" s="3"/>
      <c r="X301" s="3"/>
      <c r="AC301" s="3"/>
      <c r="AD301" s="3"/>
      <c r="AE301" s="3"/>
      <c r="AI301" s="3"/>
      <c r="AJ301" s="3"/>
      <c r="AU301" s="3"/>
      <c r="AV301" s="3"/>
      <c r="BA301" s="3"/>
      <c r="BB301" s="3"/>
      <c r="BE301" s="3"/>
      <c r="BF301" s="19"/>
      <c r="BG301" s="3"/>
      <c r="BN301" s="3"/>
      <c r="BR301" s="3"/>
    </row>
    <row r="302" spans="4:70" ht="14.45" hidden="1">
      <c r="D302" s="3"/>
      <c r="J302" s="3"/>
      <c r="T302" s="3"/>
      <c r="U302" s="3"/>
      <c r="V302" s="3"/>
      <c r="W302" s="3"/>
      <c r="X302" s="3"/>
      <c r="AC302" s="3"/>
      <c r="AD302" s="3"/>
      <c r="AE302" s="3"/>
      <c r="AI302" s="3"/>
      <c r="AJ302" s="3"/>
      <c r="AU302" s="3"/>
      <c r="AV302" s="3"/>
      <c r="BA302" s="3"/>
      <c r="BB302" s="3"/>
      <c r="BE302" s="3"/>
      <c r="BF302" s="19"/>
      <c r="BG302" s="3"/>
      <c r="BN302" s="3"/>
      <c r="BR302" s="3"/>
    </row>
    <row r="303" spans="4:70" ht="14.45" hidden="1">
      <c r="D303" s="3"/>
      <c r="J303" s="3"/>
      <c r="T303" s="3"/>
      <c r="U303" s="3"/>
      <c r="V303" s="3"/>
      <c r="W303" s="3"/>
      <c r="X303" s="3"/>
      <c r="AC303" s="3"/>
      <c r="AD303" s="3"/>
      <c r="AE303" s="3"/>
      <c r="AI303" s="3"/>
      <c r="AJ303" s="3"/>
      <c r="AU303" s="3"/>
      <c r="AV303" s="3"/>
      <c r="BA303" s="3"/>
      <c r="BB303" s="3"/>
      <c r="BE303" s="3"/>
      <c r="BF303" s="19"/>
      <c r="BG303" s="3"/>
      <c r="BN303" s="3"/>
      <c r="BR303" s="3"/>
    </row>
    <row r="304" spans="4:70" ht="14.45" hidden="1">
      <c r="D304" s="3"/>
      <c r="J304" s="3"/>
      <c r="T304" s="3"/>
      <c r="U304" s="3"/>
      <c r="V304" s="3"/>
      <c r="W304" s="3"/>
      <c r="X304" s="3"/>
      <c r="AC304" s="3"/>
      <c r="AD304" s="3"/>
      <c r="AE304" s="3"/>
      <c r="AI304" s="3"/>
      <c r="AJ304" s="3"/>
      <c r="AU304" s="3"/>
      <c r="AV304" s="3"/>
      <c r="BA304" s="3"/>
      <c r="BB304" s="3"/>
      <c r="BE304" s="3"/>
      <c r="BF304" s="19"/>
      <c r="BG304" s="3"/>
      <c r="BN304" s="3"/>
      <c r="BR304" s="3"/>
    </row>
    <row r="305" spans="4:70" ht="14.45" hidden="1">
      <c r="D305" s="3"/>
      <c r="J305" s="3"/>
      <c r="T305" s="3"/>
      <c r="U305" s="3"/>
      <c r="V305" s="3"/>
      <c r="W305" s="3"/>
      <c r="X305" s="3"/>
      <c r="AC305" s="3"/>
      <c r="AD305" s="3"/>
      <c r="AE305" s="3"/>
      <c r="AI305" s="3"/>
      <c r="AJ305" s="3"/>
      <c r="AU305" s="3"/>
      <c r="AV305" s="3"/>
      <c r="BA305" s="3"/>
      <c r="BB305" s="3"/>
      <c r="BE305" s="3"/>
      <c r="BF305" s="19"/>
      <c r="BG305" s="3"/>
      <c r="BN305" s="3"/>
      <c r="BR305" s="3"/>
    </row>
    <row r="306" spans="4:70" ht="14.45" hidden="1">
      <c r="D306" s="3"/>
      <c r="J306" s="3"/>
      <c r="T306" s="3"/>
      <c r="U306" s="3"/>
      <c r="V306" s="3"/>
      <c r="W306" s="3"/>
      <c r="X306" s="3"/>
      <c r="AC306" s="3"/>
      <c r="AD306" s="3"/>
      <c r="AE306" s="3"/>
      <c r="AI306" s="3"/>
      <c r="AJ306" s="3"/>
      <c r="AU306" s="3"/>
      <c r="AV306" s="3"/>
      <c r="BA306" s="3"/>
      <c r="BB306" s="3"/>
      <c r="BE306" s="3"/>
      <c r="BF306" s="19"/>
      <c r="BG306" s="3"/>
      <c r="BN306" s="3"/>
      <c r="BR306" s="3"/>
    </row>
    <row r="307" spans="4:70" ht="14.45" hidden="1">
      <c r="D307" s="3"/>
      <c r="J307" s="3"/>
      <c r="T307" s="3"/>
      <c r="U307" s="3"/>
      <c r="V307" s="3"/>
      <c r="W307" s="3"/>
      <c r="X307" s="3"/>
      <c r="AC307" s="3"/>
      <c r="AD307" s="3"/>
      <c r="AE307" s="3"/>
      <c r="AI307" s="3"/>
      <c r="AJ307" s="3"/>
      <c r="AU307" s="3"/>
      <c r="AV307" s="3"/>
      <c r="BA307" s="3"/>
      <c r="BB307" s="3"/>
      <c r="BE307" s="3"/>
      <c r="BF307" s="19"/>
      <c r="BG307" s="3"/>
      <c r="BN307" s="3"/>
      <c r="BR307" s="3"/>
    </row>
    <row r="308" spans="4:70" ht="14.45" hidden="1">
      <c r="D308" s="3"/>
      <c r="J308" s="3"/>
      <c r="T308" s="3"/>
      <c r="U308" s="3"/>
      <c r="V308" s="3"/>
      <c r="W308" s="3"/>
      <c r="X308" s="3"/>
      <c r="AC308" s="3"/>
      <c r="AD308" s="3"/>
      <c r="AE308" s="3"/>
      <c r="AI308" s="3"/>
      <c r="AJ308" s="3"/>
      <c r="AU308" s="3"/>
      <c r="AV308" s="3"/>
      <c r="BA308" s="3"/>
      <c r="BB308" s="3"/>
      <c r="BE308" s="3"/>
      <c r="BF308" s="19"/>
      <c r="BG308" s="3"/>
      <c r="BN308" s="3"/>
      <c r="BR308" s="3"/>
    </row>
    <row r="309" spans="4:70" ht="14.45" hidden="1">
      <c r="D309" s="3"/>
      <c r="J309" s="3"/>
      <c r="T309" s="3"/>
      <c r="U309" s="3"/>
      <c r="V309" s="3"/>
      <c r="W309" s="3"/>
      <c r="X309" s="3"/>
      <c r="AC309" s="3"/>
      <c r="AD309" s="3"/>
      <c r="AE309" s="3"/>
      <c r="AI309" s="3"/>
      <c r="AJ309" s="3"/>
      <c r="AU309" s="3"/>
      <c r="AV309" s="3"/>
      <c r="BA309" s="3"/>
      <c r="BB309" s="3"/>
      <c r="BE309" s="3"/>
      <c r="BF309" s="19"/>
      <c r="BG309" s="3"/>
      <c r="BN309" s="3"/>
      <c r="BR309" s="3"/>
    </row>
    <row r="310" spans="4:70" ht="14.45" hidden="1">
      <c r="D310" s="3"/>
      <c r="J310" s="3"/>
      <c r="T310" s="3"/>
      <c r="U310" s="3"/>
      <c r="V310" s="3"/>
      <c r="W310" s="3"/>
      <c r="X310" s="3"/>
      <c r="AC310" s="3"/>
      <c r="AD310" s="3"/>
      <c r="AE310" s="3"/>
      <c r="AI310" s="3"/>
      <c r="AJ310" s="3"/>
      <c r="AU310" s="3"/>
      <c r="AV310" s="3"/>
      <c r="BA310" s="3"/>
      <c r="BB310" s="3"/>
      <c r="BE310" s="3"/>
      <c r="BF310" s="19"/>
      <c r="BG310" s="3"/>
      <c r="BN310" s="3"/>
      <c r="BR310" s="3"/>
    </row>
    <row r="311" spans="4:70" ht="14.45" hidden="1">
      <c r="D311" s="3"/>
      <c r="J311" s="3"/>
      <c r="T311" s="3"/>
      <c r="U311" s="3"/>
      <c r="V311" s="3"/>
      <c r="W311" s="3"/>
      <c r="X311" s="3"/>
      <c r="AC311" s="3"/>
      <c r="AD311" s="3"/>
      <c r="AE311" s="3"/>
      <c r="AI311" s="3"/>
      <c r="AJ311" s="3"/>
      <c r="AU311" s="3"/>
      <c r="AV311" s="3"/>
      <c r="BA311" s="3"/>
      <c r="BB311" s="3"/>
      <c r="BE311" s="3"/>
      <c r="BF311" s="19"/>
      <c r="BG311" s="3"/>
      <c r="BN311" s="3"/>
      <c r="BR311" s="3"/>
    </row>
    <row r="312" spans="4:70" ht="14.45" hidden="1">
      <c r="D312" s="3"/>
      <c r="J312" s="3"/>
      <c r="T312" s="3"/>
      <c r="U312" s="3"/>
      <c r="V312" s="3"/>
      <c r="W312" s="3"/>
      <c r="X312" s="3"/>
      <c r="AC312" s="3"/>
      <c r="AD312" s="3"/>
      <c r="AE312" s="3"/>
      <c r="AI312" s="3"/>
      <c r="AJ312" s="3"/>
      <c r="AU312" s="3"/>
      <c r="AV312" s="3"/>
      <c r="BA312" s="3"/>
      <c r="BB312" s="3"/>
      <c r="BE312" s="3"/>
      <c r="BF312" s="19"/>
      <c r="BG312" s="3"/>
      <c r="BN312" s="3"/>
      <c r="BR312" s="3"/>
    </row>
    <row r="313" spans="4:70" ht="14.45" hidden="1">
      <c r="D313" s="3"/>
      <c r="J313" s="3"/>
      <c r="T313" s="3"/>
      <c r="U313" s="3"/>
      <c r="V313" s="3"/>
      <c r="W313" s="3"/>
      <c r="X313" s="3"/>
      <c r="AC313" s="3"/>
      <c r="AD313" s="3"/>
      <c r="AE313" s="3"/>
      <c r="AI313" s="3"/>
      <c r="AJ313" s="3"/>
      <c r="AU313" s="3"/>
      <c r="AV313" s="3"/>
      <c r="BA313" s="3"/>
      <c r="BB313" s="3"/>
      <c r="BE313" s="3"/>
      <c r="BF313" s="19"/>
      <c r="BG313" s="3"/>
      <c r="BN313" s="3"/>
      <c r="BR313" s="3"/>
    </row>
    <row r="314" spans="4:70" ht="14.45" hidden="1">
      <c r="D314" s="3"/>
      <c r="J314" s="3"/>
      <c r="T314" s="3"/>
      <c r="U314" s="3"/>
      <c r="V314" s="3"/>
      <c r="W314" s="3"/>
      <c r="X314" s="3"/>
      <c r="AC314" s="3"/>
      <c r="AD314" s="3"/>
      <c r="AE314" s="3"/>
      <c r="AI314" s="3"/>
      <c r="AJ314" s="3"/>
      <c r="AU314" s="3"/>
      <c r="AV314" s="3"/>
      <c r="BA314" s="3"/>
      <c r="BB314" s="3"/>
      <c r="BE314" s="3"/>
      <c r="BF314" s="19"/>
      <c r="BG314" s="3"/>
      <c r="BN314" s="3"/>
      <c r="BR314" s="3"/>
    </row>
    <row r="315" spans="4:70" ht="14.45" hidden="1">
      <c r="D315" s="3"/>
      <c r="J315" s="3"/>
      <c r="T315" s="3"/>
      <c r="U315" s="3"/>
      <c r="V315" s="3"/>
      <c r="W315" s="3"/>
      <c r="X315" s="3"/>
      <c r="AC315" s="3"/>
      <c r="AD315" s="3"/>
      <c r="AE315" s="3"/>
      <c r="AI315" s="3"/>
      <c r="AJ315" s="3"/>
      <c r="AU315" s="3"/>
      <c r="AV315" s="3"/>
      <c r="BA315" s="3"/>
      <c r="BB315" s="3"/>
      <c r="BE315" s="3"/>
      <c r="BF315" s="19"/>
      <c r="BG315" s="3"/>
      <c r="BN315" s="3"/>
      <c r="BR315" s="3"/>
    </row>
    <row r="316" spans="4:70" ht="14.45" hidden="1">
      <c r="D316" s="3"/>
      <c r="J316" s="3"/>
      <c r="T316" s="3"/>
      <c r="U316" s="3"/>
      <c r="V316" s="3"/>
      <c r="W316" s="3"/>
      <c r="X316" s="3"/>
      <c r="AC316" s="3"/>
      <c r="AD316" s="3"/>
      <c r="AE316" s="3"/>
      <c r="AI316" s="3"/>
      <c r="AJ316" s="3"/>
      <c r="AU316" s="3"/>
      <c r="AV316" s="3"/>
      <c r="BA316" s="3"/>
      <c r="BB316" s="3"/>
      <c r="BE316" s="3"/>
      <c r="BF316" s="19"/>
      <c r="BG316" s="3"/>
      <c r="BN316" s="3"/>
      <c r="BR316" s="3"/>
    </row>
    <row r="317" spans="4:70" ht="14.45" hidden="1">
      <c r="D317" s="3"/>
      <c r="J317" s="3"/>
      <c r="T317" s="3"/>
      <c r="U317" s="3"/>
      <c r="V317" s="3"/>
      <c r="W317" s="3"/>
      <c r="X317" s="3"/>
      <c r="AC317" s="3"/>
      <c r="AD317" s="3"/>
      <c r="AE317" s="3"/>
      <c r="AI317" s="3"/>
      <c r="AJ317" s="3"/>
      <c r="AU317" s="3"/>
      <c r="AV317" s="3"/>
      <c r="BA317" s="3"/>
      <c r="BB317" s="3"/>
      <c r="BE317" s="3"/>
      <c r="BF317" s="19"/>
      <c r="BG317" s="3"/>
      <c r="BN317" s="3"/>
      <c r="BR317" s="3"/>
    </row>
    <row r="318" spans="4:70" ht="14.45" hidden="1">
      <c r="D318" s="3"/>
      <c r="J318" s="3"/>
      <c r="T318" s="3"/>
      <c r="U318" s="3"/>
      <c r="V318" s="3"/>
      <c r="W318" s="3"/>
      <c r="X318" s="3"/>
      <c r="AC318" s="3"/>
      <c r="AD318" s="3"/>
      <c r="AE318" s="3"/>
      <c r="AI318" s="3"/>
      <c r="AJ318" s="3"/>
      <c r="AU318" s="3"/>
      <c r="AV318" s="3"/>
      <c r="BA318" s="3"/>
      <c r="BB318" s="3"/>
      <c r="BE318" s="3"/>
      <c r="BF318" s="19"/>
      <c r="BG318" s="3"/>
      <c r="BN318" s="3"/>
      <c r="BR318" s="3"/>
    </row>
    <row r="319" spans="4:70" ht="14.45" hidden="1">
      <c r="D319" s="3"/>
      <c r="J319" s="3"/>
      <c r="T319" s="3"/>
      <c r="U319" s="3"/>
      <c r="V319" s="3"/>
      <c r="W319" s="3"/>
      <c r="X319" s="3"/>
      <c r="AC319" s="3"/>
      <c r="AD319" s="3"/>
      <c r="AE319" s="3"/>
      <c r="AI319" s="3"/>
      <c r="AJ319" s="3"/>
      <c r="AU319" s="3"/>
      <c r="AV319" s="3"/>
      <c r="BA319" s="3"/>
      <c r="BB319" s="3"/>
      <c r="BE319" s="3"/>
      <c r="BF319" s="19"/>
      <c r="BG319" s="3"/>
      <c r="BN319" s="3"/>
      <c r="BR319" s="3"/>
    </row>
    <row r="320" spans="4:70" ht="14.45" hidden="1">
      <c r="D320" s="3"/>
      <c r="J320" s="3"/>
      <c r="T320" s="3"/>
      <c r="U320" s="3"/>
      <c r="V320" s="3"/>
      <c r="W320" s="3"/>
      <c r="X320" s="3"/>
      <c r="AC320" s="3"/>
      <c r="AD320" s="3"/>
      <c r="AE320" s="3"/>
      <c r="AI320" s="3"/>
      <c r="AJ320" s="3"/>
      <c r="AU320" s="3"/>
      <c r="AV320" s="3"/>
      <c r="BA320" s="3"/>
      <c r="BB320" s="3"/>
      <c r="BE320" s="3"/>
      <c r="BF320" s="19"/>
      <c r="BG320" s="3"/>
      <c r="BN320" s="3"/>
      <c r="BR320" s="3"/>
    </row>
    <row r="321" spans="4:70" ht="14.45" hidden="1">
      <c r="D321" s="3"/>
      <c r="J321" s="3"/>
      <c r="T321" s="3"/>
      <c r="U321" s="3"/>
      <c r="V321" s="3"/>
      <c r="W321" s="3"/>
      <c r="X321" s="3"/>
      <c r="AC321" s="3"/>
      <c r="AD321" s="3"/>
      <c r="AE321" s="3"/>
      <c r="AI321" s="3"/>
      <c r="AJ321" s="3"/>
      <c r="AU321" s="3"/>
      <c r="AV321" s="3"/>
      <c r="BA321" s="3"/>
      <c r="BB321" s="3"/>
      <c r="BE321" s="3"/>
      <c r="BF321" s="19"/>
      <c r="BG321" s="3"/>
      <c r="BN321" s="3"/>
      <c r="BR321" s="3"/>
    </row>
    <row r="322" spans="4:70" ht="14.45" hidden="1">
      <c r="D322" s="3"/>
      <c r="J322" s="3"/>
      <c r="T322" s="3"/>
      <c r="U322" s="3"/>
      <c r="V322" s="3"/>
      <c r="W322" s="3"/>
      <c r="X322" s="3"/>
      <c r="AC322" s="3"/>
      <c r="AD322" s="3"/>
      <c r="AE322" s="3"/>
      <c r="AI322" s="3"/>
      <c r="AJ322" s="3"/>
      <c r="AU322" s="3"/>
      <c r="AV322" s="3"/>
      <c r="BA322" s="3"/>
      <c r="BB322" s="3"/>
      <c r="BE322" s="3"/>
      <c r="BF322" s="19"/>
      <c r="BG322" s="3"/>
      <c r="BN322" s="3"/>
      <c r="BR322" s="3"/>
    </row>
    <row r="323" spans="4:70" ht="14.45" hidden="1">
      <c r="D323" s="3"/>
      <c r="J323" s="3"/>
      <c r="T323" s="3"/>
      <c r="U323" s="3"/>
      <c r="V323" s="3"/>
      <c r="W323" s="3"/>
      <c r="X323" s="3"/>
      <c r="AC323" s="3"/>
      <c r="AD323" s="3"/>
      <c r="AE323" s="3"/>
      <c r="AI323" s="3"/>
      <c r="AJ323" s="3"/>
      <c r="AU323" s="3"/>
      <c r="AV323" s="3"/>
      <c r="BA323" s="3"/>
      <c r="BB323" s="3"/>
      <c r="BE323" s="3"/>
      <c r="BF323" s="19"/>
      <c r="BG323" s="3"/>
      <c r="BN323" s="3"/>
      <c r="BR323" s="3"/>
    </row>
    <row r="324" spans="4:70" ht="14.45" hidden="1">
      <c r="D324" s="3"/>
      <c r="J324" s="3"/>
      <c r="T324" s="3"/>
      <c r="U324" s="3"/>
      <c r="V324" s="3"/>
      <c r="W324" s="3"/>
      <c r="X324" s="3"/>
      <c r="AC324" s="3"/>
      <c r="AD324" s="3"/>
      <c r="AE324" s="3"/>
      <c r="AI324" s="3"/>
      <c r="AJ324" s="3"/>
      <c r="AU324" s="3"/>
      <c r="AV324" s="3"/>
      <c r="BA324" s="3"/>
      <c r="BB324" s="3"/>
      <c r="BE324" s="3"/>
      <c r="BF324" s="19"/>
      <c r="BG324" s="3"/>
      <c r="BN324" s="3"/>
      <c r="BR324" s="3"/>
    </row>
    <row r="325" spans="4:70" ht="14.45" hidden="1">
      <c r="D325" s="3"/>
      <c r="J325" s="3"/>
      <c r="T325" s="3"/>
      <c r="U325" s="3"/>
      <c r="V325" s="3"/>
      <c r="W325" s="3"/>
      <c r="X325" s="3"/>
      <c r="AC325" s="3"/>
      <c r="AD325" s="3"/>
      <c r="AE325" s="3"/>
      <c r="AI325" s="3"/>
      <c r="AJ325" s="3"/>
      <c r="AU325" s="3"/>
      <c r="AV325" s="3"/>
      <c r="BA325" s="3"/>
      <c r="BB325" s="3"/>
      <c r="BE325" s="3"/>
      <c r="BF325" s="19"/>
      <c r="BG325" s="3"/>
      <c r="BN325" s="3"/>
      <c r="BR325" s="3"/>
    </row>
    <row r="326" spans="4:70" ht="14.45" hidden="1">
      <c r="D326" s="3"/>
      <c r="J326" s="3"/>
      <c r="T326" s="3"/>
      <c r="U326" s="3"/>
      <c r="V326" s="3"/>
      <c r="W326" s="3"/>
      <c r="X326" s="3"/>
      <c r="AC326" s="3"/>
      <c r="AD326" s="3"/>
      <c r="AE326" s="3"/>
      <c r="AI326" s="3"/>
      <c r="AJ326" s="3"/>
      <c r="AU326" s="3"/>
      <c r="AV326" s="3"/>
      <c r="BA326" s="3"/>
      <c r="BB326" s="3"/>
      <c r="BE326" s="3"/>
      <c r="BF326" s="19"/>
      <c r="BG326" s="3"/>
      <c r="BN326" s="3"/>
      <c r="BR326" s="3"/>
    </row>
    <row r="327" spans="4:70" ht="14.45" hidden="1">
      <c r="D327" s="3"/>
      <c r="J327" s="3"/>
      <c r="T327" s="3"/>
      <c r="U327" s="3"/>
      <c r="V327" s="3"/>
      <c r="W327" s="3"/>
      <c r="X327" s="3"/>
      <c r="AC327" s="3"/>
      <c r="AD327" s="3"/>
      <c r="AE327" s="3"/>
      <c r="AI327" s="3"/>
      <c r="AJ327" s="3"/>
      <c r="AU327" s="3"/>
      <c r="AV327" s="3"/>
      <c r="BA327" s="3"/>
      <c r="BB327" s="3"/>
      <c r="BE327" s="3"/>
      <c r="BF327" s="19"/>
      <c r="BG327" s="3"/>
      <c r="BN327" s="3"/>
      <c r="BR327" s="3"/>
    </row>
    <row r="328" spans="4:70" ht="14.45" hidden="1">
      <c r="D328" s="3"/>
      <c r="J328" s="3"/>
      <c r="T328" s="3"/>
      <c r="U328" s="3"/>
      <c r="V328" s="3"/>
      <c r="W328" s="3"/>
      <c r="X328" s="3"/>
      <c r="AC328" s="3"/>
      <c r="AD328" s="3"/>
      <c r="AE328" s="3"/>
      <c r="AI328" s="3"/>
      <c r="AJ328" s="3"/>
      <c r="AU328" s="3"/>
      <c r="AV328" s="3"/>
      <c r="BA328" s="3"/>
      <c r="BB328" s="3"/>
      <c r="BE328" s="3"/>
      <c r="BF328" s="19"/>
      <c r="BG328" s="3"/>
      <c r="BN328" s="3"/>
      <c r="BR328" s="3"/>
    </row>
    <row r="329" spans="4:70" ht="14.45" hidden="1">
      <c r="D329" s="3"/>
      <c r="J329" s="3"/>
      <c r="T329" s="3"/>
      <c r="U329" s="3"/>
      <c r="V329" s="3"/>
      <c r="W329" s="3"/>
      <c r="X329" s="3"/>
      <c r="AC329" s="3"/>
      <c r="AD329" s="3"/>
      <c r="AE329" s="3"/>
      <c r="AI329" s="3"/>
      <c r="AJ329" s="3"/>
      <c r="AU329" s="3"/>
      <c r="AV329" s="3"/>
      <c r="BA329" s="3"/>
      <c r="BB329" s="3"/>
      <c r="BE329" s="3"/>
      <c r="BF329" s="19"/>
      <c r="BG329" s="3"/>
      <c r="BN329" s="3"/>
      <c r="BR329" s="3"/>
    </row>
    <row r="330" spans="4:70" ht="14.45" hidden="1">
      <c r="D330" s="3"/>
      <c r="J330" s="3"/>
      <c r="T330" s="3"/>
      <c r="U330" s="3"/>
      <c r="V330" s="3"/>
      <c r="W330" s="3"/>
      <c r="X330" s="3"/>
      <c r="AC330" s="3"/>
      <c r="AD330" s="3"/>
      <c r="AE330" s="3"/>
      <c r="AI330" s="3"/>
      <c r="AJ330" s="3"/>
      <c r="AU330" s="3"/>
      <c r="AV330" s="3"/>
      <c r="BA330" s="3"/>
      <c r="BB330" s="3"/>
      <c r="BE330" s="3"/>
      <c r="BF330" s="19"/>
      <c r="BG330" s="3"/>
      <c r="BN330" s="3"/>
      <c r="BR330" s="3"/>
    </row>
    <row r="331" spans="4:70" ht="14.45" hidden="1">
      <c r="D331" s="3"/>
      <c r="J331" s="3"/>
      <c r="T331" s="3"/>
      <c r="U331" s="3"/>
      <c r="V331" s="3"/>
      <c r="W331" s="3"/>
      <c r="X331" s="3"/>
      <c r="AC331" s="3"/>
      <c r="AD331" s="3"/>
      <c r="AE331" s="3"/>
      <c r="AI331" s="3"/>
      <c r="AJ331" s="3"/>
      <c r="AU331" s="3"/>
      <c r="AV331" s="3"/>
      <c r="BA331" s="3"/>
      <c r="BB331" s="3"/>
      <c r="BE331" s="3"/>
      <c r="BF331" s="19"/>
      <c r="BG331" s="3"/>
      <c r="BN331" s="3"/>
      <c r="BR331" s="3"/>
    </row>
    <row r="332" spans="4:70" ht="14.45" hidden="1">
      <c r="D332" s="3"/>
      <c r="J332" s="3"/>
      <c r="T332" s="3"/>
      <c r="U332" s="3"/>
      <c r="V332" s="3"/>
      <c r="W332" s="3"/>
      <c r="X332" s="3"/>
      <c r="AC332" s="3"/>
      <c r="AD332" s="3"/>
      <c r="AE332" s="3"/>
      <c r="AI332" s="3"/>
      <c r="AJ332" s="3"/>
      <c r="AU332" s="3"/>
      <c r="AV332" s="3"/>
      <c r="BA332" s="3"/>
      <c r="BB332" s="3"/>
      <c r="BE332" s="3"/>
      <c r="BF332" s="19"/>
      <c r="BG332" s="3"/>
      <c r="BN332" s="3"/>
      <c r="BR332" s="3"/>
    </row>
    <row r="333" spans="4:70" ht="14.45" hidden="1">
      <c r="D333" s="3"/>
      <c r="J333" s="3"/>
      <c r="T333" s="3"/>
      <c r="U333" s="3"/>
      <c r="V333" s="3"/>
      <c r="W333" s="3"/>
      <c r="X333" s="3"/>
      <c r="AC333" s="3"/>
      <c r="AD333" s="3"/>
      <c r="AE333" s="3"/>
      <c r="AI333" s="3"/>
      <c r="AJ333" s="3"/>
      <c r="AU333" s="3"/>
      <c r="AV333" s="3"/>
      <c r="BA333" s="3"/>
      <c r="BB333" s="3"/>
      <c r="BE333" s="3"/>
      <c r="BF333" s="19"/>
      <c r="BG333" s="3"/>
      <c r="BN333" s="3"/>
      <c r="BR333" s="3"/>
    </row>
    <row r="334" spans="4:70" ht="14.45" hidden="1">
      <c r="D334" s="3"/>
      <c r="J334" s="3"/>
      <c r="T334" s="3"/>
      <c r="U334" s="3"/>
      <c r="V334" s="3"/>
      <c r="W334" s="3"/>
      <c r="X334" s="3"/>
      <c r="AC334" s="3"/>
      <c r="AD334" s="3"/>
      <c r="AE334" s="3"/>
      <c r="AI334" s="3"/>
      <c r="AJ334" s="3"/>
      <c r="AU334" s="3"/>
      <c r="AV334" s="3"/>
      <c r="BA334" s="3"/>
      <c r="BB334" s="3"/>
      <c r="BE334" s="3"/>
      <c r="BF334" s="19"/>
      <c r="BG334" s="3"/>
      <c r="BN334" s="3"/>
      <c r="BR334" s="3"/>
    </row>
    <row r="335" spans="4:70" ht="14.45" hidden="1">
      <c r="D335" s="3"/>
      <c r="J335" s="3"/>
      <c r="T335" s="3"/>
      <c r="U335" s="3"/>
      <c r="V335" s="3"/>
      <c r="W335" s="3"/>
      <c r="X335" s="3"/>
      <c r="AC335" s="3"/>
      <c r="AD335" s="3"/>
      <c r="AE335" s="3"/>
      <c r="AI335" s="3"/>
      <c r="AJ335" s="3"/>
      <c r="AU335" s="3"/>
      <c r="AV335" s="3"/>
      <c r="BA335" s="3"/>
      <c r="BB335" s="3"/>
      <c r="BE335" s="3"/>
      <c r="BF335" s="19"/>
      <c r="BG335" s="3"/>
      <c r="BN335" s="3"/>
      <c r="BR335" s="3"/>
    </row>
    <row r="336" spans="4:70" ht="14.45" hidden="1">
      <c r="D336" s="3"/>
      <c r="J336" s="3"/>
      <c r="T336" s="3"/>
      <c r="U336" s="3"/>
      <c r="V336" s="3"/>
      <c r="W336" s="3"/>
      <c r="X336" s="3"/>
      <c r="AC336" s="3"/>
      <c r="AD336" s="3"/>
      <c r="AE336" s="3"/>
      <c r="AI336" s="3"/>
      <c r="AJ336" s="3"/>
      <c r="AU336" s="3"/>
      <c r="AV336" s="3"/>
      <c r="BA336" s="3"/>
      <c r="BB336" s="3"/>
      <c r="BE336" s="3"/>
      <c r="BF336" s="19"/>
      <c r="BG336" s="3"/>
      <c r="BN336" s="3"/>
      <c r="BR336" s="3"/>
    </row>
    <row r="337" spans="4:70" ht="14.45" hidden="1">
      <c r="D337" s="3"/>
      <c r="J337" s="3"/>
      <c r="T337" s="3"/>
      <c r="U337" s="3"/>
      <c r="V337" s="3"/>
      <c r="W337" s="3"/>
      <c r="X337" s="3"/>
      <c r="AC337" s="3"/>
      <c r="AD337" s="3"/>
      <c r="AE337" s="3"/>
      <c r="AI337" s="3"/>
      <c r="AJ337" s="3"/>
      <c r="AU337" s="3"/>
      <c r="AV337" s="3"/>
      <c r="BA337" s="3"/>
      <c r="BB337" s="3"/>
      <c r="BE337" s="3"/>
      <c r="BF337" s="19"/>
      <c r="BG337" s="3"/>
      <c r="BN337" s="3"/>
      <c r="BR337" s="3"/>
    </row>
    <row r="338" spans="4:70" ht="14.45" hidden="1">
      <c r="D338" s="3"/>
      <c r="J338" s="3"/>
      <c r="T338" s="3"/>
      <c r="U338" s="3"/>
      <c r="V338" s="3"/>
      <c r="W338" s="3"/>
      <c r="X338" s="3"/>
      <c r="AC338" s="3"/>
      <c r="AD338" s="3"/>
      <c r="AE338" s="3"/>
      <c r="AI338" s="3"/>
      <c r="AJ338" s="3"/>
      <c r="AU338" s="3"/>
      <c r="AV338" s="3"/>
      <c r="BA338" s="3"/>
      <c r="BB338" s="3"/>
      <c r="BE338" s="3"/>
      <c r="BF338" s="19"/>
      <c r="BG338" s="3"/>
      <c r="BN338" s="3"/>
      <c r="BR338" s="3"/>
    </row>
    <row r="339" spans="4:70" ht="14.45" hidden="1">
      <c r="D339" s="3"/>
      <c r="J339" s="3"/>
      <c r="T339" s="3"/>
      <c r="U339" s="3"/>
      <c r="V339" s="3"/>
      <c r="W339" s="3"/>
      <c r="X339" s="3"/>
      <c r="AC339" s="3"/>
      <c r="AD339" s="3"/>
      <c r="AE339" s="3"/>
      <c r="AI339" s="3"/>
      <c r="AJ339" s="3"/>
      <c r="AU339" s="3"/>
      <c r="AV339" s="3"/>
      <c r="BA339" s="3"/>
      <c r="BB339" s="3"/>
      <c r="BE339" s="3"/>
      <c r="BF339" s="19"/>
      <c r="BG339" s="3"/>
      <c r="BN339" s="3"/>
      <c r="BR339" s="3"/>
    </row>
    <row r="340" spans="4:70" ht="14.45" hidden="1">
      <c r="D340" s="3"/>
      <c r="J340" s="3"/>
      <c r="T340" s="3"/>
      <c r="U340" s="3"/>
      <c r="V340" s="3"/>
      <c r="W340" s="3"/>
      <c r="X340" s="3"/>
      <c r="AC340" s="3"/>
      <c r="AD340" s="3"/>
      <c r="AE340" s="3"/>
      <c r="AI340" s="3"/>
      <c r="AJ340" s="3"/>
      <c r="AU340" s="3"/>
      <c r="AV340" s="3"/>
      <c r="BA340" s="3"/>
      <c r="BB340" s="3"/>
      <c r="BE340" s="3"/>
      <c r="BF340" s="19"/>
      <c r="BG340" s="3"/>
      <c r="BN340" s="3"/>
      <c r="BR340" s="3"/>
    </row>
    <row r="341" spans="4:70" ht="14.45" hidden="1">
      <c r="D341" s="3"/>
      <c r="J341" s="3"/>
      <c r="T341" s="3"/>
      <c r="U341" s="3"/>
      <c r="V341" s="3"/>
      <c r="W341" s="3"/>
      <c r="X341" s="3"/>
      <c r="AC341" s="3"/>
      <c r="AD341" s="3"/>
      <c r="AE341" s="3"/>
      <c r="AI341" s="3"/>
      <c r="AJ341" s="3"/>
      <c r="AU341" s="3"/>
      <c r="AV341" s="3"/>
      <c r="BA341" s="3"/>
      <c r="BB341" s="3"/>
      <c r="BE341" s="3"/>
      <c r="BF341" s="19"/>
      <c r="BG341" s="3"/>
      <c r="BN341" s="3"/>
      <c r="BR341" s="3"/>
    </row>
    <row r="342" spans="4:70" ht="14.45" hidden="1">
      <c r="D342" s="3"/>
      <c r="J342" s="3"/>
      <c r="T342" s="3"/>
      <c r="U342" s="3"/>
      <c r="V342" s="3"/>
      <c r="W342" s="3"/>
      <c r="X342" s="3"/>
      <c r="AC342" s="3"/>
      <c r="AD342" s="3"/>
      <c r="AE342" s="3"/>
      <c r="AI342" s="3"/>
      <c r="AJ342" s="3"/>
      <c r="AU342" s="3"/>
      <c r="AV342" s="3"/>
      <c r="BA342" s="3"/>
      <c r="BB342" s="3"/>
      <c r="BE342" s="3"/>
      <c r="BF342" s="19"/>
      <c r="BG342" s="3"/>
      <c r="BN342" s="3"/>
      <c r="BR342" s="3"/>
    </row>
    <row r="343" spans="4:70" ht="14.45" hidden="1">
      <c r="D343" s="3"/>
      <c r="J343" s="3"/>
      <c r="T343" s="3"/>
      <c r="U343" s="3"/>
      <c r="V343" s="3"/>
      <c r="W343" s="3"/>
      <c r="X343" s="3"/>
      <c r="AC343" s="3"/>
      <c r="AD343" s="3"/>
      <c r="AE343" s="3"/>
      <c r="AI343" s="3"/>
      <c r="AJ343" s="3"/>
      <c r="AU343" s="3"/>
      <c r="AV343" s="3"/>
      <c r="BA343" s="3"/>
      <c r="BB343" s="3"/>
      <c r="BE343" s="3"/>
      <c r="BF343" s="19"/>
      <c r="BG343" s="3"/>
      <c r="BN343" s="3"/>
      <c r="BR343" s="3"/>
    </row>
    <row r="344" spans="4:70" ht="14.45" hidden="1">
      <c r="D344" s="3"/>
      <c r="J344" s="3"/>
      <c r="T344" s="3"/>
      <c r="U344" s="3"/>
      <c r="V344" s="3"/>
      <c r="W344" s="3"/>
      <c r="X344" s="3"/>
      <c r="AC344" s="3"/>
      <c r="AD344" s="3"/>
      <c r="AE344" s="3"/>
      <c r="AI344" s="3"/>
      <c r="AJ344" s="3"/>
      <c r="AU344" s="3"/>
      <c r="AV344" s="3"/>
      <c r="BA344" s="3"/>
      <c r="BB344" s="3"/>
      <c r="BE344" s="3"/>
      <c r="BF344" s="19"/>
      <c r="BG344" s="3"/>
      <c r="BN344" s="3"/>
      <c r="BR344" s="3"/>
    </row>
    <row r="345" spans="4:70" ht="14.45" hidden="1">
      <c r="D345" s="3"/>
      <c r="J345" s="3"/>
      <c r="T345" s="3"/>
      <c r="U345" s="3"/>
      <c r="V345" s="3"/>
      <c r="W345" s="3"/>
      <c r="X345" s="3"/>
      <c r="AC345" s="3"/>
      <c r="AD345" s="3"/>
      <c r="AE345" s="3"/>
      <c r="AI345" s="3"/>
      <c r="AJ345" s="3"/>
      <c r="AU345" s="3"/>
      <c r="AV345" s="3"/>
      <c r="BA345" s="3"/>
      <c r="BB345" s="3"/>
      <c r="BE345" s="3"/>
      <c r="BF345" s="19"/>
      <c r="BG345" s="3"/>
      <c r="BN345" s="3"/>
      <c r="BR345" s="3"/>
    </row>
    <row r="346" spans="4:70" ht="14.45" hidden="1">
      <c r="D346" s="3"/>
      <c r="J346" s="3"/>
      <c r="T346" s="3"/>
      <c r="U346" s="3"/>
      <c r="V346" s="3"/>
      <c r="W346" s="3"/>
      <c r="X346" s="3"/>
      <c r="AC346" s="3"/>
      <c r="AD346" s="3"/>
      <c r="AE346" s="3"/>
      <c r="AI346" s="3"/>
      <c r="AJ346" s="3"/>
      <c r="AU346" s="3"/>
      <c r="AV346" s="3"/>
      <c r="BA346" s="3"/>
      <c r="BB346" s="3"/>
      <c r="BE346" s="3"/>
      <c r="BF346" s="19"/>
      <c r="BG346" s="3"/>
      <c r="BN346" s="3"/>
      <c r="BR346" s="3"/>
    </row>
    <row r="347" spans="4:70" ht="14.45" hidden="1">
      <c r="D347" s="3"/>
      <c r="J347" s="3"/>
      <c r="T347" s="3"/>
      <c r="U347" s="3"/>
      <c r="V347" s="3"/>
      <c r="W347" s="3"/>
      <c r="X347" s="3"/>
      <c r="AC347" s="3"/>
      <c r="AD347" s="3"/>
      <c r="AE347" s="3"/>
      <c r="AI347" s="3"/>
      <c r="AJ347" s="3"/>
      <c r="AU347" s="3"/>
      <c r="AV347" s="3"/>
      <c r="BA347" s="3"/>
      <c r="BB347" s="3"/>
      <c r="BE347" s="3"/>
      <c r="BF347" s="19"/>
      <c r="BG347" s="3"/>
      <c r="BN347" s="3"/>
      <c r="BR347" s="3"/>
    </row>
    <row r="348" spans="4:70" ht="14.45" hidden="1">
      <c r="D348" s="3"/>
      <c r="J348" s="3"/>
      <c r="T348" s="3"/>
      <c r="U348" s="3"/>
      <c r="V348" s="3"/>
      <c r="W348" s="3"/>
      <c r="X348" s="3"/>
      <c r="AC348" s="3"/>
      <c r="AD348" s="3"/>
      <c r="AE348" s="3"/>
      <c r="AI348" s="3"/>
      <c r="AJ348" s="3"/>
      <c r="AU348" s="3"/>
      <c r="AV348" s="3"/>
      <c r="BA348" s="3"/>
      <c r="BB348" s="3"/>
      <c r="BE348" s="3"/>
      <c r="BF348" s="19"/>
      <c r="BG348" s="3"/>
      <c r="BN348" s="3"/>
      <c r="BR348" s="3"/>
    </row>
    <row r="349" spans="4:70" ht="14.45" hidden="1">
      <c r="D349" s="3"/>
      <c r="J349" s="3"/>
      <c r="T349" s="3"/>
      <c r="U349" s="3"/>
      <c r="V349" s="3"/>
      <c r="W349" s="3"/>
      <c r="X349" s="3"/>
      <c r="AC349" s="3"/>
      <c r="AD349" s="3"/>
      <c r="AE349" s="3"/>
      <c r="AI349" s="3"/>
      <c r="AJ349" s="3"/>
      <c r="AU349" s="3"/>
      <c r="AV349" s="3"/>
      <c r="BA349" s="3"/>
      <c r="BB349" s="3"/>
      <c r="BE349" s="3"/>
      <c r="BF349" s="19"/>
      <c r="BG349" s="3"/>
      <c r="BN349" s="3"/>
      <c r="BR349" s="3"/>
    </row>
    <row r="350" spans="4:70" ht="14.45" hidden="1">
      <c r="D350" s="3"/>
      <c r="J350" s="3"/>
      <c r="T350" s="3"/>
      <c r="U350" s="3"/>
      <c r="V350" s="3"/>
      <c r="W350" s="3"/>
      <c r="X350" s="3"/>
      <c r="AC350" s="3"/>
      <c r="AD350" s="3"/>
      <c r="AE350" s="3"/>
      <c r="AI350" s="3"/>
      <c r="AJ350" s="3"/>
      <c r="AU350" s="3"/>
      <c r="AV350" s="3"/>
      <c r="BA350" s="3"/>
      <c r="BB350" s="3"/>
      <c r="BE350" s="3"/>
      <c r="BF350" s="19"/>
      <c r="BG350" s="3"/>
      <c r="BN350" s="3"/>
      <c r="BR350" s="3"/>
    </row>
    <row r="351" spans="4:70" ht="14.45" hidden="1">
      <c r="D351" s="3"/>
      <c r="J351" s="3"/>
      <c r="T351" s="3"/>
      <c r="U351" s="3"/>
      <c r="V351" s="3"/>
      <c r="W351" s="3"/>
      <c r="X351" s="3"/>
      <c r="AC351" s="3"/>
      <c r="AD351" s="3"/>
      <c r="AE351" s="3"/>
      <c r="AI351" s="3"/>
      <c r="AJ351" s="3"/>
      <c r="AU351" s="3"/>
      <c r="AV351" s="3"/>
      <c r="BA351" s="3"/>
      <c r="BB351" s="3"/>
      <c r="BE351" s="3"/>
      <c r="BF351" s="19"/>
      <c r="BG351" s="3"/>
      <c r="BN351" s="3"/>
      <c r="BR351" s="3"/>
    </row>
    <row r="352" spans="4:70" ht="14.45" hidden="1">
      <c r="D352" s="3"/>
      <c r="J352" s="3"/>
      <c r="T352" s="3"/>
      <c r="U352" s="3"/>
      <c r="V352" s="3"/>
      <c r="W352" s="3"/>
      <c r="X352" s="3"/>
      <c r="AC352" s="3"/>
      <c r="AD352" s="3"/>
      <c r="AE352" s="3"/>
      <c r="AI352" s="3"/>
      <c r="AJ352" s="3"/>
      <c r="AU352" s="3"/>
      <c r="AV352" s="3"/>
      <c r="BA352" s="3"/>
      <c r="BB352" s="3"/>
      <c r="BE352" s="3"/>
      <c r="BF352" s="19"/>
      <c r="BG352" s="3"/>
      <c r="BN352" s="3"/>
      <c r="BR352" s="3"/>
    </row>
    <row r="353" spans="4:70" ht="14.45" hidden="1">
      <c r="D353" s="3"/>
      <c r="J353" s="3"/>
      <c r="T353" s="3"/>
      <c r="U353" s="3"/>
      <c r="V353" s="3"/>
      <c r="W353" s="3"/>
      <c r="X353" s="3"/>
      <c r="AC353" s="3"/>
      <c r="AD353" s="3"/>
      <c r="AE353" s="3"/>
      <c r="AI353" s="3"/>
      <c r="AJ353" s="3"/>
      <c r="AU353" s="3"/>
      <c r="AV353" s="3"/>
      <c r="BA353" s="3"/>
      <c r="BB353" s="3"/>
      <c r="BE353" s="3"/>
      <c r="BF353" s="19"/>
      <c r="BG353" s="3"/>
      <c r="BN353" s="3"/>
      <c r="BR353" s="3"/>
    </row>
    <row r="354" spans="4:70" ht="14.45" hidden="1">
      <c r="D354" s="3"/>
      <c r="J354" s="3"/>
      <c r="T354" s="3"/>
      <c r="U354" s="3"/>
      <c r="V354" s="3"/>
      <c r="W354" s="3"/>
      <c r="X354" s="3"/>
      <c r="AC354" s="3"/>
      <c r="AD354" s="3"/>
      <c r="AE354" s="3"/>
      <c r="AI354" s="3"/>
      <c r="AJ354" s="3"/>
      <c r="AU354" s="3"/>
      <c r="AV354" s="3"/>
      <c r="BA354" s="3"/>
      <c r="BB354" s="3"/>
      <c r="BE354" s="3"/>
      <c r="BF354" s="19"/>
      <c r="BG354" s="3"/>
      <c r="BN354" s="3"/>
      <c r="BR354" s="3"/>
    </row>
    <row r="355" spans="4:70" ht="14.45" hidden="1">
      <c r="D355" s="3"/>
      <c r="J355" s="3"/>
      <c r="T355" s="3"/>
      <c r="U355" s="3"/>
      <c r="V355" s="3"/>
      <c r="W355" s="3"/>
      <c r="X355" s="3"/>
      <c r="AC355" s="3"/>
      <c r="AD355" s="3"/>
      <c r="AE355" s="3"/>
      <c r="AI355" s="3"/>
      <c r="AJ355" s="3"/>
      <c r="AU355" s="3"/>
      <c r="AV355" s="3"/>
      <c r="BA355" s="3"/>
      <c r="BB355" s="3"/>
      <c r="BE355" s="3"/>
      <c r="BF355" s="19"/>
      <c r="BG355" s="3"/>
      <c r="BN355" s="3"/>
      <c r="BR355" s="3"/>
    </row>
    <row r="356" spans="4:70" ht="14.45" hidden="1">
      <c r="D356" s="3"/>
      <c r="J356" s="3"/>
      <c r="T356" s="3"/>
      <c r="U356" s="3"/>
      <c r="V356" s="3"/>
      <c r="W356" s="3"/>
      <c r="X356" s="3"/>
      <c r="AC356" s="3"/>
      <c r="AD356" s="3"/>
      <c r="AE356" s="3"/>
      <c r="AI356" s="3"/>
      <c r="AJ356" s="3"/>
      <c r="AU356" s="3"/>
      <c r="AV356" s="3"/>
      <c r="BA356" s="3"/>
      <c r="BB356" s="3"/>
      <c r="BE356" s="3"/>
      <c r="BF356" s="19"/>
      <c r="BG356" s="3"/>
      <c r="BN356" s="3"/>
      <c r="BR356" s="3"/>
    </row>
    <row r="357" spans="4:70" ht="14.45" hidden="1">
      <c r="D357" s="3"/>
      <c r="J357" s="3"/>
      <c r="T357" s="3"/>
      <c r="U357" s="3"/>
      <c r="V357" s="3"/>
      <c r="W357" s="3"/>
      <c r="X357" s="3"/>
      <c r="AC357" s="3"/>
      <c r="AD357" s="3"/>
      <c r="AE357" s="3"/>
      <c r="AI357" s="3"/>
      <c r="AJ357" s="3"/>
      <c r="AU357" s="3"/>
      <c r="AV357" s="3"/>
      <c r="BA357" s="3"/>
      <c r="BB357" s="3"/>
      <c r="BE357" s="3"/>
      <c r="BF357" s="19"/>
      <c r="BG357" s="3"/>
      <c r="BN357" s="3"/>
      <c r="BR357" s="3"/>
    </row>
    <row r="358" spans="4:70" ht="14.45" hidden="1">
      <c r="D358" s="3"/>
      <c r="J358" s="3"/>
      <c r="T358" s="3"/>
      <c r="U358" s="3"/>
      <c r="V358" s="3"/>
      <c r="W358" s="3"/>
      <c r="X358" s="3"/>
      <c r="AC358" s="3"/>
      <c r="AD358" s="3"/>
      <c r="AE358" s="3"/>
      <c r="AI358" s="3"/>
      <c r="AJ358" s="3"/>
      <c r="AU358" s="3"/>
      <c r="AV358" s="3"/>
      <c r="BA358" s="3"/>
      <c r="BB358" s="3"/>
      <c r="BE358" s="3"/>
      <c r="BF358" s="19"/>
      <c r="BG358" s="3"/>
      <c r="BN358" s="3"/>
      <c r="BR358" s="3"/>
    </row>
    <row r="359" spans="4:70" ht="14.45" hidden="1">
      <c r="D359" s="3"/>
      <c r="J359" s="3"/>
      <c r="T359" s="3"/>
      <c r="U359" s="3"/>
      <c r="V359" s="3"/>
      <c r="W359" s="3"/>
      <c r="X359" s="3"/>
      <c r="AC359" s="3"/>
      <c r="AD359" s="3"/>
      <c r="AE359" s="3"/>
      <c r="AI359" s="3"/>
      <c r="AJ359" s="3"/>
      <c r="AU359" s="3"/>
      <c r="AV359" s="3"/>
      <c r="BA359" s="3"/>
      <c r="BB359" s="3"/>
      <c r="BE359" s="3"/>
      <c r="BF359" s="19"/>
      <c r="BG359" s="3"/>
      <c r="BN359" s="3"/>
      <c r="BR359" s="3"/>
    </row>
    <row r="360" spans="4:70" ht="14.45" hidden="1">
      <c r="D360" s="3"/>
      <c r="J360" s="3"/>
      <c r="T360" s="3"/>
      <c r="U360" s="3"/>
      <c r="V360" s="3"/>
      <c r="W360" s="3"/>
      <c r="X360" s="3"/>
      <c r="AC360" s="3"/>
      <c r="AD360" s="3"/>
      <c r="AE360" s="3"/>
      <c r="AI360" s="3"/>
      <c r="AJ360" s="3"/>
      <c r="AU360" s="3"/>
      <c r="AV360" s="3"/>
      <c r="BA360" s="3"/>
      <c r="BB360" s="3"/>
      <c r="BE360" s="3"/>
      <c r="BF360" s="19"/>
      <c r="BG360" s="3"/>
      <c r="BN360" s="3"/>
      <c r="BR360" s="3"/>
    </row>
    <row r="361" spans="4:70" ht="14.45" hidden="1">
      <c r="D361" s="3"/>
      <c r="J361" s="3"/>
      <c r="T361" s="3"/>
      <c r="U361" s="3"/>
      <c r="V361" s="3"/>
      <c r="W361" s="3"/>
      <c r="X361" s="3"/>
      <c r="AC361" s="3"/>
      <c r="AD361" s="3"/>
      <c r="AE361" s="3"/>
      <c r="AI361" s="3"/>
      <c r="AJ361" s="3"/>
      <c r="AU361" s="3"/>
      <c r="AV361" s="3"/>
      <c r="BA361" s="3"/>
      <c r="BB361" s="3"/>
      <c r="BE361" s="3"/>
      <c r="BF361" s="19"/>
      <c r="BG361" s="3"/>
      <c r="BN361" s="3"/>
      <c r="BR361" s="3"/>
    </row>
    <row r="362" spans="4:70" ht="14.45" hidden="1">
      <c r="D362" s="3"/>
      <c r="J362" s="3"/>
      <c r="T362" s="3"/>
      <c r="U362" s="3"/>
      <c r="V362" s="3"/>
      <c r="W362" s="3"/>
      <c r="X362" s="3"/>
      <c r="AC362" s="3"/>
      <c r="AD362" s="3"/>
      <c r="AE362" s="3"/>
      <c r="AI362" s="3"/>
      <c r="AJ362" s="3"/>
      <c r="AU362" s="3"/>
      <c r="AV362" s="3"/>
      <c r="BA362" s="3"/>
      <c r="BB362" s="3"/>
      <c r="BE362" s="3"/>
      <c r="BF362" s="19"/>
      <c r="BG362" s="3"/>
      <c r="BN362" s="3"/>
      <c r="BR362" s="3"/>
    </row>
    <row r="363" spans="4:70" ht="14.45" hidden="1">
      <c r="D363" s="3"/>
      <c r="J363" s="3"/>
      <c r="T363" s="3"/>
      <c r="U363" s="3"/>
      <c r="V363" s="3"/>
      <c r="W363" s="3"/>
      <c r="X363" s="3"/>
      <c r="AC363" s="3"/>
      <c r="AD363" s="3"/>
      <c r="AE363" s="3"/>
      <c r="AI363" s="3"/>
      <c r="AJ363" s="3"/>
      <c r="AU363" s="3"/>
      <c r="AV363" s="3"/>
      <c r="BA363" s="3"/>
      <c r="BB363" s="3"/>
      <c r="BE363" s="3"/>
      <c r="BF363" s="19"/>
      <c r="BG363" s="3"/>
      <c r="BN363" s="3"/>
      <c r="BR363" s="3"/>
    </row>
    <row r="364" spans="4:70" ht="14.45" hidden="1">
      <c r="D364" s="3"/>
      <c r="J364" s="3"/>
      <c r="T364" s="3"/>
      <c r="U364" s="3"/>
      <c r="V364" s="3"/>
      <c r="W364" s="3"/>
      <c r="X364" s="3"/>
      <c r="AC364" s="3"/>
      <c r="AD364" s="3"/>
      <c r="AE364" s="3"/>
      <c r="AI364" s="3"/>
      <c r="AJ364" s="3"/>
      <c r="AU364" s="3"/>
      <c r="AV364" s="3"/>
      <c r="BA364" s="3"/>
      <c r="BB364" s="3"/>
      <c r="BE364" s="3"/>
      <c r="BF364" s="19"/>
      <c r="BG364" s="3"/>
      <c r="BN364" s="3"/>
      <c r="BR364" s="3"/>
    </row>
    <row r="365" spans="4:70" ht="14.45" hidden="1">
      <c r="D365" s="3"/>
      <c r="J365" s="3"/>
      <c r="T365" s="3"/>
      <c r="U365" s="3"/>
      <c r="V365" s="3"/>
      <c r="W365" s="3"/>
      <c r="X365" s="3"/>
      <c r="AC365" s="3"/>
      <c r="AD365" s="3"/>
      <c r="AE365" s="3"/>
      <c r="AI365" s="3"/>
      <c r="AJ365" s="3"/>
      <c r="AU365" s="3"/>
      <c r="AV365" s="3"/>
      <c r="BA365" s="3"/>
      <c r="BB365" s="3"/>
      <c r="BE365" s="3"/>
      <c r="BF365" s="19"/>
      <c r="BG365" s="3"/>
      <c r="BN365" s="3"/>
      <c r="BR365" s="3"/>
    </row>
    <row r="366" spans="4:70" ht="14.45" hidden="1">
      <c r="D366" s="3"/>
      <c r="J366" s="3"/>
      <c r="T366" s="3"/>
      <c r="U366" s="3"/>
      <c r="V366" s="3"/>
      <c r="W366" s="3"/>
      <c r="X366" s="3"/>
      <c r="AC366" s="3"/>
      <c r="AD366" s="3"/>
      <c r="AE366" s="3"/>
      <c r="AI366" s="3"/>
      <c r="AJ366" s="3"/>
      <c r="AU366" s="3"/>
      <c r="AV366" s="3"/>
      <c r="BA366" s="3"/>
      <c r="BB366" s="3"/>
      <c r="BE366" s="3"/>
      <c r="BF366" s="19"/>
      <c r="BG366" s="3"/>
      <c r="BN366" s="3"/>
      <c r="BR366" s="3"/>
    </row>
    <row r="367" spans="4:70" ht="14.45" hidden="1">
      <c r="D367" s="3"/>
      <c r="J367" s="3"/>
      <c r="T367" s="3"/>
      <c r="U367" s="3"/>
      <c r="V367" s="3"/>
      <c r="W367" s="3"/>
      <c r="X367" s="3"/>
      <c r="AC367" s="3"/>
      <c r="AD367" s="3"/>
      <c r="AE367" s="3"/>
      <c r="AI367" s="3"/>
      <c r="AJ367" s="3"/>
      <c r="AU367" s="3"/>
      <c r="AV367" s="3"/>
      <c r="BA367" s="3"/>
      <c r="BB367" s="3"/>
      <c r="BE367" s="3"/>
      <c r="BF367" s="19"/>
      <c r="BG367" s="3"/>
      <c r="BN367" s="3"/>
      <c r="BR367" s="3"/>
    </row>
    <row r="368" spans="4:70" ht="14.45" hidden="1">
      <c r="D368" s="3"/>
      <c r="J368" s="3"/>
      <c r="T368" s="3"/>
      <c r="U368" s="3"/>
      <c r="V368" s="3"/>
      <c r="W368" s="3"/>
      <c r="X368" s="3"/>
      <c r="AC368" s="3"/>
      <c r="AD368" s="3"/>
      <c r="AE368" s="3"/>
      <c r="AI368" s="3"/>
      <c r="AJ368" s="3"/>
      <c r="AU368" s="3"/>
      <c r="AV368" s="3"/>
      <c r="BA368" s="3"/>
      <c r="BB368" s="3"/>
      <c r="BE368" s="3"/>
      <c r="BF368" s="19"/>
      <c r="BG368" s="3"/>
      <c r="BN368" s="3"/>
      <c r="BR368" s="3"/>
    </row>
    <row r="369" spans="4:70" ht="14.45" hidden="1">
      <c r="D369" s="3"/>
      <c r="J369" s="3"/>
      <c r="T369" s="3"/>
      <c r="U369" s="3"/>
      <c r="V369" s="3"/>
      <c r="W369" s="3"/>
      <c r="X369" s="3"/>
      <c r="AC369" s="3"/>
      <c r="AD369" s="3"/>
      <c r="AE369" s="3"/>
      <c r="AI369" s="3"/>
      <c r="AJ369" s="3"/>
      <c r="AU369" s="3"/>
      <c r="AV369" s="3"/>
      <c r="BA369" s="3"/>
      <c r="BB369" s="3"/>
      <c r="BE369" s="3"/>
      <c r="BF369" s="19"/>
      <c r="BG369" s="3"/>
      <c r="BN369" s="3"/>
      <c r="BR369" s="3"/>
    </row>
    <row r="370" spans="4:70" ht="14.45" hidden="1">
      <c r="D370" s="3"/>
      <c r="J370" s="3"/>
      <c r="T370" s="3"/>
      <c r="U370" s="3"/>
      <c r="V370" s="3"/>
      <c r="W370" s="3"/>
      <c r="X370" s="3"/>
      <c r="AC370" s="3"/>
      <c r="AD370" s="3"/>
      <c r="AE370" s="3"/>
      <c r="AI370" s="3"/>
      <c r="AJ370" s="3"/>
      <c r="AU370" s="3"/>
      <c r="AV370" s="3"/>
      <c r="BA370" s="3"/>
      <c r="BB370" s="3"/>
      <c r="BE370" s="3"/>
      <c r="BF370" s="19"/>
      <c r="BG370" s="3"/>
      <c r="BN370" s="3"/>
      <c r="BR370" s="3"/>
    </row>
    <row r="371" spans="4:70" ht="14.45" hidden="1">
      <c r="D371" s="3"/>
      <c r="J371" s="3"/>
      <c r="T371" s="3"/>
      <c r="U371" s="3"/>
      <c r="V371" s="3"/>
      <c r="W371" s="3"/>
      <c r="X371" s="3"/>
      <c r="AC371" s="3"/>
      <c r="AD371" s="3"/>
      <c r="AE371" s="3"/>
      <c r="AI371" s="3"/>
      <c r="AJ371" s="3"/>
      <c r="AU371" s="3"/>
      <c r="AV371" s="3"/>
      <c r="BA371" s="3"/>
      <c r="BB371" s="3"/>
      <c r="BE371" s="3"/>
      <c r="BF371" s="19"/>
      <c r="BG371" s="3"/>
      <c r="BN371" s="3"/>
      <c r="BR371" s="3"/>
    </row>
    <row r="372" spans="4:70" ht="14.45" hidden="1">
      <c r="D372" s="3"/>
      <c r="J372" s="3"/>
      <c r="T372" s="3"/>
      <c r="U372" s="3"/>
      <c r="V372" s="3"/>
      <c r="W372" s="3"/>
      <c r="X372" s="3"/>
      <c r="AC372" s="3"/>
      <c r="AD372" s="3"/>
      <c r="AE372" s="3"/>
      <c r="AI372" s="3"/>
      <c r="AJ372" s="3"/>
      <c r="AU372" s="3"/>
      <c r="AV372" s="3"/>
      <c r="BA372" s="3"/>
      <c r="BB372" s="3"/>
      <c r="BE372" s="3"/>
      <c r="BF372" s="19"/>
      <c r="BG372" s="3"/>
      <c r="BN372" s="3"/>
      <c r="BR372" s="3"/>
    </row>
    <row r="373" spans="4:70" ht="14.45" hidden="1">
      <c r="D373" s="3"/>
      <c r="J373" s="3"/>
      <c r="T373" s="3"/>
      <c r="U373" s="3"/>
      <c r="V373" s="3"/>
      <c r="W373" s="3"/>
      <c r="X373" s="3"/>
      <c r="AC373" s="3"/>
      <c r="AD373" s="3"/>
      <c r="AE373" s="3"/>
      <c r="AI373" s="3"/>
      <c r="AJ373" s="3"/>
      <c r="AU373" s="3"/>
      <c r="AV373" s="3"/>
      <c r="BA373" s="3"/>
      <c r="BB373" s="3"/>
      <c r="BE373" s="3"/>
      <c r="BF373" s="19"/>
      <c r="BG373" s="3"/>
      <c r="BN373" s="3"/>
      <c r="BR373" s="3"/>
    </row>
    <row r="374" spans="4:70" ht="14.45" hidden="1">
      <c r="D374" s="3"/>
      <c r="J374" s="3"/>
      <c r="T374" s="3"/>
      <c r="U374" s="3"/>
      <c r="V374" s="3"/>
      <c r="W374" s="3"/>
      <c r="X374" s="3"/>
      <c r="AC374" s="3"/>
      <c r="AD374" s="3"/>
      <c r="AE374" s="3"/>
      <c r="AI374" s="3"/>
      <c r="AJ374" s="3"/>
      <c r="AU374" s="3"/>
      <c r="AV374" s="3"/>
      <c r="BA374" s="3"/>
      <c r="BB374" s="3"/>
      <c r="BE374" s="3"/>
      <c r="BF374" s="19"/>
      <c r="BG374" s="3"/>
      <c r="BN374" s="3"/>
      <c r="BR374" s="3"/>
    </row>
    <row r="375" spans="4:70" ht="14.45" hidden="1">
      <c r="D375" s="3"/>
      <c r="J375" s="3"/>
      <c r="T375" s="3"/>
      <c r="U375" s="3"/>
      <c r="V375" s="3"/>
      <c r="W375" s="3"/>
      <c r="X375" s="3"/>
      <c r="AC375" s="3"/>
      <c r="AD375" s="3"/>
      <c r="AE375" s="3"/>
      <c r="AI375" s="3"/>
      <c r="AJ375" s="3"/>
      <c r="AU375" s="3"/>
      <c r="AV375" s="3"/>
      <c r="BA375" s="3"/>
      <c r="BB375" s="3"/>
      <c r="BE375" s="3"/>
      <c r="BF375" s="19"/>
      <c r="BG375" s="3"/>
      <c r="BN375" s="3"/>
      <c r="BR375" s="3"/>
    </row>
    <row r="376" spans="4:70" ht="14.45" hidden="1">
      <c r="D376" s="3"/>
      <c r="J376" s="3"/>
      <c r="T376" s="3"/>
      <c r="U376" s="3"/>
      <c r="V376" s="3"/>
      <c r="W376" s="3"/>
      <c r="X376" s="3"/>
      <c r="AC376" s="3"/>
      <c r="AD376" s="3"/>
      <c r="AE376" s="3"/>
      <c r="AI376" s="3"/>
      <c r="AJ376" s="3"/>
      <c r="AU376" s="3"/>
      <c r="AV376" s="3"/>
      <c r="BA376" s="3"/>
      <c r="BB376" s="3"/>
      <c r="BE376" s="3"/>
      <c r="BF376" s="19"/>
      <c r="BG376" s="3"/>
      <c r="BN376" s="3"/>
      <c r="BR376" s="3"/>
    </row>
    <row r="377" spans="4:70" ht="14.45" hidden="1">
      <c r="D377" s="3"/>
      <c r="J377" s="3"/>
      <c r="T377" s="3"/>
      <c r="U377" s="3"/>
      <c r="V377" s="3"/>
      <c r="W377" s="3"/>
      <c r="X377" s="3"/>
      <c r="AC377" s="3"/>
      <c r="AD377" s="3"/>
      <c r="AE377" s="3"/>
      <c r="AI377" s="3"/>
      <c r="AJ377" s="3"/>
      <c r="AU377" s="3"/>
      <c r="AV377" s="3"/>
      <c r="BA377" s="3"/>
      <c r="BB377" s="3"/>
      <c r="BE377" s="3"/>
      <c r="BF377" s="19"/>
      <c r="BG377" s="3"/>
      <c r="BN377" s="3"/>
      <c r="BR377" s="3"/>
    </row>
    <row r="378" spans="4:70" ht="14.45" hidden="1">
      <c r="D378" s="3"/>
      <c r="J378" s="3"/>
      <c r="T378" s="3"/>
      <c r="U378" s="3"/>
      <c r="V378" s="3"/>
      <c r="W378" s="3"/>
      <c r="X378" s="3"/>
      <c r="AC378" s="3"/>
      <c r="AD378" s="3"/>
      <c r="AE378" s="3"/>
      <c r="AI378" s="3"/>
      <c r="AJ378" s="3"/>
      <c r="AU378" s="3"/>
      <c r="AV378" s="3"/>
      <c r="BA378" s="3"/>
      <c r="BB378" s="3"/>
      <c r="BE378" s="3"/>
      <c r="BF378" s="19"/>
      <c r="BG378" s="3"/>
      <c r="BN378" s="3"/>
      <c r="BR378" s="3"/>
    </row>
    <row r="379" spans="4:70" ht="14.45" hidden="1">
      <c r="D379" s="3"/>
      <c r="J379" s="3"/>
      <c r="T379" s="3"/>
      <c r="U379" s="3"/>
      <c r="V379" s="3"/>
      <c r="W379" s="3"/>
      <c r="X379" s="3"/>
      <c r="AC379" s="3"/>
      <c r="AD379" s="3"/>
      <c r="AE379" s="3"/>
      <c r="AI379" s="3"/>
      <c r="AJ379" s="3"/>
      <c r="AU379" s="3"/>
      <c r="AV379" s="3"/>
      <c r="BA379" s="3"/>
      <c r="BB379" s="3"/>
      <c r="BE379" s="3"/>
      <c r="BF379" s="19"/>
      <c r="BG379" s="3"/>
      <c r="BN379" s="3"/>
      <c r="BR379" s="3"/>
    </row>
    <row r="380" spans="4:70" ht="14.45" hidden="1">
      <c r="D380" s="3"/>
      <c r="J380" s="3"/>
      <c r="T380" s="3"/>
      <c r="U380" s="3"/>
      <c r="V380" s="3"/>
      <c r="W380" s="3"/>
      <c r="X380" s="3"/>
      <c r="AC380" s="3"/>
      <c r="AD380" s="3"/>
      <c r="AE380" s="3"/>
      <c r="AI380" s="3"/>
      <c r="AJ380" s="3"/>
      <c r="AU380" s="3"/>
      <c r="AV380" s="3"/>
      <c r="BA380" s="3"/>
      <c r="BB380" s="3"/>
      <c r="BE380" s="3"/>
      <c r="BF380" s="19"/>
      <c r="BG380" s="3"/>
      <c r="BN380" s="3"/>
      <c r="BR380" s="3"/>
    </row>
    <row r="381" spans="4:70" ht="14.45" hidden="1">
      <c r="D381" s="3"/>
      <c r="J381" s="3"/>
      <c r="T381" s="3"/>
      <c r="U381" s="3"/>
      <c r="V381" s="3"/>
      <c r="W381" s="3"/>
      <c r="X381" s="3"/>
      <c r="AC381" s="3"/>
      <c r="AD381" s="3"/>
      <c r="AE381" s="3"/>
      <c r="AI381" s="3"/>
      <c r="AJ381" s="3"/>
      <c r="AU381" s="3"/>
      <c r="AV381" s="3"/>
      <c r="BA381" s="3"/>
      <c r="BB381" s="3"/>
      <c r="BE381" s="3"/>
      <c r="BF381" s="19"/>
      <c r="BG381" s="3"/>
      <c r="BN381" s="3"/>
      <c r="BR381" s="3"/>
    </row>
    <row r="382" spans="4:70" ht="14.45" hidden="1">
      <c r="D382" s="3"/>
      <c r="J382" s="3"/>
      <c r="T382" s="3"/>
      <c r="U382" s="3"/>
      <c r="V382" s="3"/>
      <c r="W382" s="3"/>
      <c r="X382" s="3"/>
      <c r="AC382" s="3"/>
      <c r="AD382" s="3"/>
      <c r="AE382" s="3"/>
      <c r="AI382" s="3"/>
      <c r="AJ382" s="3"/>
      <c r="AU382" s="3"/>
      <c r="AV382" s="3"/>
      <c r="BA382" s="3"/>
      <c r="BB382" s="3"/>
      <c r="BE382" s="3"/>
      <c r="BF382" s="19"/>
      <c r="BG382" s="3"/>
      <c r="BN382" s="3"/>
      <c r="BR382" s="3"/>
    </row>
    <row r="383" spans="4:70" ht="14.45" hidden="1">
      <c r="D383" s="3"/>
      <c r="J383" s="3"/>
      <c r="T383" s="3"/>
      <c r="U383" s="3"/>
      <c r="V383" s="3"/>
      <c r="W383" s="3"/>
      <c r="X383" s="3"/>
      <c r="AC383" s="3"/>
      <c r="AD383" s="3"/>
      <c r="AE383" s="3"/>
      <c r="AI383" s="3"/>
      <c r="AJ383" s="3"/>
      <c r="AU383" s="3"/>
      <c r="AV383" s="3"/>
      <c r="BA383" s="3"/>
      <c r="BB383" s="3"/>
      <c r="BE383" s="3"/>
      <c r="BF383" s="19"/>
      <c r="BG383" s="3"/>
      <c r="BN383" s="3"/>
      <c r="BR383" s="3"/>
    </row>
    <row r="384" spans="4:70" ht="14.45" hidden="1">
      <c r="D384" s="3"/>
      <c r="J384" s="3"/>
      <c r="T384" s="3"/>
      <c r="U384" s="3"/>
      <c r="V384" s="3"/>
      <c r="W384" s="3"/>
      <c r="X384" s="3"/>
      <c r="AC384" s="3"/>
      <c r="AD384" s="3"/>
      <c r="AE384" s="3"/>
      <c r="AI384" s="3"/>
      <c r="AJ384" s="3"/>
      <c r="AU384" s="3"/>
      <c r="AV384" s="3"/>
      <c r="BA384" s="3"/>
      <c r="BB384" s="3"/>
      <c r="BE384" s="3"/>
      <c r="BF384" s="19"/>
      <c r="BG384" s="3"/>
      <c r="BN384" s="3"/>
      <c r="BR384" s="3"/>
    </row>
    <row r="385" spans="4:70" ht="14.45" hidden="1">
      <c r="D385" s="3"/>
      <c r="J385" s="3"/>
      <c r="T385" s="3"/>
      <c r="U385" s="3"/>
      <c r="V385" s="3"/>
      <c r="W385" s="3"/>
      <c r="X385" s="3"/>
      <c r="AC385" s="3"/>
      <c r="AD385" s="3"/>
      <c r="AE385" s="3"/>
      <c r="AI385" s="3"/>
      <c r="AJ385" s="3"/>
      <c r="AU385" s="3"/>
      <c r="AV385" s="3"/>
      <c r="BA385" s="3"/>
      <c r="BB385" s="3"/>
      <c r="BE385" s="3"/>
      <c r="BF385" s="19"/>
      <c r="BG385" s="3"/>
      <c r="BN385" s="3"/>
      <c r="BR385" s="3"/>
    </row>
    <row r="386" spans="4:70" ht="14.45" hidden="1">
      <c r="D386" s="3"/>
      <c r="J386" s="3"/>
      <c r="T386" s="3"/>
      <c r="U386" s="3"/>
      <c r="V386" s="3"/>
      <c r="W386" s="3"/>
      <c r="X386" s="3"/>
      <c r="AC386" s="3"/>
      <c r="AD386" s="3"/>
      <c r="AE386" s="3"/>
      <c r="AI386" s="3"/>
      <c r="AJ386" s="3"/>
      <c r="AU386" s="3"/>
      <c r="AV386" s="3"/>
      <c r="BA386" s="3"/>
      <c r="BB386" s="3"/>
      <c r="BE386" s="3"/>
      <c r="BF386" s="19"/>
      <c r="BG386" s="3"/>
      <c r="BN386" s="3"/>
      <c r="BR386" s="3"/>
    </row>
    <row r="387" spans="4:70" ht="14.45" hidden="1">
      <c r="D387" s="3"/>
      <c r="J387" s="3"/>
      <c r="T387" s="3"/>
      <c r="U387" s="3"/>
      <c r="V387" s="3"/>
      <c r="W387" s="3"/>
      <c r="X387" s="3"/>
      <c r="AC387" s="3"/>
      <c r="AD387" s="3"/>
      <c r="AE387" s="3"/>
      <c r="AI387" s="3"/>
      <c r="AJ387" s="3"/>
      <c r="AU387" s="3"/>
      <c r="AV387" s="3"/>
      <c r="BA387" s="3"/>
      <c r="BB387" s="3"/>
      <c r="BE387" s="3"/>
      <c r="BF387" s="19"/>
      <c r="BG387" s="3"/>
      <c r="BN387" s="3"/>
      <c r="BR387" s="3"/>
    </row>
    <row r="388" spans="4:70" ht="14.45" hidden="1">
      <c r="D388" s="3"/>
      <c r="J388" s="3"/>
      <c r="T388" s="3"/>
      <c r="U388" s="3"/>
      <c r="V388" s="3"/>
      <c r="W388" s="3"/>
      <c r="X388" s="3"/>
      <c r="AC388" s="3"/>
      <c r="AD388" s="3"/>
      <c r="AE388" s="3"/>
      <c r="AI388" s="3"/>
      <c r="AJ388" s="3"/>
      <c r="AU388" s="3"/>
      <c r="AV388" s="3"/>
      <c r="BA388" s="3"/>
      <c r="BB388" s="3"/>
      <c r="BE388" s="3"/>
      <c r="BF388" s="19"/>
      <c r="BG388" s="3"/>
      <c r="BN388" s="3"/>
      <c r="BR388" s="3"/>
    </row>
    <row r="389" spans="4:70" ht="14.45" hidden="1">
      <c r="D389" s="3"/>
      <c r="J389" s="3"/>
      <c r="T389" s="3"/>
      <c r="U389" s="3"/>
      <c r="V389" s="3"/>
      <c r="W389" s="3"/>
      <c r="X389" s="3"/>
      <c r="AC389" s="3"/>
      <c r="AD389" s="3"/>
      <c r="AE389" s="3"/>
      <c r="AI389" s="3"/>
      <c r="AJ389" s="3"/>
      <c r="AU389" s="3"/>
      <c r="AV389" s="3"/>
      <c r="BA389" s="3"/>
      <c r="BB389" s="3"/>
      <c r="BE389" s="3"/>
      <c r="BF389" s="19"/>
      <c r="BG389" s="3"/>
      <c r="BN389" s="3"/>
      <c r="BR389" s="3"/>
    </row>
    <row r="390" spans="4:70" ht="14.45" hidden="1">
      <c r="D390" s="3"/>
      <c r="J390" s="3"/>
      <c r="T390" s="3"/>
      <c r="U390" s="3"/>
      <c r="V390" s="3"/>
      <c r="W390" s="3"/>
      <c r="X390" s="3"/>
      <c r="AC390" s="3"/>
      <c r="AD390" s="3"/>
      <c r="AE390" s="3"/>
      <c r="AI390" s="3"/>
      <c r="AJ390" s="3"/>
      <c r="AU390" s="3"/>
      <c r="AV390" s="3"/>
      <c r="BA390" s="3"/>
      <c r="BB390" s="3"/>
      <c r="BE390" s="3"/>
      <c r="BF390" s="19"/>
      <c r="BG390" s="3"/>
      <c r="BN390" s="3"/>
      <c r="BR390" s="3"/>
    </row>
    <row r="391" spans="4:70" ht="14.45" hidden="1">
      <c r="D391" s="3"/>
      <c r="J391" s="3"/>
      <c r="T391" s="3"/>
      <c r="U391" s="3"/>
      <c r="V391" s="3"/>
      <c r="W391" s="3"/>
      <c r="X391" s="3"/>
      <c r="AC391" s="3"/>
      <c r="AD391" s="3"/>
      <c r="AE391" s="3"/>
      <c r="AI391" s="3"/>
      <c r="AJ391" s="3"/>
      <c r="AU391" s="3"/>
      <c r="AV391" s="3"/>
      <c r="BA391" s="3"/>
      <c r="BB391" s="3"/>
      <c r="BE391" s="3"/>
      <c r="BF391" s="19"/>
      <c r="BG391" s="3"/>
      <c r="BN391" s="3"/>
      <c r="BR391" s="3"/>
    </row>
    <row r="392" spans="4:70" ht="14.45" hidden="1">
      <c r="D392" s="3"/>
      <c r="J392" s="3"/>
      <c r="T392" s="3"/>
      <c r="U392" s="3"/>
      <c r="V392" s="3"/>
      <c r="W392" s="3"/>
      <c r="X392" s="3"/>
      <c r="AC392" s="3"/>
      <c r="AD392" s="3"/>
      <c r="AE392" s="3"/>
      <c r="AI392" s="3"/>
      <c r="AJ392" s="3"/>
      <c r="AU392" s="3"/>
      <c r="AV392" s="3"/>
      <c r="BA392" s="3"/>
      <c r="BB392" s="3"/>
      <c r="BE392" s="3"/>
      <c r="BF392" s="19"/>
      <c r="BG392" s="3"/>
      <c r="BN392" s="3"/>
      <c r="BR392" s="3"/>
    </row>
    <row r="393" spans="4:70" ht="14.45" hidden="1">
      <c r="D393" s="3"/>
      <c r="J393" s="3"/>
      <c r="T393" s="3"/>
      <c r="U393" s="3"/>
      <c r="V393" s="3"/>
      <c r="W393" s="3"/>
      <c r="X393" s="3"/>
      <c r="AC393" s="3"/>
      <c r="AD393" s="3"/>
      <c r="AE393" s="3"/>
      <c r="AI393" s="3"/>
      <c r="AJ393" s="3"/>
      <c r="AU393" s="3"/>
      <c r="AV393" s="3"/>
      <c r="BA393" s="3"/>
      <c r="BB393" s="3"/>
      <c r="BE393" s="3"/>
      <c r="BF393" s="19"/>
      <c r="BG393" s="3"/>
      <c r="BN393" s="3"/>
      <c r="BR393" s="3"/>
    </row>
    <row r="394" spans="4:70" ht="14.45" hidden="1">
      <c r="D394" s="3"/>
      <c r="J394" s="3"/>
      <c r="T394" s="3"/>
      <c r="U394" s="3"/>
      <c r="V394" s="3"/>
      <c r="W394" s="3"/>
      <c r="X394" s="3"/>
      <c r="AC394" s="3"/>
      <c r="AD394" s="3"/>
      <c r="AE394" s="3"/>
      <c r="AI394" s="3"/>
      <c r="AJ394" s="3"/>
      <c r="AU394" s="3"/>
      <c r="AV394" s="3"/>
      <c r="BA394" s="3"/>
      <c r="BB394" s="3"/>
      <c r="BE394" s="3"/>
      <c r="BF394" s="19"/>
      <c r="BG394" s="3"/>
      <c r="BN394" s="3"/>
      <c r="BR394" s="3"/>
    </row>
    <row r="395" spans="4:70" ht="14.45" hidden="1">
      <c r="D395" s="3"/>
      <c r="J395" s="3"/>
      <c r="T395" s="3"/>
      <c r="U395" s="3"/>
      <c r="V395" s="3"/>
      <c r="W395" s="3"/>
      <c r="X395" s="3"/>
      <c r="AC395" s="3"/>
      <c r="AD395" s="3"/>
      <c r="AE395" s="3"/>
      <c r="AI395" s="3"/>
      <c r="AJ395" s="3"/>
      <c r="AU395" s="3"/>
      <c r="AV395" s="3"/>
      <c r="BA395" s="3"/>
      <c r="BB395" s="3"/>
      <c r="BE395" s="3"/>
      <c r="BF395" s="19"/>
      <c r="BG395" s="3"/>
      <c r="BN395" s="3"/>
      <c r="BR395" s="3"/>
    </row>
    <row r="396" spans="4:70" ht="14.45" hidden="1">
      <c r="D396" s="3"/>
      <c r="J396" s="3"/>
      <c r="T396" s="3"/>
      <c r="U396" s="3"/>
      <c r="V396" s="3"/>
      <c r="W396" s="3"/>
      <c r="X396" s="3"/>
      <c r="AC396" s="3"/>
      <c r="AD396" s="3"/>
      <c r="AE396" s="3"/>
      <c r="AI396" s="3"/>
      <c r="AJ396" s="3"/>
      <c r="AU396" s="3"/>
      <c r="AV396" s="3"/>
      <c r="BA396" s="3"/>
      <c r="BB396" s="3"/>
      <c r="BE396" s="3"/>
      <c r="BF396" s="19"/>
      <c r="BG396" s="3"/>
      <c r="BN396" s="3"/>
      <c r="BR396" s="3"/>
    </row>
    <row r="397" spans="4:70" ht="14.45" hidden="1">
      <c r="D397" s="3"/>
      <c r="J397" s="3"/>
      <c r="T397" s="3"/>
      <c r="U397" s="3"/>
      <c r="V397" s="3"/>
      <c r="W397" s="3"/>
      <c r="X397" s="3"/>
      <c r="AC397" s="3"/>
      <c r="AD397" s="3"/>
      <c r="AE397" s="3"/>
      <c r="AI397" s="3"/>
      <c r="AJ397" s="3"/>
      <c r="AU397" s="3"/>
      <c r="AV397" s="3"/>
      <c r="BA397" s="3"/>
      <c r="BB397" s="3"/>
      <c r="BE397" s="3"/>
      <c r="BF397" s="19"/>
      <c r="BG397" s="3"/>
      <c r="BN397" s="3"/>
      <c r="BR397" s="3"/>
    </row>
    <row r="398" spans="4:70" ht="14.45" hidden="1">
      <c r="D398" s="3"/>
      <c r="J398" s="3"/>
      <c r="T398" s="3"/>
      <c r="U398" s="3"/>
      <c r="V398" s="3"/>
      <c r="W398" s="3"/>
      <c r="X398" s="3"/>
      <c r="AC398" s="3"/>
      <c r="AD398" s="3"/>
      <c r="AE398" s="3"/>
      <c r="AI398" s="3"/>
      <c r="AJ398" s="3"/>
      <c r="AU398" s="3"/>
      <c r="AV398" s="3"/>
      <c r="BA398" s="3"/>
      <c r="BB398" s="3"/>
      <c r="BE398" s="3"/>
      <c r="BF398" s="19"/>
      <c r="BG398" s="3"/>
      <c r="BN398" s="3"/>
      <c r="BR398" s="3"/>
    </row>
    <row r="399" spans="4:70" ht="14.45" hidden="1">
      <c r="D399" s="3"/>
      <c r="J399" s="3"/>
      <c r="T399" s="3"/>
      <c r="U399" s="3"/>
      <c r="V399" s="3"/>
      <c r="W399" s="3"/>
      <c r="X399" s="3"/>
      <c r="AC399" s="3"/>
      <c r="AD399" s="3"/>
      <c r="AE399" s="3"/>
      <c r="AI399" s="3"/>
      <c r="AJ399" s="3"/>
      <c r="AU399" s="3"/>
      <c r="AV399" s="3"/>
      <c r="BA399" s="3"/>
      <c r="BB399" s="3"/>
      <c r="BE399" s="3"/>
      <c r="BF399" s="19"/>
      <c r="BG399" s="3"/>
      <c r="BN399" s="3"/>
      <c r="BR399" s="3"/>
    </row>
    <row r="400" spans="4:70" ht="14.45" hidden="1">
      <c r="D400" s="3"/>
      <c r="J400" s="3"/>
      <c r="T400" s="3"/>
      <c r="U400" s="3"/>
      <c r="V400" s="3"/>
      <c r="W400" s="3"/>
      <c r="X400" s="3"/>
      <c r="AC400" s="3"/>
      <c r="AD400" s="3"/>
      <c r="AE400" s="3"/>
      <c r="AI400" s="3"/>
      <c r="AJ400" s="3"/>
      <c r="AU400" s="3"/>
      <c r="AV400" s="3"/>
      <c r="BA400" s="3"/>
      <c r="BB400" s="3"/>
      <c r="BE400" s="3"/>
      <c r="BF400" s="19"/>
      <c r="BG400" s="3"/>
      <c r="BN400" s="3"/>
      <c r="BR400" s="3"/>
    </row>
    <row r="401" spans="4:70" ht="14.45" hidden="1">
      <c r="D401" s="3"/>
      <c r="J401" s="3"/>
      <c r="T401" s="3"/>
      <c r="U401" s="3"/>
      <c r="V401" s="3"/>
      <c r="W401" s="3"/>
      <c r="X401" s="3"/>
      <c r="AC401" s="3"/>
      <c r="AD401" s="3"/>
      <c r="AE401" s="3"/>
      <c r="AI401" s="3"/>
      <c r="AJ401" s="3"/>
      <c r="AU401" s="3"/>
      <c r="AV401" s="3"/>
      <c r="BA401" s="3"/>
      <c r="BB401" s="3"/>
      <c r="BE401" s="3"/>
      <c r="BF401" s="19"/>
      <c r="BG401" s="3"/>
      <c r="BN401" s="3"/>
      <c r="BR401" s="3"/>
    </row>
    <row r="402" spans="4:70" ht="14.45" hidden="1">
      <c r="D402" s="3"/>
      <c r="J402" s="3"/>
      <c r="T402" s="3"/>
      <c r="U402" s="3"/>
      <c r="V402" s="3"/>
      <c r="W402" s="3"/>
      <c r="X402" s="3"/>
      <c r="AC402" s="3"/>
      <c r="AD402" s="3"/>
      <c r="AE402" s="3"/>
      <c r="AI402" s="3"/>
      <c r="AJ402" s="3"/>
      <c r="AU402" s="3"/>
      <c r="AV402" s="3"/>
      <c r="BA402" s="3"/>
      <c r="BB402" s="3"/>
      <c r="BE402" s="3"/>
      <c r="BF402" s="19"/>
      <c r="BG402" s="3"/>
      <c r="BN402" s="3"/>
      <c r="BR402" s="3"/>
    </row>
    <row r="403" spans="4:70" ht="14.45" hidden="1">
      <c r="D403" s="3"/>
      <c r="J403" s="3"/>
      <c r="T403" s="3"/>
      <c r="U403" s="3"/>
      <c r="V403" s="3"/>
      <c r="W403" s="3"/>
      <c r="X403" s="3"/>
      <c r="AC403" s="3"/>
      <c r="AD403" s="3"/>
      <c r="AE403" s="3"/>
      <c r="AI403" s="3"/>
      <c r="AJ403" s="3"/>
      <c r="AU403" s="3"/>
      <c r="AV403" s="3"/>
      <c r="BA403" s="3"/>
      <c r="BB403" s="3"/>
      <c r="BE403" s="3"/>
      <c r="BF403" s="19"/>
      <c r="BG403" s="3"/>
      <c r="BN403" s="3"/>
      <c r="BR403" s="3"/>
    </row>
    <row r="404" spans="4:70" ht="14.45" hidden="1">
      <c r="D404" s="3"/>
      <c r="J404" s="3"/>
      <c r="T404" s="3"/>
      <c r="U404" s="3"/>
      <c r="V404" s="3"/>
      <c r="W404" s="3"/>
      <c r="X404" s="3"/>
      <c r="AC404" s="3"/>
      <c r="AD404" s="3"/>
      <c r="AE404" s="3"/>
      <c r="AI404" s="3"/>
      <c r="AJ404" s="3"/>
      <c r="AU404" s="3"/>
      <c r="AV404" s="3"/>
      <c r="BA404" s="3"/>
      <c r="BB404" s="3"/>
      <c r="BE404" s="3"/>
      <c r="BF404" s="19"/>
      <c r="BG404" s="3"/>
      <c r="BN404" s="3"/>
      <c r="BR404" s="3"/>
    </row>
    <row r="405" spans="4:70" ht="14.45" hidden="1">
      <c r="D405" s="3"/>
      <c r="J405" s="3"/>
      <c r="T405" s="3"/>
      <c r="U405" s="3"/>
      <c r="V405" s="3"/>
      <c r="W405" s="3"/>
      <c r="X405" s="3"/>
      <c r="AC405" s="3"/>
      <c r="AD405" s="3"/>
      <c r="AE405" s="3"/>
      <c r="AI405" s="3"/>
      <c r="AJ405" s="3"/>
      <c r="AU405" s="3"/>
      <c r="AV405" s="3"/>
      <c r="BA405" s="3"/>
      <c r="BB405" s="3"/>
      <c r="BE405" s="3"/>
      <c r="BF405" s="19"/>
      <c r="BG405" s="3"/>
      <c r="BN405" s="3"/>
      <c r="BR405" s="3"/>
    </row>
    <row r="406" spans="4:70" ht="14.45" hidden="1">
      <c r="D406" s="3"/>
      <c r="J406" s="3"/>
      <c r="T406" s="3"/>
      <c r="U406" s="3"/>
      <c r="V406" s="3"/>
      <c r="W406" s="3"/>
      <c r="X406" s="3"/>
      <c r="AC406" s="3"/>
      <c r="AD406" s="3"/>
      <c r="AE406" s="3"/>
      <c r="AI406" s="3"/>
      <c r="AJ406" s="3"/>
      <c r="AU406" s="3"/>
      <c r="AV406" s="3"/>
      <c r="BA406" s="3"/>
      <c r="BB406" s="3"/>
      <c r="BE406" s="3"/>
      <c r="BF406" s="19"/>
      <c r="BG406" s="3"/>
      <c r="BN406" s="3"/>
      <c r="BR406" s="3"/>
    </row>
    <row r="407" spans="4:70" ht="14.45" hidden="1">
      <c r="D407" s="3"/>
      <c r="J407" s="3"/>
      <c r="T407" s="3"/>
      <c r="U407" s="3"/>
      <c r="V407" s="3"/>
      <c r="W407" s="3"/>
      <c r="X407" s="3"/>
      <c r="AC407" s="3"/>
      <c r="AD407" s="3"/>
      <c r="AE407" s="3"/>
      <c r="AI407" s="3"/>
      <c r="AJ407" s="3"/>
      <c r="AU407" s="3"/>
      <c r="AV407" s="3"/>
      <c r="BA407" s="3"/>
      <c r="BB407" s="3"/>
      <c r="BE407" s="3"/>
      <c r="BF407" s="19"/>
      <c r="BG407" s="3"/>
      <c r="BN407" s="3"/>
      <c r="BR407" s="3"/>
    </row>
    <row r="408" spans="4:70" ht="14.45" hidden="1">
      <c r="D408" s="3"/>
      <c r="J408" s="3"/>
      <c r="T408" s="3"/>
      <c r="U408" s="3"/>
      <c r="V408" s="3"/>
      <c r="W408" s="3"/>
      <c r="X408" s="3"/>
      <c r="AC408" s="3"/>
      <c r="AD408" s="3"/>
      <c r="AE408" s="3"/>
      <c r="AI408" s="3"/>
      <c r="AJ408" s="3"/>
      <c r="AU408" s="3"/>
      <c r="AV408" s="3"/>
      <c r="BA408" s="3"/>
      <c r="BB408" s="3"/>
      <c r="BE408" s="3"/>
      <c r="BF408" s="19"/>
      <c r="BG408" s="3"/>
      <c r="BN408" s="3"/>
      <c r="BR408" s="3"/>
    </row>
    <row r="409" spans="4:70" ht="14.45" hidden="1">
      <c r="D409" s="3"/>
      <c r="J409" s="3"/>
      <c r="T409" s="3"/>
      <c r="U409" s="3"/>
      <c r="V409" s="3"/>
      <c r="W409" s="3"/>
      <c r="X409" s="3"/>
      <c r="AC409" s="3"/>
      <c r="AD409" s="3"/>
      <c r="AE409" s="3"/>
      <c r="AI409" s="3"/>
      <c r="AJ409" s="3"/>
      <c r="AU409" s="3"/>
      <c r="AV409" s="3"/>
      <c r="BA409" s="3"/>
      <c r="BB409" s="3"/>
      <c r="BE409" s="3"/>
      <c r="BF409" s="19"/>
      <c r="BG409" s="3"/>
      <c r="BN409" s="3"/>
      <c r="BR409" s="3"/>
    </row>
    <row r="410" spans="4:70" ht="14.45" hidden="1">
      <c r="D410" s="3"/>
      <c r="J410" s="3"/>
      <c r="T410" s="3"/>
      <c r="U410" s="3"/>
      <c r="V410" s="3"/>
      <c r="W410" s="3"/>
      <c r="X410" s="3"/>
      <c r="AC410" s="3"/>
      <c r="AD410" s="3"/>
      <c r="AE410" s="3"/>
      <c r="AI410" s="3"/>
      <c r="AJ410" s="3"/>
      <c r="AU410" s="3"/>
      <c r="AV410" s="3"/>
      <c r="BA410" s="3"/>
      <c r="BB410" s="3"/>
      <c r="BE410" s="3"/>
      <c r="BF410" s="19"/>
      <c r="BG410" s="3"/>
      <c r="BN410" s="3"/>
      <c r="BR410" s="3"/>
    </row>
    <row r="411" spans="4:70" ht="14.45" hidden="1">
      <c r="D411" s="3"/>
      <c r="J411" s="3"/>
      <c r="T411" s="3"/>
      <c r="U411" s="3"/>
      <c r="V411" s="3"/>
      <c r="W411" s="3"/>
      <c r="X411" s="3"/>
      <c r="AC411" s="3"/>
      <c r="AD411" s="3"/>
      <c r="AE411" s="3"/>
      <c r="AI411" s="3"/>
      <c r="AJ411" s="3"/>
      <c r="AU411" s="3"/>
      <c r="AV411" s="3"/>
      <c r="BA411" s="3"/>
      <c r="BB411" s="3"/>
      <c r="BE411" s="3"/>
      <c r="BF411" s="19"/>
      <c r="BG411" s="3"/>
      <c r="BN411" s="3"/>
      <c r="BR411" s="3"/>
    </row>
    <row r="412" spans="4:70" ht="14.45" hidden="1">
      <c r="D412" s="3"/>
      <c r="J412" s="3"/>
      <c r="T412" s="3"/>
      <c r="U412" s="3"/>
      <c r="V412" s="3"/>
      <c r="W412" s="3"/>
      <c r="X412" s="3"/>
      <c r="AC412" s="3"/>
      <c r="AD412" s="3"/>
      <c r="AE412" s="3"/>
      <c r="AI412" s="3"/>
      <c r="AJ412" s="3"/>
      <c r="AU412" s="3"/>
      <c r="AV412" s="3"/>
      <c r="BA412" s="3"/>
      <c r="BB412" s="3"/>
      <c r="BE412" s="3"/>
      <c r="BF412" s="19"/>
      <c r="BG412" s="3"/>
      <c r="BN412" s="3"/>
      <c r="BR412" s="3"/>
    </row>
    <row r="413" spans="4:70" ht="14.45" hidden="1">
      <c r="D413" s="3"/>
      <c r="J413" s="3"/>
      <c r="T413" s="3"/>
      <c r="U413" s="3"/>
      <c r="V413" s="3"/>
      <c r="W413" s="3"/>
      <c r="X413" s="3"/>
      <c r="AC413" s="3"/>
      <c r="AD413" s="3"/>
      <c r="AE413" s="3"/>
      <c r="AI413" s="3"/>
      <c r="AJ413" s="3"/>
      <c r="AU413" s="3"/>
      <c r="AV413" s="3"/>
      <c r="BA413" s="3"/>
      <c r="BB413" s="3"/>
      <c r="BE413" s="3"/>
      <c r="BF413" s="19"/>
      <c r="BG413" s="3"/>
      <c r="BN413" s="3"/>
      <c r="BR413" s="3"/>
    </row>
    <row r="414" spans="4:70" ht="14.45" hidden="1">
      <c r="D414" s="3"/>
      <c r="J414" s="3"/>
      <c r="T414" s="3"/>
      <c r="U414" s="3"/>
      <c r="V414" s="3"/>
      <c r="W414" s="3"/>
      <c r="X414" s="3"/>
      <c r="AC414" s="3"/>
      <c r="AD414" s="3"/>
      <c r="AE414" s="3"/>
      <c r="AI414" s="3"/>
      <c r="AJ414" s="3"/>
      <c r="AU414" s="3"/>
      <c r="AV414" s="3"/>
      <c r="BA414" s="3"/>
      <c r="BB414" s="3"/>
      <c r="BE414" s="3"/>
      <c r="BF414" s="19"/>
      <c r="BG414" s="3"/>
      <c r="BN414" s="3"/>
      <c r="BR414" s="3"/>
    </row>
    <row r="415" spans="4:70" ht="14.45" hidden="1">
      <c r="D415" s="3"/>
      <c r="J415" s="3"/>
      <c r="T415" s="3"/>
      <c r="U415" s="3"/>
      <c r="V415" s="3"/>
      <c r="W415" s="3"/>
      <c r="X415" s="3"/>
      <c r="AC415" s="3"/>
      <c r="AD415" s="3"/>
      <c r="AE415" s="3"/>
      <c r="AI415" s="3"/>
      <c r="AJ415" s="3"/>
      <c r="AU415" s="3"/>
      <c r="AV415" s="3"/>
      <c r="BA415" s="3"/>
      <c r="BB415" s="3"/>
      <c r="BE415" s="3"/>
      <c r="BF415" s="19"/>
      <c r="BG415" s="3"/>
      <c r="BN415" s="3"/>
      <c r="BR415" s="3"/>
    </row>
    <row r="416" spans="4:70" ht="14.45" hidden="1">
      <c r="D416" s="3"/>
      <c r="J416" s="3"/>
      <c r="T416" s="3"/>
      <c r="U416" s="3"/>
      <c r="V416" s="3"/>
      <c r="W416" s="3"/>
      <c r="X416" s="3"/>
      <c r="AC416" s="3"/>
      <c r="AD416" s="3"/>
      <c r="AE416" s="3"/>
      <c r="AI416" s="3"/>
      <c r="AJ416" s="3"/>
      <c r="AU416" s="3"/>
      <c r="AV416" s="3"/>
      <c r="BA416" s="3"/>
      <c r="BB416" s="3"/>
      <c r="BE416" s="3"/>
      <c r="BF416" s="19"/>
      <c r="BG416" s="3"/>
      <c r="BN416" s="3"/>
      <c r="BR416" s="3"/>
    </row>
    <row r="417" spans="4:70" ht="14.45" hidden="1">
      <c r="D417" s="3"/>
      <c r="J417" s="3"/>
      <c r="T417" s="3"/>
      <c r="U417" s="3"/>
      <c r="V417" s="3"/>
      <c r="W417" s="3"/>
      <c r="X417" s="3"/>
      <c r="AC417" s="3"/>
      <c r="AD417" s="3"/>
      <c r="AE417" s="3"/>
      <c r="AI417" s="3"/>
      <c r="AJ417" s="3"/>
      <c r="AU417" s="3"/>
      <c r="AV417" s="3"/>
      <c r="BA417" s="3"/>
      <c r="BB417" s="3"/>
      <c r="BE417" s="3"/>
      <c r="BF417" s="19"/>
      <c r="BG417" s="3"/>
      <c r="BN417" s="3"/>
      <c r="BR417" s="3"/>
    </row>
    <row r="418" spans="4:70" ht="14.45" hidden="1">
      <c r="D418" s="3"/>
      <c r="J418" s="3"/>
      <c r="T418" s="3"/>
      <c r="U418" s="3"/>
      <c r="V418" s="3"/>
      <c r="W418" s="3"/>
      <c r="X418" s="3"/>
      <c r="AC418" s="3"/>
      <c r="AD418" s="3"/>
      <c r="AE418" s="3"/>
      <c r="AI418" s="3"/>
      <c r="AJ418" s="3"/>
      <c r="AU418" s="3"/>
      <c r="AV418" s="3"/>
      <c r="BA418" s="3"/>
      <c r="BB418" s="3"/>
      <c r="BE418" s="3"/>
      <c r="BF418" s="19"/>
      <c r="BG418" s="3"/>
      <c r="BN418" s="3"/>
      <c r="BR418" s="3"/>
    </row>
    <row r="419" spans="4:70" ht="14.45" hidden="1">
      <c r="D419" s="3"/>
      <c r="J419" s="3"/>
      <c r="T419" s="3"/>
      <c r="U419" s="3"/>
      <c r="V419" s="3"/>
      <c r="W419" s="3"/>
      <c r="X419" s="3"/>
      <c r="AC419" s="3"/>
      <c r="AD419" s="3"/>
      <c r="AE419" s="3"/>
      <c r="AI419" s="3"/>
      <c r="AJ419" s="3"/>
      <c r="AU419" s="3"/>
      <c r="AV419" s="3"/>
      <c r="BA419" s="3"/>
      <c r="BB419" s="3"/>
      <c r="BE419" s="3"/>
      <c r="BF419" s="19"/>
      <c r="BG419" s="3"/>
      <c r="BN419" s="3"/>
      <c r="BR419" s="3"/>
    </row>
    <row r="420" spans="4:70" ht="14.45" hidden="1">
      <c r="D420" s="3"/>
      <c r="J420" s="3"/>
      <c r="T420" s="3"/>
      <c r="U420" s="3"/>
      <c r="V420" s="3"/>
      <c r="W420" s="3"/>
      <c r="X420" s="3"/>
      <c r="AC420" s="3"/>
      <c r="AD420" s="3"/>
      <c r="AE420" s="3"/>
      <c r="AI420" s="3"/>
      <c r="AJ420" s="3"/>
      <c r="AU420" s="3"/>
      <c r="AV420" s="3"/>
      <c r="BA420" s="3"/>
      <c r="BB420" s="3"/>
      <c r="BE420" s="3"/>
      <c r="BF420" s="19"/>
      <c r="BG420" s="3"/>
      <c r="BN420" s="3"/>
      <c r="BR420" s="3"/>
    </row>
    <row r="421" spans="4:70" ht="14.45" hidden="1">
      <c r="D421" s="3"/>
      <c r="J421" s="3"/>
      <c r="T421" s="3"/>
      <c r="U421" s="3"/>
      <c r="V421" s="3"/>
      <c r="W421" s="3"/>
      <c r="X421" s="3"/>
      <c r="AC421" s="3"/>
      <c r="AD421" s="3"/>
      <c r="AE421" s="3"/>
      <c r="AI421" s="3"/>
      <c r="AJ421" s="3"/>
      <c r="AU421" s="3"/>
      <c r="AV421" s="3"/>
      <c r="BA421" s="3"/>
      <c r="BB421" s="3"/>
      <c r="BE421" s="3"/>
      <c r="BF421" s="19"/>
      <c r="BG421" s="3"/>
      <c r="BN421" s="3"/>
      <c r="BR421" s="3"/>
    </row>
    <row r="422" spans="4:70" ht="14.45" hidden="1">
      <c r="D422" s="3"/>
      <c r="J422" s="3"/>
      <c r="T422" s="3"/>
      <c r="U422" s="3"/>
      <c r="V422" s="3"/>
      <c r="W422" s="3"/>
      <c r="X422" s="3"/>
      <c r="AC422" s="3"/>
      <c r="AD422" s="3"/>
      <c r="AE422" s="3"/>
      <c r="AI422" s="3"/>
      <c r="AJ422" s="3"/>
      <c r="AU422" s="3"/>
      <c r="AV422" s="3"/>
      <c r="BA422" s="3"/>
      <c r="BB422" s="3"/>
      <c r="BE422" s="3"/>
      <c r="BF422" s="19"/>
      <c r="BG422" s="3"/>
      <c r="BN422" s="3"/>
      <c r="BR422" s="3"/>
    </row>
    <row r="423" spans="4:70" ht="14.45" hidden="1">
      <c r="D423" s="3"/>
      <c r="J423" s="3"/>
      <c r="T423" s="3"/>
      <c r="U423" s="3"/>
      <c r="V423" s="3"/>
      <c r="W423" s="3"/>
      <c r="X423" s="3"/>
      <c r="AC423" s="3"/>
      <c r="AD423" s="3"/>
      <c r="AE423" s="3"/>
      <c r="AI423" s="3"/>
      <c r="AJ423" s="3"/>
      <c r="AU423" s="3"/>
      <c r="AV423" s="3"/>
      <c r="BA423" s="3"/>
      <c r="BB423" s="3"/>
      <c r="BE423" s="3"/>
      <c r="BF423" s="19"/>
      <c r="BG423" s="3"/>
      <c r="BN423" s="3"/>
      <c r="BR423" s="3"/>
    </row>
    <row r="424" spans="4:70" ht="14.45" hidden="1">
      <c r="D424" s="3"/>
      <c r="J424" s="3"/>
      <c r="T424" s="3"/>
      <c r="U424" s="3"/>
      <c r="V424" s="3"/>
      <c r="W424" s="3"/>
      <c r="X424" s="3"/>
      <c r="AC424" s="3"/>
      <c r="AD424" s="3"/>
      <c r="AE424" s="3"/>
      <c r="AI424" s="3"/>
      <c r="AJ424" s="3"/>
      <c r="AU424" s="3"/>
      <c r="AV424" s="3"/>
      <c r="BA424" s="3"/>
      <c r="BB424" s="3"/>
      <c r="BE424" s="3"/>
      <c r="BF424" s="19"/>
      <c r="BG424" s="3"/>
      <c r="BN424" s="3"/>
      <c r="BR424" s="3"/>
    </row>
    <row r="425" spans="4:70" ht="14.45" hidden="1">
      <c r="D425" s="3"/>
      <c r="J425" s="3"/>
      <c r="T425" s="3"/>
      <c r="U425" s="3"/>
      <c r="V425" s="3"/>
      <c r="W425" s="3"/>
      <c r="X425" s="3"/>
      <c r="AC425" s="3"/>
      <c r="AD425" s="3"/>
      <c r="AE425" s="3"/>
      <c r="AI425" s="3"/>
      <c r="AJ425" s="3"/>
      <c r="AU425" s="3"/>
      <c r="AV425" s="3"/>
      <c r="BA425" s="3"/>
      <c r="BB425" s="3"/>
      <c r="BE425" s="3"/>
      <c r="BF425" s="19"/>
      <c r="BG425" s="3"/>
      <c r="BN425" s="3"/>
      <c r="BR425" s="3"/>
    </row>
    <row r="426" spans="4:70" ht="14.45" hidden="1">
      <c r="D426" s="3"/>
      <c r="J426" s="3"/>
      <c r="T426" s="3"/>
      <c r="U426" s="3"/>
      <c r="V426" s="3"/>
      <c r="W426" s="3"/>
      <c r="X426" s="3"/>
      <c r="AC426" s="3"/>
      <c r="AD426" s="3"/>
      <c r="AE426" s="3"/>
      <c r="AI426" s="3"/>
      <c r="AJ426" s="3"/>
      <c r="AU426" s="3"/>
      <c r="AV426" s="3"/>
      <c r="BA426" s="3"/>
      <c r="BB426" s="3"/>
      <c r="BE426" s="3"/>
      <c r="BF426" s="19"/>
      <c r="BG426" s="3"/>
      <c r="BN426" s="3"/>
      <c r="BR426" s="3"/>
    </row>
    <row r="427" spans="4:70" ht="14.45" hidden="1">
      <c r="D427" s="3"/>
      <c r="J427" s="3"/>
      <c r="T427" s="3"/>
      <c r="U427" s="3"/>
      <c r="V427" s="3"/>
      <c r="W427" s="3"/>
      <c r="X427" s="3"/>
      <c r="AC427" s="3"/>
      <c r="AD427" s="3"/>
      <c r="AE427" s="3"/>
      <c r="AI427" s="3"/>
      <c r="AJ427" s="3"/>
      <c r="AU427" s="3"/>
      <c r="AV427" s="3"/>
      <c r="BA427" s="3"/>
      <c r="BB427" s="3"/>
      <c r="BE427" s="3"/>
      <c r="BF427" s="19"/>
      <c r="BG427" s="3"/>
      <c r="BN427" s="3"/>
      <c r="BR427" s="3"/>
    </row>
    <row r="428" spans="4:70" ht="14.45" hidden="1">
      <c r="D428" s="3"/>
      <c r="J428" s="3"/>
      <c r="T428" s="3"/>
      <c r="U428" s="3"/>
      <c r="V428" s="3"/>
      <c r="W428" s="3"/>
      <c r="X428" s="3"/>
      <c r="AC428" s="3"/>
      <c r="AD428" s="3"/>
      <c r="AE428" s="3"/>
      <c r="AI428" s="3"/>
      <c r="AJ428" s="3"/>
      <c r="AU428" s="3"/>
      <c r="AV428" s="3"/>
      <c r="BA428" s="3"/>
      <c r="BB428" s="3"/>
      <c r="BE428" s="3"/>
      <c r="BF428" s="19"/>
      <c r="BG428" s="3"/>
      <c r="BN428" s="3"/>
      <c r="BR428" s="3"/>
    </row>
    <row r="429" spans="4:70" ht="14.45" hidden="1">
      <c r="D429" s="3"/>
      <c r="J429" s="3"/>
      <c r="T429" s="3"/>
      <c r="U429" s="3"/>
      <c r="V429" s="3"/>
      <c r="W429" s="3"/>
      <c r="X429" s="3"/>
      <c r="AC429" s="3"/>
      <c r="AD429" s="3"/>
      <c r="AE429" s="3"/>
      <c r="AI429" s="3"/>
      <c r="AJ429" s="3"/>
      <c r="AU429" s="3"/>
      <c r="AV429" s="3"/>
      <c r="BA429" s="3"/>
      <c r="BB429" s="3"/>
      <c r="BE429" s="3"/>
      <c r="BF429" s="19"/>
      <c r="BG429" s="3"/>
      <c r="BN429" s="3"/>
      <c r="BR429" s="3"/>
    </row>
    <row r="430" spans="4:70" ht="14.45" hidden="1">
      <c r="D430" s="3"/>
      <c r="J430" s="3"/>
      <c r="T430" s="3"/>
      <c r="U430" s="3"/>
      <c r="V430" s="3"/>
      <c r="W430" s="3"/>
      <c r="X430" s="3"/>
      <c r="AC430" s="3"/>
      <c r="AD430" s="3"/>
      <c r="AE430" s="3"/>
      <c r="AI430" s="3"/>
      <c r="AJ430" s="3"/>
      <c r="AU430" s="3"/>
      <c r="AV430" s="3"/>
      <c r="BA430" s="3"/>
      <c r="BB430" s="3"/>
      <c r="BE430" s="3"/>
      <c r="BF430" s="19"/>
      <c r="BG430" s="3"/>
      <c r="BN430" s="3"/>
      <c r="BR430" s="3"/>
    </row>
    <row r="431" spans="4:70" ht="14.45" hidden="1">
      <c r="D431" s="3"/>
      <c r="J431" s="3"/>
      <c r="T431" s="3"/>
      <c r="U431" s="3"/>
      <c r="V431" s="3"/>
      <c r="W431" s="3"/>
      <c r="X431" s="3"/>
      <c r="AC431" s="3"/>
      <c r="AD431" s="3"/>
      <c r="AE431" s="3"/>
      <c r="AI431" s="3"/>
      <c r="AJ431" s="3"/>
      <c r="AU431" s="3"/>
      <c r="AV431" s="3"/>
      <c r="BA431" s="3"/>
      <c r="BB431" s="3"/>
      <c r="BE431" s="3"/>
      <c r="BF431" s="19"/>
      <c r="BG431" s="3"/>
      <c r="BN431" s="3"/>
      <c r="BR431" s="3"/>
    </row>
    <row r="432" spans="4:70" ht="14.45" hidden="1">
      <c r="D432" s="3"/>
      <c r="J432" s="3"/>
      <c r="T432" s="3"/>
      <c r="U432" s="3"/>
      <c r="V432" s="3"/>
      <c r="W432" s="3"/>
      <c r="X432" s="3"/>
      <c r="AC432" s="3"/>
      <c r="AD432" s="3"/>
      <c r="AE432" s="3"/>
      <c r="AI432" s="3"/>
      <c r="AJ432" s="3"/>
      <c r="AU432" s="3"/>
      <c r="AV432" s="3"/>
      <c r="BA432" s="3"/>
      <c r="BB432" s="3"/>
      <c r="BE432" s="3"/>
      <c r="BF432" s="19"/>
      <c r="BG432" s="3"/>
      <c r="BN432" s="3"/>
      <c r="BR432" s="3"/>
    </row>
    <row r="433" spans="4:70" ht="14.45" hidden="1">
      <c r="D433" s="3"/>
      <c r="J433" s="3"/>
      <c r="T433" s="3"/>
      <c r="U433" s="3"/>
      <c r="V433" s="3"/>
      <c r="W433" s="3"/>
      <c r="X433" s="3"/>
      <c r="AC433" s="3"/>
      <c r="AD433" s="3"/>
      <c r="AE433" s="3"/>
      <c r="AI433" s="3"/>
      <c r="AJ433" s="3"/>
      <c r="AU433" s="3"/>
      <c r="AV433" s="3"/>
      <c r="BA433" s="3"/>
      <c r="BB433" s="3"/>
      <c r="BE433" s="3"/>
      <c r="BF433" s="19"/>
      <c r="BG433" s="3"/>
      <c r="BN433" s="3"/>
      <c r="BR433" s="3"/>
    </row>
    <row r="434" spans="4:70" ht="14.45" hidden="1">
      <c r="D434" s="3"/>
      <c r="J434" s="3"/>
      <c r="T434" s="3"/>
      <c r="U434" s="3"/>
      <c r="V434" s="3"/>
      <c r="W434" s="3"/>
      <c r="X434" s="3"/>
      <c r="AC434" s="3"/>
      <c r="AD434" s="3"/>
      <c r="AE434" s="3"/>
      <c r="AI434" s="3"/>
      <c r="AJ434" s="3"/>
      <c r="AU434" s="3"/>
      <c r="AV434" s="3"/>
      <c r="BA434" s="3"/>
      <c r="BB434" s="3"/>
      <c r="BE434" s="3"/>
      <c r="BF434" s="19"/>
      <c r="BG434" s="3"/>
      <c r="BN434" s="3"/>
      <c r="BR434" s="3"/>
    </row>
    <row r="435" spans="4:70" ht="14.45" hidden="1">
      <c r="D435" s="3"/>
      <c r="J435" s="3"/>
      <c r="T435" s="3"/>
      <c r="U435" s="3"/>
      <c r="V435" s="3"/>
      <c r="W435" s="3"/>
      <c r="X435" s="3"/>
      <c r="AC435" s="3"/>
      <c r="AD435" s="3"/>
      <c r="AE435" s="3"/>
      <c r="AI435" s="3"/>
      <c r="AJ435" s="3"/>
      <c r="AU435" s="3"/>
      <c r="AV435" s="3"/>
      <c r="BA435" s="3"/>
      <c r="BB435" s="3"/>
      <c r="BE435" s="3"/>
      <c r="BF435" s="19"/>
      <c r="BG435" s="3"/>
      <c r="BN435" s="3"/>
      <c r="BR435" s="3"/>
    </row>
    <row r="436" spans="4:70" ht="14.45" hidden="1">
      <c r="D436" s="3"/>
      <c r="J436" s="3"/>
      <c r="T436" s="3"/>
      <c r="U436" s="3"/>
      <c r="V436" s="3"/>
      <c r="W436" s="3"/>
      <c r="X436" s="3"/>
      <c r="AC436" s="3"/>
      <c r="AD436" s="3"/>
      <c r="AE436" s="3"/>
      <c r="AI436" s="3"/>
      <c r="AJ436" s="3"/>
      <c r="AU436" s="3"/>
      <c r="AV436" s="3"/>
      <c r="BA436" s="3"/>
      <c r="BB436" s="3"/>
      <c r="BE436" s="3"/>
      <c r="BF436" s="19"/>
      <c r="BG436" s="3"/>
      <c r="BN436" s="3"/>
      <c r="BR436" s="3"/>
    </row>
    <row r="437" spans="4:70" ht="14.45" hidden="1">
      <c r="D437" s="3"/>
      <c r="J437" s="3"/>
      <c r="T437" s="3"/>
      <c r="U437" s="3"/>
      <c r="V437" s="3"/>
      <c r="W437" s="3"/>
      <c r="X437" s="3"/>
      <c r="AC437" s="3"/>
      <c r="AD437" s="3"/>
      <c r="AE437" s="3"/>
      <c r="AI437" s="3"/>
      <c r="AJ437" s="3"/>
      <c r="AU437" s="3"/>
      <c r="AV437" s="3"/>
      <c r="BA437" s="3"/>
      <c r="BB437" s="3"/>
      <c r="BE437" s="3"/>
      <c r="BF437" s="19"/>
      <c r="BG437" s="3"/>
      <c r="BN437" s="3"/>
      <c r="BR437" s="3"/>
    </row>
    <row r="438" spans="4:70" ht="14.45" hidden="1">
      <c r="D438" s="3"/>
      <c r="J438" s="3"/>
      <c r="T438" s="3"/>
      <c r="U438" s="3"/>
      <c r="V438" s="3"/>
      <c r="W438" s="3"/>
      <c r="X438" s="3"/>
      <c r="AC438" s="3"/>
      <c r="AD438" s="3"/>
      <c r="AE438" s="3"/>
      <c r="AI438" s="3"/>
      <c r="AJ438" s="3"/>
      <c r="AU438" s="3"/>
      <c r="AV438" s="3"/>
      <c r="BA438" s="3"/>
      <c r="BB438" s="3"/>
      <c r="BE438" s="3"/>
      <c r="BF438" s="19"/>
      <c r="BG438" s="3"/>
      <c r="BN438" s="3"/>
      <c r="BR438" s="3"/>
    </row>
    <row r="439" spans="4:70" ht="14.45" hidden="1">
      <c r="D439" s="3"/>
      <c r="J439" s="3"/>
      <c r="T439" s="3"/>
      <c r="U439" s="3"/>
      <c r="V439" s="3"/>
      <c r="W439" s="3"/>
      <c r="X439" s="3"/>
      <c r="AC439" s="3"/>
      <c r="AD439" s="3"/>
      <c r="AE439" s="3"/>
      <c r="AI439" s="3"/>
      <c r="AJ439" s="3"/>
      <c r="AU439" s="3"/>
      <c r="AV439" s="3"/>
      <c r="BA439" s="3"/>
      <c r="BB439" s="3"/>
      <c r="BE439" s="3"/>
      <c r="BF439" s="19"/>
      <c r="BG439" s="3"/>
      <c r="BN439" s="3"/>
      <c r="BR439" s="3"/>
    </row>
    <row r="440" spans="4:70" ht="14.45" hidden="1">
      <c r="D440" s="3"/>
      <c r="J440" s="3"/>
      <c r="T440" s="3"/>
      <c r="U440" s="3"/>
      <c r="V440" s="3"/>
      <c r="W440" s="3"/>
      <c r="X440" s="3"/>
      <c r="AC440" s="3"/>
      <c r="AD440" s="3"/>
      <c r="AE440" s="3"/>
      <c r="AI440" s="3"/>
      <c r="AJ440" s="3"/>
      <c r="AU440" s="3"/>
      <c r="AV440" s="3"/>
      <c r="BA440" s="3"/>
      <c r="BB440" s="3"/>
      <c r="BE440" s="3"/>
      <c r="BF440" s="19"/>
      <c r="BG440" s="3"/>
      <c r="BN440" s="3"/>
      <c r="BR440" s="3"/>
    </row>
    <row r="441" spans="4:70" ht="14.45" hidden="1">
      <c r="D441" s="3"/>
      <c r="J441" s="3"/>
      <c r="T441" s="3"/>
      <c r="U441" s="3"/>
      <c r="V441" s="3"/>
      <c r="W441" s="3"/>
      <c r="X441" s="3"/>
      <c r="AC441" s="3"/>
      <c r="AD441" s="3"/>
      <c r="AE441" s="3"/>
      <c r="AI441" s="3"/>
      <c r="AJ441" s="3"/>
      <c r="AU441" s="3"/>
      <c r="AV441" s="3"/>
      <c r="BA441" s="3"/>
      <c r="BB441" s="3"/>
      <c r="BE441" s="3"/>
      <c r="BF441" s="19"/>
      <c r="BG441" s="3"/>
      <c r="BN441" s="3"/>
      <c r="BR441" s="3"/>
    </row>
    <row r="442" spans="4:70" ht="14.45" hidden="1">
      <c r="D442" s="3"/>
      <c r="J442" s="3"/>
      <c r="T442" s="3"/>
      <c r="U442" s="3"/>
      <c r="V442" s="3"/>
      <c r="W442" s="3"/>
      <c r="X442" s="3"/>
      <c r="AC442" s="3"/>
      <c r="AD442" s="3"/>
      <c r="AE442" s="3"/>
      <c r="AI442" s="3"/>
      <c r="AJ442" s="3"/>
      <c r="AU442" s="3"/>
      <c r="AV442" s="3"/>
      <c r="BA442" s="3"/>
      <c r="BB442" s="3"/>
      <c r="BE442" s="3"/>
      <c r="BF442" s="19"/>
      <c r="BG442" s="3"/>
      <c r="BN442" s="3"/>
      <c r="BR442" s="3"/>
    </row>
    <row r="443" spans="4:70" ht="14.45" hidden="1">
      <c r="D443" s="3"/>
      <c r="J443" s="3"/>
      <c r="T443" s="3"/>
      <c r="U443" s="3"/>
      <c r="V443" s="3"/>
      <c r="W443" s="3"/>
      <c r="X443" s="3"/>
      <c r="AC443" s="3"/>
      <c r="AD443" s="3"/>
      <c r="AE443" s="3"/>
      <c r="AI443" s="3"/>
      <c r="AJ443" s="3"/>
      <c r="AU443" s="3"/>
      <c r="AV443" s="3"/>
      <c r="BA443" s="3"/>
      <c r="BB443" s="3"/>
      <c r="BE443" s="3"/>
      <c r="BF443" s="19"/>
      <c r="BG443" s="3"/>
      <c r="BN443" s="3"/>
      <c r="BR443" s="3"/>
    </row>
    <row r="444" spans="4:70" ht="14.45" hidden="1">
      <c r="D444" s="3"/>
      <c r="J444" s="3"/>
      <c r="T444" s="3"/>
      <c r="U444" s="3"/>
      <c r="V444" s="3"/>
      <c r="W444" s="3"/>
      <c r="X444" s="3"/>
      <c r="AC444" s="3"/>
      <c r="AD444" s="3"/>
      <c r="AE444" s="3"/>
      <c r="AI444" s="3"/>
      <c r="AJ444" s="3"/>
      <c r="AU444" s="3"/>
      <c r="AV444" s="3"/>
      <c r="BA444" s="3"/>
      <c r="BB444" s="3"/>
      <c r="BE444" s="3"/>
      <c r="BF444" s="19"/>
      <c r="BG444" s="3"/>
      <c r="BN444" s="3"/>
      <c r="BR444" s="3"/>
    </row>
    <row r="445" spans="4:70" ht="14.45" hidden="1">
      <c r="D445" s="3"/>
      <c r="J445" s="3"/>
      <c r="T445" s="3"/>
      <c r="U445" s="3"/>
      <c r="V445" s="3"/>
      <c r="W445" s="3"/>
      <c r="X445" s="3"/>
      <c r="AC445" s="3"/>
      <c r="AD445" s="3"/>
      <c r="AE445" s="3"/>
      <c r="AI445" s="3"/>
      <c r="AJ445" s="3"/>
      <c r="AU445" s="3"/>
      <c r="AV445" s="3"/>
      <c r="BA445" s="3"/>
      <c r="BB445" s="3"/>
      <c r="BE445" s="3"/>
      <c r="BF445" s="19"/>
      <c r="BG445" s="3"/>
      <c r="BN445" s="3"/>
      <c r="BR445" s="3"/>
    </row>
    <row r="446" spans="4:70" ht="14.45" hidden="1">
      <c r="D446" s="3"/>
      <c r="J446" s="3"/>
      <c r="T446" s="3"/>
      <c r="U446" s="3"/>
      <c r="V446" s="3"/>
      <c r="W446" s="3"/>
      <c r="X446" s="3"/>
      <c r="AC446" s="3"/>
      <c r="AD446" s="3"/>
      <c r="AE446" s="3"/>
      <c r="AI446" s="3"/>
      <c r="AJ446" s="3"/>
      <c r="AU446" s="3"/>
      <c r="AV446" s="3"/>
      <c r="BA446" s="3"/>
      <c r="BB446" s="3"/>
      <c r="BE446" s="3"/>
      <c r="BF446" s="19"/>
      <c r="BG446" s="3"/>
      <c r="BN446" s="3"/>
      <c r="BR446" s="3"/>
    </row>
    <row r="447" spans="4:70" ht="14.45" hidden="1">
      <c r="D447" s="3"/>
      <c r="J447" s="3"/>
      <c r="T447" s="3"/>
      <c r="U447" s="3"/>
      <c r="V447" s="3"/>
      <c r="W447" s="3"/>
      <c r="X447" s="3"/>
      <c r="AC447" s="3"/>
      <c r="AD447" s="3"/>
      <c r="AE447" s="3"/>
      <c r="AI447" s="3"/>
      <c r="AJ447" s="3"/>
      <c r="AU447" s="3"/>
      <c r="AV447" s="3"/>
      <c r="BA447" s="3"/>
      <c r="BB447" s="3"/>
      <c r="BE447" s="3"/>
      <c r="BF447" s="19"/>
      <c r="BG447" s="3"/>
      <c r="BN447" s="3"/>
      <c r="BR447" s="3"/>
    </row>
    <row r="448" spans="4:70" ht="14.45" hidden="1">
      <c r="D448" s="3"/>
      <c r="J448" s="3"/>
      <c r="T448" s="3"/>
      <c r="U448" s="3"/>
      <c r="V448" s="3"/>
      <c r="W448" s="3"/>
      <c r="X448" s="3"/>
      <c r="AC448" s="3"/>
      <c r="AD448" s="3"/>
      <c r="AE448" s="3"/>
      <c r="AI448" s="3"/>
      <c r="AJ448" s="3"/>
      <c r="AU448" s="3"/>
      <c r="AV448" s="3"/>
      <c r="BA448" s="3"/>
      <c r="BB448" s="3"/>
      <c r="BE448" s="3"/>
      <c r="BF448" s="19"/>
      <c r="BG448" s="3"/>
      <c r="BN448" s="3"/>
      <c r="BR448" s="3"/>
    </row>
    <row r="449" spans="4:70" ht="14.45" hidden="1">
      <c r="D449" s="3"/>
      <c r="J449" s="3"/>
      <c r="T449" s="3"/>
      <c r="U449" s="3"/>
      <c r="V449" s="3"/>
      <c r="W449" s="3"/>
      <c r="X449" s="3"/>
      <c r="AC449" s="3"/>
      <c r="AD449" s="3"/>
      <c r="AE449" s="3"/>
      <c r="AI449" s="3"/>
      <c r="AJ449" s="3"/>
      <c r="AU449" s="3"/>
      <c r="AV449" s="3"/>
      <c r="BA449" s="3"/>
      <c r="BB449" s="3"/>
      <c r="BE449" s="3"/>
      <c r="BF449" s="19"/>
      <c r="BG449" s="3"/>
      <c r="BN449" s="3"/>
      <c r="BR449" s="3"/>
    </row>
    <row r="450" spans="4:70" ht="14.45" hidden="1">
      <c r="D450" s="3"/>
      <c r="J450" s="3"/>
      <c r="T450" s="3"/>
      <c r="U450" s="3"/>
      <c r="V450" s="3"/>
      <c r="W450" s="3"/>
      <c r="X450" s="3"/>
      <c r="AC450" s="3"/>
      <c r="AD450" s="3"/>
      <c r="AE450" s="3"/>
      <c r="AI450" s="3"/>
      <c r="AJ450" s="3"/>
      <c r="AU450" s="3"/>
      <c r="AV450" s="3"/>
      <c r="BA450" s="3"/>
      <c r="BB450" s="3"/>
      <c r="BE450" s="3"/>
      <c r="BF450" s="19"/>
      <c r="BG450" s="3"/>
      <c r="BN450" s="3"/>
      <c r="BR450" s="3"/>
    </row>
    <row r="451" spans="4:70" ht="14.45" hidden="1">
      <c r="D451" s="3"/>
      <c r="J451" s="3"/>
      <c r="T451" s="3"/>
      <c r="U451" s="3"/>
      <c r="V451" s="3"/>
      <c r="W451" s="3"/>
      <c r="X451" s="3"/>
      <c r="AC451" s="3"/>
      <c r="AD451" s="3"/>
      <c r="AE451" s="3"/>
      <c r="AI451" s="3"/>
      <c r="AJ451" s="3"/>
      <c r="AU451" s="3"/>
      <c r="AV451" s="3"/>
      <c r="BA451" s="3"/>
      <c r="BB451" s="3"/>
      <c r="BE451" s="3"/>
      <c r="BF451" s="19"/>
      <c r="BG451" s="3"/>
      <c r="BN451" s="3"/>
      <c r="BR451" s="3"/>
    </row>
    <row r="452" spans="4:70" ht="14.45" hidden="1">
      <c r="D452" s="3"/>
      <c r="J452" s="3"/>
      <c r="T452" s="3"/>
      <c r="U452" s="3"/>
      <c r="V452" s="3"/>
      <c r="W452" s="3"/>
      <c r="X452" s="3"/>
      <c r="AC452" s="3"/>
      <c r="AD452" s="3"/>
      <c r="AE452" s="3"/>
      <c r="AI452" s="3"/>
      <c r="AJ452" s="3"/>
      <c r="AU452" s="3"/>
      <c r="AV452" s="3"/>
      <c r="BA452" s="3"/>
      <c r="BB452" s="3"/>
      <c r="BE452" s="3"/>
      <c r="BF452" s="19"/>
      <c r="BG452" s="3"/>
      <c r="BN452" s="3"/>
      <c r="BR452" s="3"/>
    </row>
    <row r="453" spans="4:70" ht="14.45" hidden="1">
      <c r="D453" s="3"/>
      <c r="J453" s="3"/>
      <c r="T453" s="3"/>
      <c r="U453" s="3"/>
      <c r="V453" s="3"/>
      <c r="W453" s="3"/>
      <c r="X453" s="3"/>
      <c r="AC453" s="3"/>
      <c r="AD453" s="3"/>
      <c r="AE453" s="3"/>
      <c r="AI453" s="3"/>
      <c r="AJ453" s="3"/>
      <c r="AU453" s="3"/>
      <c r="AV453" s="3"/>
      <c r="BA453" s="3"/>
      <c r="BB453" s="3"/>
      <c r="BE453" s="3"/>
      <c r="BF453" s="19"/>
      <c r="BG453" s="3"/>
      <c r="BN453" s="3"/>
      <c r="BR453" s="3"/>
    </row>
    <row r="454" spans="4:70" ht="14.45" hidden="1">
      <c r="D454" s="3"/>
      <c r="J454" s="3"/>
      <c r="T454" s="3"/>
      <c r="U454" s="3"/>
      <c r="V454" s="3"/>
      <c r="W454" s="3"/>
      <c r="X454" s="3"/>
      <c r="AC454" s="3"/>
      <c r="AD454" s="3"/>
      <c r="AE454" s="3"/>
      <c r="AI454" s="3"/>
      <c r="AJ454" s="3"/>
      <c r="AU454" s="3"/>
      <c r="AV454" s="3"/>
      <c r="BA454" s="3"/>
      <c r="BB454" s="3"/>
      <c r="BE454" s="3"/>
      <c r="BF454" s="19"/>
      <c r="BG454" s="3"/>
      <c r="BN454" s="3"/>
      <c r="BR454" s="3"/>
    </row>
    <row r="455" spans="4:70" ht="14.45" hidden="1">
      <c r="D455" s="3"/>
      <c r="J455" s="3"/>
      <c r="T455" s="3"/>
      <c r="U455" s="3"/>
      <c r="V455" s="3"/>
      <c r="W455" s="3"/>
      <c r="X455" s="3"/>
      <c r="AC455" s="3"/>
      <c r="AD455" s="3"/>
      <c r="AE455" s="3"/>
      <c r="AI455" s="3"/>
      <c r="AJ455" s="3"/>
      <c r="AU455" s="3"/>
      <c r="AV455" s="3"/>
      <c r="BA455" s="3"/>
      <c r="BB455" s="3"/>
      <c r="BE455" s="3"/>
      <c r="BF455" s="19"/>
      <c r="BG455" s="3"/>
      <c r="BN455" s="3"/>
      <c r="BR455" s="3"/>
    </row>
    <row r="456" spans="4:70" ht="14.45" hidden="1">
      <c r="D456" s="3"/>
      <c r="J456" s="3"/>
      <c r="T456" s="3"/>
      <c r="U456" s="3"/>
      <c r="V456" s="3"/>
      <c r="W456" s="3"/>
      <c r="X456" s="3"/>
      <c r="AC456" s="3"/>
      <c r="AD456" s="3"/>
      <c r="AE456" s="3"/>
      <c r="AI456" s="3"/>
      <c r="AJ456" s="3"/>
      <c r="AU456" s="3"/>
      <c r="AV456" s="3"/>
      <c r="BA456" s="3"/>
      <c r="BB456" s="3"/>
      <c r="BE456" s="3"/>
      <c r="BF456" s="19"/>
      <c r="BG456" s="3"/>
      <c r="BN456" s="3"/>
      <c r="BR456" s="3"/>
    </row>
    <row r="457" spans="4:70" ht="14.45" hidden="1">
      <c r="D457" s="3"/>
      <c r="J457" s="3"/>
      <c r="T457" s="3"/>
      <c r="U457" s="3"/>
      <c r="V457" s="3"/>
      <c r="W457" s="3"/>
      <c r="X457" s="3"/>
      <c r="AC457" s="3"/>
      <c r="AD457" s="3"/>
      <c r="AE457" s="3"/>
      <c r="AI457" s="3"/>
      <c r="AJ457" s="3"/>
      <c r="AU457" s="3"/>
      <c r="AV457" s="3"/>
      <c r="BA457" s="3"/>
      <c r="BB457" s="3"/>
      <c r="BE457" s="3"/>
      <c r="BF457" s="19"/>
      <c r="BG457" s="3"/>
      <c r="BN457" s="3"/>
      <c r="BR457" s="3"/>
    </row>
    <row r="458" spans="4:70" ht="14.45" hidden="1">
      <c r="D458" s="3"/>
      <c r="J458" s="3"/>
      <c r="T458" s="3"/>
      <c r="U458" s="3"/>
      <c r="V458" s="3"/>
      <c r="W458" s="3"/>
      <c r="X458" s="3"/>
      <c r="AC458" s="3"/>
      <c r="AD458" s="3"/>
      <c r="AE458" s="3"/>
      <c r="AI458" s="3"/>
      <c r="AJ458" s="3"/>
      <c r="AU458" s="3"/>
      <c r="AV458" s="3"/>
      <c r="BA458" s="3"/>
      <c r="BB458" s="3"/>
      <c r="BE458" s="3"/>
      <c r="BF458" s="19"/>
      <c r="BG458" s="3"/>
      <c r="BN458" s="3"/>
      <c r="BR458" s="3"/>
    </row>
    <row r="459" spans="4:70" ht="14.45" hidden="1">
      <c r="D459" s="3"/>
      <c r="J459" s="3"/>
      <c r="T459" s="3"/>
      <c r="U459" s="3"/>
      <c r="V459" s="3"/>
      <c r="W459" s="3"/>
      <c r="X459" s="3"/>
      <c r="AC459" s="3"/>
      <c r="AD459" s="3"/>
      <c r="AE459" s="3"/>
      <c r="AI459" s="3"/>
      <c r="AJ459" s="3"/>
      <c r="AU459" s="3"/>
      <c r="AV459" s="3"/>
      <c r="BA459" s="3"/>
      <c r="BB459" s="3"/>
      <c r="BE459" s="3"/>
      <c r="BF459" s="19"/>
      <c r="BG459" s="3"/>
      <c r="BN459" s="3"/>
      <c r="BR459" s="3"/>
    </row>
    <row r="460" spans="4:70" ht="14.45" hidden="1">
      <c r="D460" s="3"/>
      <c r="J460" s="3"/>
      <c r="T460" s="3"/>
      <c r="U460" s="3"/>
      <c r="V460" s="3"/>
      <c r="W460" s="3"/>
      <c r="X460" s="3"/>
      <c r="AC460" s="3"/>
      <c r="AD460" s="3"/>
      <c r="AE460" s="3"/>
      <c r="AI460" s="3"/>
      <c r="AJ460" s="3"/>
      <c r="AU460" s="3"/>
      <c r="AV460" s="3"/>
      <c r="BA460" s="3"/>
      <c r="BB460" s="3"/>
      <c r="BE460" s="3"/>
      <c r="BF460" s="19"/>
      <c r="BG460" s="3"/>
      <c r="BN460" s="3"/>
      <c r="BR460" s="3"/>
    </row>
    <row r="461" spans="4:70" ht="14.45" hidden="1">
      <c r="D461" s="3"/>
      <c r="J461" s="3"/>
      <c r="T461" s="3"/>
      <c r="U461" s="3"/>
      <c r="V461" s="3"/>
      <c r="W461" s="3"/>
      <c r="X461" s="3"/>
      <c r="AC461" s="3"/>
      <c r="AD461" s="3"/>
      <c r="AE461" s="3"/>
      <c r="AI461" s="3"/>
      <c r="AJ461" s="3"/>
      <c r="AU461" s="3"/>
      <c r="AV461" s="3"/>
      <c r="BA461" s="3"/>
      <c r="BB461" s="3"/>
      <c r="BE461" s="3"/>
      <c r="BF461" s="19"/>
      <c r="BG461" s="3"/>
      <c r="BN461" s="3"/>
      <c r="BR461" s="3"/>
    </row>
    <row r="462" spans="4:70" ht="14.45" hidden="1">
      <c r="D462" s="3"/>
      <c r="J462" s="3"/>
      <c r="T462" s="3"/>
      <c r="U462" s="3"/>
      <c r="V462" s="3"/>
      <c r="W462" s="3"/>
      <c r="X462" s="3"/>
      <c r="AC462" s="3"/>
      <c r="AD462" s="3"/>
      <c r="AE462" s="3"/>
      <c r="AI462" s="3"/>
      <c r="AJ462" s="3"/>
      <c r="AU462" s="3"/>
      <c r="AV462" s="3"/>
      <c r="BA462" s="3"/>
      <c r="BB462" s="3"/>
      <c r="BE462" s="3"/>
      <c r="BF462" s="19"/>
      <c r="BG462" s="3"/>
      <c r="BN462" s="3"/>
      <c r="BR462" s="3"/>
    </row>
    <row r="463" spans="4:70" ht="14.45" hidden="1">
      <c r="D463" s="3"/>
      <c r="J463" s="3"/>
      <c r="T463" s="3"/>
      <c r="U463" s="3"/>
      <c r="V463" s="3"/>
      <c r="W463" s="3"/>
      <c r="X463" s="3"/>
      <c r="AC463" s="3"/>
      <c r="AD463" s="3"/>
      <c r="AE463" s="3"/>
      <c r="AI463" s="3"/>
      <c r="AJ463" s="3"/>
      <c r="AU463" s="3"/>
      <c r="AV463" s="3"/>
      <c r="BA463" s="3"/>
      <c r="BB463" s="3"/>
      <c r="BE463" s="3"/>
      <c r="BF463" s="19"/>
      <c r="BG463" s="3"/>
      <c r="BN463" s="3"/>
      <c r="BR463" s="3"/>
    </row>
    <row r="464" spans="4:70" ht="14.45" hidden="1">
      <c r="D464" s="3"/>
      <c r="J464" s="3"/>
      <c r="T464" s="3"/>
      <c r="U464" s="3"/>
      <c r="V464" s="3"/>
      <c r="W464" s="3"/>
      <c r="X464" s="3"/>
      <c r="AC464" s="3"/>
      <c r="AD464" s="3"/>
      <c r="AE464" s="3"/>
      <c r="AI464" s="3"/>
      <c r="AJ464" s="3"/>
      <c r="AU464" s="3"/>
      <c r="AV464" s="3"/>
      <c r="BA464" s="3"/>
      <c r="BB464" s="3"/>
      <c r="BE464" s="3"/>
      <c r="BF464" s="19"/>
      <c r="BG464" s="3"/>
      <c r="BN464" s="3"/>
      <c r="BR464" s="3"/>
    </row>
    <row r="465" spans="4:70" ht="14.45" hidden="1">
      <c r="D465" s="3"/>
      <c r="J465" s="3"/>
      <c r="T465" s="3"/>
      <c r="U465" s="3"/>
      <c r="V465" s="3"/>
      <c r="W465" s="3"/>
      <c r="X465" s="3"/>
      <c r="AC465" s="3"/>
      <c r="AD465" s="3"/>
      <c r="AE465" s="3"/>
      <c r="AI465" s="3"/>
      <c r="AJ465" s="3"/>
      <c r="AU465" s="3"/>
      <c r="AV465" s="3"/>
      <c r="BA465" s="3"/>
      <c r="BB465" s="3"/>
      <c r="BE465" s="3"/>
      <c r="BF465" s="19"/>
      <c r="BG465" s="3"/>
      <c r="BN465" s="3"/>
      <c r="BR465" s="3"/>
    </row>
    <row r="466" spans="4:70" ht="14.45" hidden="1">
      <c r="D466" s="3"/>
      <c r="J466" s="3"/>
      <c r="T466" s="3"/>
      <c r="U466" s="3"/>
      <c r="V466" s="3"/>
      <c r="W466" s="3"/>
      <c r="X466" s="3"/>
      <c r="AC466" s="3"/>
      <c r="AD466" s="3"/>
      <c r="AE466" s="3"/>
      <c r="AI466" s="3"/>
      <c r="AJ466" s="3"/>
      <c r="AU466" s="3"/>
      <c r="AV466" s="3"/>
      <c r="BA466" s="3"/>
      <c r="BB466" s="3"/>
      <c r="BE466" s="3"/>
      <c r="BF466" s="19"/>
      <c r="BG466" s="3"/>
      <c r="BN466" s="3"/>
      <c r="BR466" s="3"/>
    </row>
    <row r="467" spans="4:70" ht="14.45" hidden="1">
      <c r="D467" s="3"/>
      <c r="J467" s="3"/>
      <c r="T467" s="3"/>
      <c r="U467" s="3"/>
      <c r="V467" s="3"/>
      <c r="W467" s="3"/>
      <c r="X467" s="3"/>
      <c r="AC467" s="3"/>
      <c r="AD467" s="3"/>
      <c r="AE467" s="3"/>
      <c r="AI467" s="3"/>
      <c r="AJ467" s="3"/>
      <c r="AU467" s="3"/>
      <c r="AV467" s="3"/>
      <c r="BA467" s="3"/>
      <c r="BB467" s="3"/>
      <c r="BE467" s="3"/>
      <c r="BF467" s="19"/>
      <c r="BG467" s="3"/>
      <c r="BN467" s="3"/>
      <c r="BR467" s="3"/>
    </row>
    <row r="468" spans="4:70" ht="14.45" hidden="1">
      <c r="D468" s="3"/>
      <c r="J468" s="3"/>
      <c r="T468" s="3"/>
      <c r="U468" s="3"/>
      <c r="V468" s="3"/>
      <c r="W468" s="3"/>
      <c r="X468" s="3"/>
      <c r="AC468" s="3"/>
      <c r="AD468" s="3"/>
      <c r="AE468" s="3"/>
      <c r="AI468" s="3"/>
      <c r="AJ468" s="3"/>
      <c r="AU468" s="3"/>
      <c r="AV468" s="3"/>
      <c r="BA468" s="3"/>
      <c r="BB468" s="3"/>
      <c r="BE468" s="3"/>
      <c r="BF468" s="19"/>
      <c r="BG468" s="3"/>
      <c r="BN468" s="3"/>
      <c r="BR468" s="3"/>
    </row>
    <row r="469" spans="4:70" ht="14.45" hidden="1">
      <c r="D469" s="3"/>
      <c r="J469" s="3"/>
      <c r="T469" s="3"/>
      <c r="U469" s="3"/>
      <c r="V469" s="3"/>
      <c r="W469" s="3"/>
      <c r="X469" s="3"/>
      <c r="AC469" s="3"/>
      <c r="AD469" s="3"/>
      <c r="AE469" s="3"/>
      <c r="AI469" s="3"/>
      <c r="AJ469" s="3"/>
      <c r="AU469" s="3"/>
      <c r="AV469" s="3"/>
      <c r="BA469" s="3"/>
      <c r="BB469" s="3"/>
      <c r="BE469" s="3"/>
      <c r="BF469" s="19"/>
      <c r="BG469" s="3"/>
      <c r="BN469" s="3"/>
      <c r="BR469" s="3"/>
    </row>
    <row r="470" spans="4:70" ht="14.45" hidden="1">
      <c r="D470" s="3"/>
      <c r="J470" s="3"/>
      <c r="T470" s="3"/>
      <c r="U470" s="3"/>
      <c r="V470" s="3"/>
      <c r="W470" s="3"/>
      <c r="X470" s="3"/>
      <c r="AC470" s="3"/>
      <c r="AD470" s="3"/>
      <c r="AE470" s="3"/>
      <c r="AI470" s="3"/>
      <c r="AJ470" s="3"/>
      <c r="AU470" s="3"/>
      <c r="AV470" s="3"/>
      <c r="BA470" s="3"/>
      <c r="BB470" s="3"/>
      <c r="BE470" s="3"/>
      <c r="BF470" s="19"/>
      <c r="BG470" s="3"/>
      <c r="BN470" s="3"/>
      <c r="BR470" s="3"/>
    </row>
    <row r="471" spans="4:70" ht="14.45" hidden="1">
      <c r="D471" s="3"/>
      <c r="J471" s="3"/>
      <c r="T471" s="3"/>
      <c r="U471" s="3"/>
      <c r="V471" s="3"/>
      <c r="W471" s="3"/>
      <c r="X471" s="3"/>
      <c r="AC471" s="3"/>
      <c r="AD471" s="3"/>
      <c r="AE471" s="3"/>
      <c r="AI471" s="3"/>
      <c r="AJ471" s="3"/>
      <c r="AU471" s="3"/>
      <c r="AV471" s="3"/>
      <c r="BA471" s="3"/>
      <c r="BB471" s="3"/>
      <c r="BE471" s="3"/>
      <c r="BF471" s="19"/>
      <c r="BG471" s="3"/>
      <c r="BN471" s="3"/>
      <c r="BR471" s="3"/>
    </row>
    <row r="472" spans="4:70" ht="14.45" hidden="1">
      <c r="D472" s="3"/>
      <c r="J472" s="3"/>
      <c r="T472" s="3"/>
      <c r="U472" s="3"/>
      <c r="V472" s="3"/>
      <c r="W472" s="3"/>
      <c r="X472" s="3"/>
      <c r="AC472" s="3"/>
      <c r="AD472" s="3"/>
      <c r="AE472" s="3"/>
      <c r="AI472" s="3"/>
      <c r="AJ472" s="3"/>
      <c r="AU472" s="3"/>
      <c r="AV472" s="3"/>
      <c r="BA472" s="3"/>
      <c r="BB472" s="3"/>
      <c r="BE472" s="3"/>
      <c r="BF472" s="19"/>
      <c r="BG472" s="3"/>
      <c r="BN472" s="3"/>
      <c r="BR472" s="3"/>
    </row>
    <row r="473" spans="4:70" ht="14.45" hidden="1">
      <c r="D473" s="3"/>
      <c r="J473" s="3"/>
      <c r="T473" s="3"/>
      <c r="U473" s="3"/>
      <c r="V473" s="3"/>
      <c r="W473" s="3"/>
      <c r="X473" s="3"/>
      <c r="AC473" s="3"/>
      <c r="AD473" s="3"/>
      <c r="AE473" s="3"/>
      <c r="AI473" s="3"/>
      <c r="AJ473" s="3"/>
      <c r="AU473" s="3"/>
      <c r="AV473" s="3"/>
      <c r="BA473" s="3"/>
      <c r="BB473" s="3"/>
      <c r="BE473" s="3"/>
      <c r="BF473" s="19"/>
      <c r="BG473" s="3"/>
      <c r="BN473" s="3"/>
      <c r="BR473" s="3"/>
    </row>
    <row r="474" spans="4:70" ht="14.45" hidden="1">
      <c r="D474" s="3"/>
      <c r="J474" s="3"/>
      <c r="T474" s="3"/>
      <c r="U474" s="3"/>
      <c r="V474" s="3"/>
      <c r="W474" s="3"/>
      <c r="X474" s="3"/>
      <c r="AC474" s="3"/>
      <c r="AD474" s="3"/>
      <c r="AE474" s="3"/>
      <c r="AI474" s="3"/>
      <c r="AJ474" s="3"/>
      <c r="AU474" s="3"/>
      <c r="AV474" s="3"/>
      <c r="BA474" s="3"/>
      <c r="BB474" s="3"/>
      <c r="BE474" s="3"/>
      <c r="BF474" s="19"/>
      <c r="BG474" s="3"/>
      <c r="BN474" s="3"/>
      <c r="BR474" s="3"/>
    </row>
    <row r="475" spans="4:70" ht="14.45" hidden="1">
      <c r="D475" s="3"/>
      <c r="J475" s="3"/>
      <c r="T475" s="3"/>
      <c r="U475" s="3"/>
      <c r="V475" s="3"/>
      <c r="W475" s="3"/>
      <c r="X475" s="3"/>
      <c r="AC475" s="3"/>
      <c r="AD475" s="3"/>
      <c r="AE475" s="3"/>
      <c r="AI475" s="3"/>
      <c r="AJ475" s="3"/>
      <c r="AU475" s="3"/>
      <c r="AV475" s="3"/>
      <c r="BA475" s="3"/>
      <c r="BB475" s="3"/>
      <c r="BE475" s="3"/>
      <c r="BF475" s="19"/>
      <c r="BG475" s="3"/>
      <c r="BN475" s="3"/>
      <c r="BR475" s="3"/>
    </row>
    <row r="476" spans="4:70" ht="14.45" hidden="1">
      <c r="D476" s="3"/>
      <c r="J476" s="3"/>
      <c r="T476" s="3"/>
      <c r="U476" s="3"/>
      <c r="V476" s="3"/>
      <c r="W476" s="3"/>
      <c r="X476" s="3"/>
      <c r="AC476" s="3"/>
      <c r="AD476" s="3"/>
      <c r="AE476" s="3"/>
      <c r="AI476" s="3"/>
      <c r="AJ476" s="3"/>
      <c r="AU476" s="3"/>
      <c r="AV476" s="3"/>
      <c r="BA476" s="3"/>
      <c r="BB476" s="3"/>
      <c r="BE476" s="3"/>
      <c r="BF476" s="19"/>
      <c r="BG476" s="3"/>
      <c r="BN476" s="3"/>
      <c r="BR476" s="3"/>
    </row>
    <row r="477" spans="4:70" ht="14.45" hidden="1">
      <c r="D477" s="3"/>
      <c r="J477" s="3"/>
      <c r="T477" s="3"/>
      <c r="U477" s="3"/>
      <c r="V477" s="3"/>
      <c r="W477" s="3"/>
      <c r="X477" s="3"/>
      <c r="AC477" s="3"/>
      <c r="AD477" s="3"/>
      <c r="AE477" s="3"/>
      <c r="AI477" s="3"/>
      <c r="AJ477" s="3"/>
      <c r="AU477" s="3"/>
      <c r="AV477" s="3"/>
      <c r="BA477" s="3"/>
      <c r="BB477" s="3"/>
      <c r="BE477" s="3"/>
      <c r="BF477" s="19"/>
      <c r="BG477" s="3"/>
      <c r="BN477" s="3"/>
      <c r="BR477" s="3"/>
    </row>
    <row r="478" spans="4:70" ht="14.45" hidden="1">
      <c r="D478" s="3"/>
      <c r="J478" s="3"/>
      <c r="T478" s="3"/>
      <c r="U478" s="3"/>
      <c r="V478" s="3"/>
      <c r="W478" s="3"/>
      <c r="X478" s="3"/>
      <c r="AC478" s="3"/>
      <c r="AD478" s="3"/>
      <c r="AE478" s="3"/>
      <c r="AI478" s="3"/>
      <c r="AJ478" s="3"/>
      <c r="AU478" s="3"/>
      <c r="AV478" s="3"/>
      <c r="BA478" s="3"/>
      <c r="BB478" s="3"/>
      <c r="BE478" s="3"/>
      <c r="BF478" s="19"/>
      <c r="BG478" s="3"/>
      <c r="BN478" s="3"/>
      <c r="BR478" s="3"/>
    </row>
    <row r="479" spans="4:70" ht="14.45" hidden="1">
      <c r="D479" s="3"/>
      <c r="J479" s="3"/>
      <c r="T479" s="3"/>
      <c r="U479" s="3"/>
      <c r="V479" s="3"/>
      <c r="W479" s="3"/>
      <c r="X479" s="3"/>
      <c r="AC479" s="3"/>
      <c r="AD479" s="3"/>
      <c r="AE479" s="3"/>
      <c r="AI479" s="3"/>
      <c r="AJ479" s="3"/>
      <c r="AU479" s="3"/>
      <c r="AV479" s="3"/>
      <c r="BA479" s="3"/>
      <c r="BB479" s="3"/>
      <c r="BE479" s="3"/>
      <c r="BF479" s="19"/>
      <c r="BG479" s="3"/>
      <c r="BN479" s="3"/>
      <c r="BR479" s="3"/>
    </row>
    <row r="480" spans="4:70" ht="14.45" hidden="1">
      <c r="D480" s="3"/>
      <c r="J480" s="3"/>
      <c r="T480" s="3"/>
      <c r="U480" s="3"/>
      <c r="V480" s="3"/>
      <c r="W480" s="3"/>
      <c r="X480" s="3"/>
      <c r="AC480" s="3"/>
      <c r="AD480" s="3"/>
      <c r="AE480" s="3"/>
      <c r="AI480" s="3"/>
      <c r="AJ480" s="3"/>
      <c r="AU480" s="3"/>
      <c r="AV480" s="3"/>
      <c r="BA480" s="3"/>
      <c r="BB480" s="3"/>
      <c r="BE480" s="3"/>
      <c r="BF480" s="19"/>
      <c r="BG480" s="3"/>
      <c r="BN480" s="3"/>
      <c r="BR480" s="3"/>
    </row>
    <row r="481" spans="4:70" ht="14.45" hidden="1">
      <c r="D481" s="3"/>
      <c r="J481" s="3"/>
      <c r="T481" s="3"/>
      <c r="U481" s="3"/>
      <c r="V481" s="3"/>
      <c r="W481" s="3"/>
      <c r="X481" s="3"/>
      <c r="AC481" s="3"/>
      <c r="AD481" s="3"/>
      <c r="AE481" s="3"/>
      <c r="AI481" s="3"/>
      <c r="AJ481" s="3"/>
      <c r="AU481" s="3"/>
      <c r="AV481" s="3"/>
      <c r="BA481" s="3"/>
      <c r="BB481" s="3"/>
      <c r="BE481" s="3"/>
      <c r="BF481" s="19"/>
      <c r="BG481" s="3"/>
      <c r="BN481" s="3"/>
      <c r="BR481" s="3"/>
    </row>
    <row r="482" spans="4:70" ht="14.45" hidden="1">
      <c r="D482" s="3"/>
      <c r="J482" s="3"/>
      <c r="T482" s="3"/>
      <c r="U482" s="3"/>
      <c r="V482" s="3"/>
      <c r="W482" s="3"/>
      <c r="X482" s="3"/>
      <c r="AC482" s="3"/>
      <c r="AD482" s="3"/>
      <c r="AE482" s="3"/>
      <c r="AI482" s="3"/>
      <c r="AJ482" s="3"/>
      <c r="AU482" s="3"/>
      <c r="AV482" s="3"/>
      <c r="BA482" s="3"/>
      <c r="BB482" s="3"/>
      <c r="BE482" s="3"/>
      <c r="BF482" s="19"/>
      <c r="BG482" s="3"/>
      <c r="BN482" s="3"/>
      <c r="BR482" s="3"/>
    </row>
    <row r="483" spans="4:70" ht="14.45" hidden="1">
      <c r="D483" s="3"/>
      <c r="J483" s="3"/>
      <c r="T483" s="3"/>
      <c r="U483" s="3"/>
      <c r="V483" s="3"/>
      <c r="W483" s="3"/>
      <c r="X483" s="3"/>
      <c r="AC483" s="3"/>
      <c r="AD483" s="3"/>
      <c r="AE483" s="3"/>
      <c r="AI483" s="3"/>
      <c r="AJ483" s="3"/>
      <c r="AU483" s="3"/>
      <c r="AV483" s="3"/>
      <c r="BA483" s="3"/>
      <c r="BB483" s="3"/>
      <c r="BE483" s="3"/>
      <c r="BF483" s="19"/>
      <c r="BG483" s="3"/>
      <c r="BN483" s="3"/>
      <c r="BR483" s="3"/>
    </row>
    <row r="484" spans="4:70" ht="14.45" hidden="1">
      <c r="D484" s="3"/>
      <c r="J484" s="3"/>
      <c r="T484" s="3"/>
      <c r="U484" s="3"/>
      <c r="V484" s="3"/>
      <c r="W484" s="3"/>
      <c r="X484" s="3"/>
      <c r="AC484" s="3"/>
      <c r="AD484" s="3"/>
      <c r="AE484" s="3"/>
      <c r="AI484" s="3"/>
      <c r="AJ484" s="3"/>
      <c r="AU484" s="3"/>
      <c r="AV484" s="3"/>
      <c r="BA484" s="3"/>
      <c r="BB484" s="3"/>
      <c r="BE484" s="3"/>
      <c r="BF484" s="19"/>
      <c r="BG484" s="3"/>
      <c r="BN484" s="3"/>
      <c r="BR484" s="3"/>
    </row>
    <row r="485" spans="4:70" ht="14.45" hidden="1">
      <c r="D485" s="3"/>
      <c r="J485" s="3"/>
      <c r="T485" s="3"/>
      <c r="U485" s="3"/>
      <c r="V485" s="3"/>
      <c r="W485" s="3"/>
      <c r="X485" s="3"/>
      <c r="AC485" s="3"/>
      <c r="AD485" s="3"/>
      <c r="AE485" s="3"/>
      <c r="AI485" s="3"/>
      <c r="AJ485" s="3"/>
      <c r="AU485" s="3"/>
      <c r="AV485" s="3"/>
      <c r="BA485" s="3"/>
      <c r="BB485" s="3"/>
      <c r="BE485" s="3"/>
      <c r="BF485" s="19"/>
      <c r="BG485" s="3"/>
      <c r="BN485" s="3"/>
      <c r="BR485" s="3"/>
    </row>
    <row r="486" spans="4:70" ht="14.45" hidden="1">
      <c r="D486" s="3"/>
      <c r="J486" s="3"/>
      <c r="T486" s="3"/>
      <c r="U486" s="3"/>
      <c r="V486" s="3"/>
      <c r="W486" s="3"/>
      <c r="X486" s="3"/>
      <c r="AC486" s="3"/>
      <c r="AD486" s="3"/>
      <c r="AE486" s="3"/>
      <c r="AI486" s="3"/>
      <c r="AJ486" s="3"/>
      <c r="AU486" s="3"/>
      <c r="AV486" s="3"/>
      <c r="BA486" s="3"/>
      <c r="BB486" s="3"/>
      <c r="BE486" s="3"/>
      <c r="BF486" s="19"/>
      <c r="BG486" s="3"/>
      <c r="BN486" s="3"/>
      <c r="BR486" s="3"/>
    </row>
    <row r="487" spans="4:70" ht="14.45" hidden="1">
      <c r="D487" s="3"/>
      <c r="J487" s="3"/>
      <c r="T487" s="3"/>
      <c r="U487" s="3"/>
      <c r="V487" s="3"/>
      <c r="W487" s="3"/>
      <c r="X487" s="3"/>
      <c r="AC487" s="3"/>
      <c r="AD487" s="3"/>
      <c r="AE487" s="3"/>
      <c r="AI487" s="3"/>
      <c r="AJ487" s="3"/>
      <c r="AU487" s="3"/>
      <c r="AV487" s="3"/>
      <c r="BA487" s="3"/>
      <c r="BB487" s="3"/>
      <c r="BE487" s="3"/>
      <c r="BF487" s="19"/>
      <c r="BG487" s="3"/>
      <c r="BN487" s="3"/>
      <c r="BR487" s="3"/>
    </row>
    <row r="488" spans="4:70" ht="14.45" hidden="1">
      <c r="D488" s="3"/>
      <c r="J488" s="3"/>
      <c r="T488" s="3"/>
      <c r="U488" s="3"/>
      <c r="V488" s="3"/>
      <c r="W488" s="3"/>
      <c r="X488" s="3"/>
      <c r="AC488" s="3"/>
      <c r="AD488" s="3"/>
      <c r="AE488" s="3"/>
      <c r="AI488" s="3"/>
      <c r="AJ488" s="3"/>
      <c r="AU488" s="3"/>
      <c r="AV488" s="3"/>
      <c r="BA488" s="3"/>
      <c r="BB488" s="3"/>
      <c r="BE488" s="3"/>
      <c r="BF488" s="19"/>
      <c r="BG488" s="3"/>
      <c r="BN488" s="3"/>
      <c r="BR488" s="3"/>
    </row>
    <row r="489" spans="4:70" ht="14.45" hidden="1">
      <c r="D489" s="3"/>
      <c r="J489" s="3"/>
      <c r="T489" s="3"/>
      <c r="U489" s="3"/>
      <c r="V489" s="3"/>
      <c r="W489" s="3"/>
      <c r="X489" s="3"/>
      <c r="AC489" s="3"/>
      <c r="AD489" s="3"/>
      <c r="AE489" s="3"/>
      <c r="AI489" s="3"/>
      <c r="AJ489" s="3"/>
      <c r="AU489" s="3"/>
      <c r="AV489" s="3"/>
      <c r="BA489" s="3"/>
      <c r="BB489" s="3"/>
      <c r="BE489" s="3"/>
      <c r="BF489" s="19"/>
      <c r="BG489" s="3"/>
      <c r="BN489" s="3"/>
      <c r="BR489" s="3"/>
    </row>
    <row r="490" spans="4:70" ht="14.45" hidden="1">
      <c r="D490" s="3"/>
      <c r="J490" s="3"/>
      <c r="T490" s="3"/>
      <c r="U490" s="3"/>
      <c r="V490" s="3"/>
      <c r="W490" s="3"/>
      <c r="X490" s="3"/>
      <c r="AC490" s="3"/>
      <c r="AD490" s="3"/>
      <c r="AE490" s="3"/>
      <c r="AI490" s="3"/>
      <c r="AJ490" s="3"/>
      <c r="AU490" s="3"/>
      <c r="AV490" s="3"/>
      <c r="BA490" s="3"/>
      <c r="BB490" s="3"/>
      <c r="BE490" s="3"/>
      <c r="BF490" s="19"/>
      <c r="BG490" s="3"/>
      <c r="BN490" s="3"/>
      <c r="BR490" s="3"/>
    </row>
    <row r="491" spans="4:70" ht="14.45" hidden="1">
      <c r="D491" s="3"/>
      <c r="J491" s="3"/>
      <c r="T491" s="3"/>
      <c r="U491" s="3"/>
      <c r="V491" s="3"/>
      <c r="W491" s="3"/>
      <c r="X491" s="3"/>
      <c r="AC491" s="3"/>
      <c r="AD491" s="3"/>
      <c r="AE491" s="3"/>
      <c r="AI491" s="3"/>
      <c r="AJ491" s="3"/>
      <c r="AU491" s="3"/>
      <c r="AV491" s="3"/>
      <c r="BA491" s="3"/>
      <c r="BB491" s="3"/>
      <c r="BE491" s="3"/>
      <c r="BF491" s="19"/>
      <c r="BG491" s="3"/>
      <c r="BN491" s="3"/>
      <c r="BR491" s="3"/>
    </row>
    <row r="492" spans="4:70" ht="14.45" hidden="1">
      <c r="D492" s="3"/>
      <c r="J492" s="3"/>
      <c r="T492" s="3"/>
      <c r="U492" s="3"/>
      <c r="V492" s="3"/>
      <c r="W492" s="3"/>
      <c r="X492" s="3"/>
      <c r="AC492" s="3"/>
      <c r="AD492" s="3"/>
      <c r="AE492" s="3"/>
      <c r="AI492" s="3"/>
      <c r="AJ492" s="3"/>
      <c r="AU492" s="3"/>
      <c r="AV492" s="3"/>
      <c r="BA492" s="3"/>
      <c r="BB492" s="3"/>
      <c r="BE492" s="3"/>
      <c r="BF492" s="19"/>
      <c r="BG492" s="3"/>
      <c r="BN492" s="3"/>
      <c r="BR492" s="3"/>
    </row>
    <row r="493" spans="4:70" ht="14.45" hidden="1">
      <c r="D493" s="3"/>
      <c r="J493" s="3"/>
      <c r="T493" s="3"/>
      <c r="U493" s="3"/>
      <c r="V493" s="3"/>
      <c r="W493" s="3"/>
      <c r="X493" s="3"/>
      <c r="AC493" s="3"/>
      <c r="AD493" s="3"/>
      <c r="AE493" s="3"/>
      <c r="AI493" s="3"/>
      <c r="AJ493" s="3"/>
      <c r="AU493" s="3"/>
      <c r="AV493" s="3"/>
      <c r="BA493" s="3"/>
      <c r="BB493" s="3"/>
      <c r="BE493" s="3"/>
      <c r="BF493" s="19"/>
      <c r="BG493" s="3"/>
      <c r="BN493" s="3"/>
      <c r="BR493" s="3"/>
    </row>
    <row r="494" spans="4:70" ht="14.45" hidden="1">
      <c r="D494" s="3"/>
      <c r="J494" s="3"/>
      <c r="T494" s="3"/>
      <c r="U494" s="3"/>
      <c r="V494" s="3"/>
      <c r="W494" s="3"/>
      <c r="X494" s="3"/>
      <c r="AC494" s="3"/>
      <c r="AD494" s="3"/>
      <c r="AE494" s="3"/>
      <c r="AI494" s="3"/>
      <c r="AJ494" s="3"/>
      <c r="AU494" s="3"/>
      <c r="AV494" s="3"/>
      <c r="BA494" s="3"/>
      <c r="BB494" s="3"/>
      <c r="BE494" s="3"/>
      <c r="BF494" s="19"/>
      <c r="BG494" s="3"/>
      <c r="BN494" s="3"/>
      <c r="BR494" s="3"/>
    </row>
    <row r="495" spans="4:70" ht="14.45" hidden="1">
      <c r="D495" s="3"/>
      <c r="J495" s="3"/>
      <c r="T495" s="3"/>
      <c r="U495" s="3"/>
      <c r="V495" s="3"/>
      <c r="W495" s="3"/>
      <c r="X495" s="3"/>
      <c r="AC495" s="3"/>
      <c r="AD495" s="3"/>
      <c r="AE495" s="3"/>
      <c r="AI495" s="3"/>
      <c r="AJ495" s="3"/>
      <c r="AU495" s="3"/>
      <c r="AV495" s="3"/>
      <c r="BA495" s="3"/>
      <c r="BB495" s="3"/>
      <c r="BE495" s="3"/>
      <c r="BF495" s="19"/>
      <c r="BG495" s="3"/>
      <c r="BN495" s="3"/>
      <c r="BR495" s="3"/>
    </row>
    <row r="496" spans="4:70" ht="14.45" hidden="1">
      <c r="D496" s="3"/>
      <c r="J496" s="3"/>
      <c r="T496" s="3"/>
      <c r="U496" s="3"/>
      <c r="V496" s="3"/>
      <c r="W496" s="3"/>
      <c r="X496" s="3"/>
      <c r="AC496" s="3"/>
      <c r="AD496" s="3"/>
      <c r="AE496" s="3"/>
      <c r="AI496" s="3"/>
      <c r="AJ496" s="3"/>
      <c r="AU496" s="3"/>
      <c r="AV496" s="3"/>
      <c r="BA496" s="3"/>
      <c r="BB496" s="3"/>
      <c r="BE496" s="3"/>
      <c r="BF496" s="19"/>
      <c r="BG496" s="3"/>
      <c r="BN496" s="3"/>
      <c r="BR496" s="3"/>
    </row>
    <row r="497" spans="4:70" ht="14.45" hidden="1">
      <c r="D497" s="3"/>
      <c r="J497" s="3"/>
      <c r="T497" s="3"/>
      <c r="U497" s="3"/>
      <c r="V497" s="3"/>
      <c r="W497" s="3"/>
      <c r="X497" s="3"/>
      <c r="AC497" s="3"/>
      <c r="AD497" s="3"/>
      <c r="AE497" s="3"/>
      <c r="AI497" s="3"/>
      <c r="AJ497" s="3"/>
      <c r="AU497" s="3"/>
      <c r="AV497" s="3"/>
      <c r="BA497" s="3"/>
      <c r="BB497" s="3"/>
      <c r="BE497" s="3"/>
      <c r="BF497" s="19"/>
      <c r="BG497" s="3"/>
      <c r="BN497" s="3"/>
      <c r="BR497" s="3"/>
    </row>
    <row r="498" spans="4:70" ht="14.45" hidden="1">
      <c r="D498" s="3"/>
      <c r="J498" s="3"/>
      <c r="T498" s="3"/>
      <c r="U498" s="3"/>
      <c r="V498" s="3"/>
      <c r="W498" s="3"/>
      <c r="X498" s="3"/>
      <c r="AC498" s="3"/>
      <c r="AD498" s="3"/>
      <c r="AE498" s="3"/>
      <c r="AI498" s="3"/>
      <c r="AJ498" s="3"/>
      <c r="AU498" s="3"/>
      <c r="AV498" s="3"/>
      <c r="BA498" s="3"/>
      <c r="BB498" s="3"/>
      <c r="BE498" s="3"/>
      <c r="BF498" s="19"/>
      <c r="BG498" s="3"/>
      <c r="BN498" s="3"/>
      <c r="BR498" s="3"/>
    </row>
    <row r="499" spans="4:70" ht="14.45" hidden="1">
      <c r="D499" s="3"/>
      <c r="J499" s="3"/>
      <c r="T499" s="3"/>
      <c r="U499" s="3"/>
      <c r="V499" s="3"/>
      <c r="W499" s="3"/>
      <c r="X499" s="3"/>
      <c r="AC499" s="3"/>
      <c r="AD499" s="3"/>
      <c r="AE499" s="3"/>
      <c r="AI499" s="3"/>
      <c r="AJ499" s="3"/>
      <c r="AU499" s="3"/>
      <c r="AV499" s="3"/>
      <c r="BA499" s="3"/>
      <c r="BB499" s="3"/>
      <c r="BE499" s="3"/>
      <c r="BF499" s="19"/>
      <c r="BG499" s="3"/>
      <c r="BN499" s="3"/>
      <c r="BR499" s="3"/>
    </row>
    <row r="500" spans="4:70" ht="14.45" hidden="1">
      <c r="D500" s="3"/>
      <c r="J500" s="3"/>
      <c r="T500" s="3"/>
      <c r="U500" s="3"/>
      <c r="V500" s="3"/>
      <c r="W500" s="3"/>
      <c r="X500" s="3"/>
      <c r="AC500" s="3"/>
      <c r="AD500" s="3"/>
      <c r="AE500" s="3"/>
      <c r="AI500" s="3"/>
      <c r="AJ500" s="3"/>
      <c r="AU500" s="3"/>
      <c r="AV500" s="3"/>
      <c r="BA500" s="3"/>
      <c r="BB500" s="3"/>
      <c r="BE500" s="3"/>
      <c r="BF500" s="19"/>
      <c r="BG500" s="3"/>
      <c r="BN500" s="3"/>
      <c r="BR500" s="3"/>
    </row>
    <row r="501" spans="4:70" ht="14.45" hidden="1">
      <c r="D501" s="3"/>
      <c r="J501" s="3"/>
      <c r="T501" s="3"/>
      <c r="U501" s="3"/>
      <c r="V501" s="3"/>
      <c r="W501" s="3"/>
      <c r="X501" s="3"/>
      <c r="AC501" s="3"/>
      <c r="AD501" s="3"/>
      <c r="AE501" s="3"/>
      <c r="AI501" s="3"/>
      <c r="AJ501" s="3"/>
      <c r="AU501" s="3"/>
      <c r="AV501" s="3"/>
      <c r="BA501" s="3"/>
      <c r="BB501" s="3"/>
      <c r="BE501" s="3"/>
      <c r="BF501" s="19"/>
      <c r="BG501" s="3"/>
      <c r="BN501" s="3"/>
      <c r="BR501" s="3"/>
    </row>
    <row r="502" spans="4:70" ht="14.45" hidden="1">
      <c r="D502" s="3"/>
      <c r="J502" s="3"/>
      <c r="T502" s="3"/>
      <c r="U502" s="3"/>
      <c r="V502" s="3"/>
      <c r="W502" s="3"/>
      <c r="X502" s="3"/>
      <c r="AC502" s="3"/>
      <c r="AD502" s="3"/>
      <c r="AE502" s="3"/>
      <c r="AI502" s="3"/>
      <c r="AJ502" s="3"/>
      <c r="AU502" s="3"/>
      <c r="AV502" s="3"/>
      <c r="BA502" s="3"/>
      <c r="BB502" s="3"/>
      <c r="BE502" s="3"/>
      <c r="BF502" s="19"/>
      <c r="BG502" s="3"/>
      <c r="BN502" s="3"/>
      <c r="BR502" s="3"/>
    </row>
    <row r="503" spans="4:70" ht="14.45" hidden="1">
      <c r="D503" s="3"/>
      <c r="J503" s="3"/>
      <c r="T503" s="3"/>
      <c r="U503" s="3"/>
      <c r="V503" s="3"/>
      <c r="W503" s="3"/>
      <c r="X503" s="3"/>
      <c r="AC503" s="3"/>
      <c r="AD503" s="3"/>
      <c r="AE503" s="3"/>
      <c r="AI503" s="3"/>
      <c r="AJ503" s="3"/>
      <c r="AU503" s="3"/>
      <c r="AV503" s="3"/>
      <c r="BA503" s="3"/>
      <c r="BB503" s="3"/>
      <c r="BE503" s="3"/>
      <c r="BF503" s="19"/>
      <c r="BG503" s="3"/>
      <c r="BN503" s="3"/>
      <c r="BR503" s="3"/>
    </row>
    <row r="504" spans="4:70" ht="14.45" hidden="1">
      <c r="D504" s="3"/>
      <c r="J504" s="3"/>
      <c r="T504" s="3"/>
      <c r="U504" s="3"/>
      <c r="V504" s="3"/>
      <c r="W504" s="3"/>
      <c r="X504" s="3"/>
      <c r="AC504" s="3"/>
      <c r="AD504" s="3"/>
      <c r="AE504" s="3"/>
      <c r="AI504" s="3"/>
      <c r="AJ504" s="3"/>
      <c r="AU504" s="3"/>
      <c r="AV504" s="3"/>
      <c r="BA504" s="3"/>
      <c r="BB504" s="3"/>
      <c r="BE504" s="3"/>
      <c r="BF504" s="19"/>
      <c r="BG504" s="3"/>
      <c r="BN504" s="3"/>
      <c r="BR504" s="3"/>
    </row>
    <row r="505" spans="4:70" ht="14.45" hidden="1">
      <c r="D505" s="3"/>
      <c r="J505" s="3"/>
      <c r="T505" s="3"/>
      <c r="U505" s="3"/>
      <c r="V505" s="3"/>
      <c r="W505" s="3"/>
      <c r="X505" s="3"/>
      <c r="AC505" s="3"/>
      <c r="AD505" s="3"/>
      <c r="AE505" s="3"/>
      <c r="AI505" s="3"/>
      <c r="AJ505" s="3"/>
      <c r="AU505" s="3"/>
      <c r="AV505" s="3"/>
      <c r="BA505" s="3"/>
      <c r="BB505" s="3"/>
      <c r="BE505" s="3"/>
      <c r="BF505" s="19"/>
      <c r="BG505" s="3"/>
      <c r="BN505" s="3"/>
      <c r="BR505" s="3"/>
    </row>
    <row r="506" spans="4:70" ht="14.45" hidden="1">
      <c r="D506" s="3"/>
      <c r="J506" s="3"/>
      <c r="T506" s="3"/>
      <c r="U506" s="3"/>
      <c r="V506" s="3"/>
      <c r="W506" s="3"/>
      <c r="X506" s="3"/>
      <c r="AC506" s="3"/>
      <c r="AD506" s="3"/>
      <c r="AE506" s="3"/>
      <c r="AI506" s="3"/>
      <c r="AJ506" s="3"/>
      <c r="AU506" s="3"/>
      <c r="AV506" s="3"/>
      <c r="BA506" s="3"/>
      <c r="BB506" s="3"/>
      <c r="BE506" s="3"/>
      <c r="BF506" s="19"/>
      <c r="BG506" s="3"/>
      <c r="BN506" s="3"/>
      <c r="BR506" s="3"/>
    </row>
    <row r="507" spans="4:70" ht="14.45" hidden="1">
      <c r="D507" s="3"/>
      <c r="J507" s="3"/>
      <c r="T507" s="3"/>
      <c r="U507" s="3"/>
      <c r="V507" s="3"/>
      <c r="W507" s="3"/>
      <c r="X507" s="3"/>
      <c r="AC507" s="3"/>
      <c r="AD507" s="3"/>
      <c r="AE507" s="3"/>
      <c r="AI507" s="3"/>
      <c r="AJ507" s="3"/>
      <c r="AU507" s="3"/>
      <c r="AV507" s="3"/>
      <c r="BA507" s="3"/>
      <c r="BB507" s="3"/>
      <c r="BE507" s="3"/>
      <c r="BF507" s="19"/>
      <c r="BG507" s="3"/>
      <c r="BN507" s="3"/>
      <c r="BR507" s="3"/>
    </row>
    <row r="508" spans="4:70" ht="14.45" hidden="1">
      <c r="D508" s="3"/>
      <c r="J508" s="3"/>
      <c r="T508" s="3"/>
      <c r="U508" s="3"/>
      <c r="V508" s="3"/>
      <c r="W508" s="3"/>
      <c r="X508" s="3"/>
      <c r="AC508" s="3"/>
      <c r="AD508" s="3"/>
      <c r="AE508" s="3"/>
      <c r="AI508" s="3"/>
      <c r="AJ508" s="3"/>
      <c r="AU508" s="3"/>
      <c r="AV508" s="3"/>
      <c r="BA508" s="3"/>
      <c r="BB508" s="3"/>
      <c r="BE508" s="3"/>
      <c r="BF508" s="19"/>
      <c r="BG508" s="3"/>
      <c r="BN508" s="3"/>
      <c r="BR508" s="3"/>
    </row>
    <row r="509" spans="4:70" ht="14.45" hidden="1">
      <c r="D509" s="3"/>
      <c r="J509" s="3"/>
      <c r="T509" s="3"/>
      <c r="U509" s="3"/>
      <c r="V509" s="3"/>
      <c r="W509" s="3"/>
      <c r="X509" s="3"/>
      <c r="AC509" s="3"/>
      <c r="AD509" s="3"/>
      <c r="AE509" s="3"/>
      <c r="AI509" s="3"/>
      <c r="AJ509" s="3"/>
      <c r="AU509" s="3"/>
      <c r="AV509" s="3"/>
      <c r="BA509" s="3"/>
      <c r="BB509" s="3"/>
      <c r="BE509" s="3"/>
      <c r="BF509" s="19"/>
      <c r="BG509" s="3"/>
      <c r="BN509" s="3"/>
      <c r="BR509" s="3"/>
    </row>
    <row r="510" spans="4:70" ht="14.45" hidden="1">
      <c r="D510" s="3"/>
      <c r="J510" s="3"/>
      <c r="T510" s="3"/>
      <c r="U510" s="3"/>
      <c r="V510" s="3"/>
      <c r="W510" s="3"/>
      <c r="X510" s="3"/>
      <c r="AC510" s="3"/>
      <c r="AD510" s="3"/>
      <c r="AE510" s="3"/>
      <c r="AI510" s="3"/>
      <c r="AJ510" s="3"/>
      <c r="AU510" s="3"/>
      <c r="AV510" s="3"/>
      <c r="BA510" s="3"/>
      <c r="BB510" s="3"/>
      <c r="BE510" s="3"/>
      <c r="BF510" s="19"/>
      <c r="BG510" s="3"/>
      <c r="BN510" s="3"/>
      <c r="BR510" s="3"/>
    </row>
    <row r="511" spans="4:70" ht="14.45" hidden="1">
      <c r="D511" s="3"/>
      <c r="J511" s="3"/>
      <c r="T511" s="3"/>
      <c r="U511" s="3"/>
      <c r="V511" s="3"/>
      <c r="W511" s="3"/>
      <c r="X511" s="3"/>
      <c r="AC511" s="3"/>
      <c r="AD511" s="3"/>
      <c r="AE511" s="3"/>
      <c r="AI511" s="3"/>
      <c r="AJ511" s="3"/>
      <c r="AU511" s="3"/>
      <c r="AV511" s="3"/>
      <c r="BA511" s="3"/>
      <c r="BB511" s="3"/>
      <c r="BE511" s="3"/>
      <c r="BF511" s="19"/>
      <c r="BG511" s="3"/>
      <c r="BN511" s="3"/>
      <c r="BR511" s="3"/>
    </row>
    <row r="512" spans="4:70" ht="14.45" hidden="1">
      <c r="D512" s="3"/>
      <c r="J512" s="3"/>
      <c r="T512" s="3"/>
      <c r="U512" s="3"/>
      <c r="V512" s="3"/>
      <c r="W512" s="3"/>
      <c r="X512" s="3"/>
      <c r="AC512" s="3"/>
      <c r="AD512" s="3"/>
      <c r="AE512" s="3"/>
      <c r="AI512" s="3"/>
      <c r="AJ512" s="3"/>
      <c r="AU512" s="3"/>
      <c r="AV512" s="3"/>
      <c r="BA512" s="3"/>
      <c r="BB512" s="3"/>
      <c r="BE512" s="3"/>
      <c r="BF512" s="19"/>
      <c r="BG512" s="3"/>
      <c r="BN512" s="3"/>
      <c r="BR512" s="3"/>
    </row>
    <row r="513" spans="4:70" ht="14.45" hidden="1">
      <c r="D513" s="3"/>
      <c r="J513" s="3"/>
      <c r="T513" s="3"/>
      <c r="U513" s="3"/>
      <c r="V513" s="3"/>
      <c r="W513" s="3"/>
      <c r="X513" s="3"/>
      <c r="AC513" s="3"/>
      <c r="AD513" s="3"/>
      <c r="AE513" s="3"/>
      <c r="AI513" s="3"/>
      <c r="AJ513" s="3"/>
      <c r="AU513" s="3"/>
      <c r="AV513" s="3"/>
      <c r="BA513" s="3"/>
      <c r="BB513" s="3"/>
      <c r="BE513" s="3"/>
      <c r="BF513" s="19"/>
      <c r="BG513" s="3"/>
      <c r="BN513" s="3"/>
      <c r="BR513" s="3"/>
    </row>
    <row r="514" spans="4:70" ht="14.45" hidden="1">
      <c r="D514" s="3"/>
      <c r="J514" s="3"/>
      <c r="T514" s="3"/>
      <c r="U514" s="3"/>
      <c r="V514" s="3"/>
      <c r="W514" s="3"/>
      <c r="X514" s="3"/>
      <c r="AC514" s="3"/>
      <c r="AD514" s="3"/>
      <c r="AE514" s="3"/>
      <c r="AI514" s="3"/>
      <c r="AJ514" s="3"/>
      <c r="AU514" s="3"/>
      <c r="AV514" s="3"/>
      <c r="BA514" s="3"/>
      <c r="BB514" s="3"/>
      <c r="BE514" s="3"/>
      <c r="BF514" s="19"/>
      <c r="BG514" s="3"/>
      <c r="BN514" s="3"/>
      <c r="BR514" s="3"/>
    </row>
    <row r="515" spans="4:70" ht="14.45" hidden="1">
      <c r="D515" s="3"/>
      <c r="J515" s="3"/>
      <c r="T515" s="3"/>
      <c r="U515" s="3"/>
      <c r="V515" s="3"/>
      <c r="W515" s="3"/>
      <c r="X515" s="3"/>
      <c r="AC515" s="3"/>
      <c r="AD515" s="3"/>
      <c r="AE515" s="3"/>
      <c r="AI515" s="3"/>
      <c r="AJ515" s="3"/>
      <c r="AU515" s="3"/>
      <c r="AV515" s="3"/>
      <c r="BA515" s="3"/>
      <c r="BB515" s="3"/>
      <c r="BE515" s="3"/>
      <c r="BF515" s="19"/>
      <c r="BG515" s="3"/>
      <c r="BN515" s="3"/>
      <c r="BR515" s="3"/>
    </row>
    <row r="516" spans="4:70" ht="14.45" hidden="1">
      <c r="D516" s="3"/>
      <c r="J516" s="3"/>
      <c r="T516" s="3"/>
      <c r="U516" s="3"/>
      <c r="V516" s="3"/>
      <c r="W516" s="3"/>
      <c r="X516" s="3"/>
      <c r="AC516" s="3"/>
      <c r="AD516" s="3"/>
      <c r="AE516" s="3"/>
      <c r="AI516" s="3"/>
      <c r="AJ516" s="3"/>
      <c r="AU516" s="3"/>
      <c r="AV516" s="3"/>
      <c r="BA516" s="3"/>
      <c r="BB516" s="3"/>
      <c r="BE516" s="3"/>
      <c r="BF516" s="19"/>
      <c r="BG516" s="3"/>
      <c r="BN516" s="3"/>
      <c r="BR516" s="3"/>
    </row>
    <row r="517" spans="4:70" ht="14.45" hidden="1">
      <c r="D517" s="3"/>
      <c r="J517" s="3"/>
      <c r="T517" s="3"/>
      <c r="U517" s="3"/>
      <c r="V517" s="3"/>
      <c r="W517" s="3"/>
      <c r="X517" s="3"/>
      <c r="AC517" s="3"/>
      <c r="AD517" s="3"/>
      <c r="AE517" s="3"/>
      <c r="AI517" s="3"/>
      <c r="AJ517" s="3"/>
      <c r="AU517" s="3"/>
      <c r="AV517" s="3"/>
      <c r="BA517" s="3"/>
      <c r="BB517" s="3"/>
      <c r="BE517" s="3"/>
      <c r="BF517" s="19"/>
      <c r="BG517" s="3"/>
      <c r="BN517" s="3"/>
      <c r="BR517" s="3"/>
    </row>
    <row r="518" spans="4:70" ht="14.45" hidden="1">
      <c r="D518" s="3"/>
      <c r="J518" s="3"/>
      <c r="T518" s="3"/>
      <c r="U518" s="3"/>
      <c r="V518" s="3"/>
      <c r="W518" s="3"/>
      <c r="X518" s="3"/>
      <c r="AC518" s="3"/>
      <c r="AD518" s="3"/>
      <c r="AE518" s="3"/>
      <c r="AI518" s="3"/>
      <c r="AJ518" s="3"/>
      <c r="AU518" s="3"/>
      <c r="AV518" s="3"/>
      <c r="BA518" s="3"/>
      <c r="BB518" s="3"/>
      <c r="BE518" s="3"/>
      <c r="BF518" s="19"/>
      <c r="BG518" s="3"/>
      <c r="BN518" s="3"/>
      <c r="BR518" s="3"/>
    </row>
    <row r="519" spans="4:70" ht="14.45" hidden="1">
      <c r="D519" s="3"/>
      <c r="J519" s="3"/>
      <c r="T519" s="3"/>
      <c r="U519" s="3"/>
      <c r="V519" s="3"/>
      <c r="W519" s="3"/>
      <c r="X519" s="3"/>
      <c r="AC519" s="3"/>
      <c r="AD519" s="3"/>
      <c r="AE519" s="3"/>
      <c r="AI519" s="3"/>
      <c r="AJ519" s="3"/>
      <c r="AU519" s="3"/>
      <c r="AV519" s="3"/>
      <c r="BA519" s="3"/>
      <c r="BB519" s="3"/>
      <c r="BE519" s="3"/>
      <c r="BF519" s="19"/>
      <c r="BG519" s="3"/>
      <c r="BN519" s="3"/>
      <c r="BR519" s="3"/>
    </row>
    <row r="520" spans="4:70" ht="15" hidden="1" customHeight="1">
      <c r="D520" s="3"/>
      <c r="J520" s="3"/>
      <c r="T520" s="3"/>
      <c r="U520" s="3"/>
      <c r="V520" s="3"/>
      <c r="W520" s="3"/>
      <c r="X520" s="3"/>
      <c r="AC520" s="3"/>
      <c r="AD520" s="3"/>
      <c r="AE520" s="3"/>
      <c r="AI520" s="3"/>
      <c r="AJ520" s="3"/>
      <c r="AU520" s="3"/>
      <c r="AV520" s="3"/>
      <c r="BA520" s="3"/>
      <c r="BB520" s="3"/>
      <c r="BE520" s="3"/>
      <c r="BF520" s="19"/>
      <c r="BG520" s="3"/>
      <c r="BN520" s="3"/>
      <c r="BR520" s="3"/>
    </row>
    <row r="521" spans="4:70" ht="15" hidden="1" customHeight="1">
      <c r="D521" s="3"/>
      <c r="J521" s="3"/>
      <c r="T521" s="3"/>
      <c r="U521" s="3"/>
      <c r="V521" s="3"/>
      <c r="W521" s="3"/>
      <c r="X521" s="3"/>
      <c r="AC521" s="3"/>
      <c r="AD521" s="3"/>
      <c r="AE521" s="3"/>
      <c r="AI521" s="3"/>
      <c r="AJ521" s="3"/>
      <c r="AU521" s="3"/>
      <c r="AV521" s="3"/>
      <c r="BA521" s="3"/>
      <c r="BB521" s="3"/>
      <c r="BE521" s="3"/>
      <c r="BF521" s="19"/>
      <c r="BG521" s="3"/>
      <c r="BN521" s="3"/>
      <c r="BR521" s="3"/>
    </row>
    <row r="522" spans="4:70" ht="15" hidden="1" customHeight="1">
      <c r="D522" s="3"/>
      <c r="J522" s="3"/>
      <c r="T522" s="3"/>
      <c r="U522" s="3"/>
      <c r="V522" s="3"/>
      <c r="W522" s="3"/>
      <c r="X522" s="3"/>
      <c r="AC522" s="3"/>
      <c r="AD522" s="3"/>
      <c r="AE522" s="3"/>
      <c r="AI522" s="3"/>
      <c r="AJ522" s="3"/>
      <c r="AU522" s="3"/>
      <c r="AV522" s="3"/>
      <c r="BA522" s="3"/>
      <c r="BB522" s="3"/>
      <c r="BE522" s="3"/>
      <c r="BF522" s="19"/>
      <c r="BG522" s="3"/>
      <c r="BN522" s="3"/>
      <c r="BR522" s="3"/>
    </row>
    <row r="523" spans="4:70" ht="15" hidden="1" customHeight="1">
      <c r="D523" s="3"/>
      <c r="J523" s="3"/>
      <c r="T523" s="3"/>
      <c r="U523" s="3"/>
      <c r="V523" s="3"/>
      <c r="W523" s="3"/>
      <c r="X523" s="3"/>
      <c r="AC523" s="3"/>
      <c r="AD523" s="3"/>
      <c r="AE523" s="3"/>
      <c r="AI523" s="3"/>
      <c r="AJ523" s="3"/>
      <c r="AU523" s="3"/>
      <c r="AV523" s="3"/>
      <c r="BA523" s="3"/>
      <c r="BB523" s="3"/>
      <c r="BE523" s="3"/>
      <c r="BF523" s="19"/>
      <c r="BG523" s="3"/>
      <c r="BN523" s="3"/>
      <c r="BR523" s="3"/>
    </row>
    <row r="524" spans="4:70" ht="15" hidden="1" customHeight="1">
      <c r="D524" s="3"/>
      <c r="J524" s="3"/>
      <c r="T524" s="3"/>
      <c r="U524" s="3"/>
      <c r="V524" s="3"/>
      <c r="W524" s="3"/>
      <c r="X524" s="3"/>
      <c r="AC524" s="3"/>
      <c r="AD524" s="3"/>
      <c r="AE524" s="3"/>
      <c r="AI524" s="3"/>
      <c r="AJ524" s="3"/>
      <c r="AU524" s="3"/>
      <c r="AV524" s="3"/>
      <c r="BA524" s="3"/>
      <c r="BB524" s="3"/>
      <c r="BE524" s="3"/>
      <c r="BF524" s="19"/>
      <c r="BG524" s="3"/>
      <c r="BN524" s="3"/>
      <c r="BR524" s="3"/>
    </row>
    <row r="525" spans="4:70" ht="15" hidden="1" customHeight="1">
      <c r="D525" s="3"/>
      <c r="J525" s="3"/>
      <c r="T525" s="3"/>
      <c r="U525" s="3"/>
      <c r="V525" s="3"/>
      <c r="W525" s="3"/>
      <c r="X525" s="3"/>
      <c r="AC525" s="3"/>
      <c r="AD525" s="3"/>
      <c r="AE525" s="3"/>
      <c r="AI525" s="3"/>
      <c r="AJ525" s="3"/>
      <c r="AU525" s="3"/>
      <c r="AV525" s="3"/>
      <c r="BA525" s="3"/>
      <c r="BB525" s="3"/>
      <c r="BE525" s="3"/>
      <c r="BF525" s="19"/>
      <c r="BG525" s="3"/>
      <c r="BN525" s="3"/>
      <c r="BR525" s="3"/>
    </row>
    <row r="526" spans="4:70" ht="15" hidden="1" customHeight="1">
      <c r="D526" s="3"/>
      <c r="J526" s="3"/>
      <c r="T526" s="3"/>
      <c r="U526" s="3"/>
      <c r="V526" s="3"/>
      <c r="W526" s="3"/>
      <c r="X526" s="3"/>
      <c r="AC526" s="3"/>
      <c r="AD526" s="3"/>
      <c r="AE526" s="3"/>
      <c r="AI526" s="3"/>
      <c r="AJ526" s="3"/>
      <c r="AU526" s="3"/>
      <c r="AV526" s="3"/>
      <c r="BA526" s="3"/>
      <c r="BB526" s="3"/>
      <c r="BE526" s="3"/>
      <c r="BF526" s="19"/>
      <c r="BG526" s="3"/>
      <c r="BN526" s="3"/>
      <c r="BR526" s="3"/>
    </row>
    <row r="527" spans="4:70" ht="15" hidden="1" customHeight="1">
      <c r="D527" s="3"/>
      <c r="J527" s="3"/>
      <c r="T527" s="3"/>
      <c r="U527" s="3"/>
      <c r="V527" s="3"/>
      <c r="W527" s="3"/>
      <c r="X527" s="3"/>
      <c r="AC527" s="3"/>
      <c r="AD527" s="3"/>
      <c r="AE527" s="3"/>
      <c r="AI527" s="3"/>
      <c r="AJ527" s="3"/>
      <c r="AU527" s="3"/>
      <c r="AV527" s="3"/>
      <c r="BA527" s="3"/>
      <c r="BB527" s="3"/>
      <c r="BE527" s="3"/>
      <c r="BF527" s="19"/>
      <c r="BG527" s="3"/>
      <c r="BN527" s="3"/>
      <c r="BR527" s="3"/>
    </row>
    <row r="528" spans="4:70" ht="15" hidden="1" customHeight="1">
      <c r="D528" s="3"/>
      <c r="J528" s="3"/>
      <c r="T528" s="3"/>
      <c r="U528" s="3"/>
      <c r="V528" s="3"/>
      <c r="W528" s="3"/>
      <c r="X528" s="3"/>
      <c r="AC528" s="3"/>
      <c r="AD528" s="3"/>
      <c r="AE528" s="3"/>
      <c r="AI528" s="3"/>
      <c r="AJ528" s="3"/>
      <c r="AU528" s="3"/>
      <c r="AV528" s="3"/>
      <c r="BA528" s="3"/>
      <c r="BB528" s="3"/>
      <c r="BE528" s="3"/>
      <c r="BF528" s="19"/>
      <c r="BG528" s="3"/>
      <c r="BN528" s="3"/>
      <c r="BR528" s="3"/>
    </row>
    <row r="529" spans="4:70" ht="15" hidden="1" customHeight="1">
      <c r="D529" s="3"/>
      <c r="J529" s="3"/>
      <c r="T529" s="3"/>
      <c r="U529" s="3"/>
      <c r="V529" s="3"/>
      <c r="W529" s="3"/>
      <c r="X529" s="3"/>
      <c r="AC529" s="3"/>
      <c r="AD529" s="3"/>
      <c r="AE529" s="3"/>
      <c r="AI529" s="3"/>
      <c r="AJ529" s="3"/>
      <c r="AU529" s="3"/>
      <c r="AV529" s="3"/>
      <c r="BA529" s="3"/>
      <c r="BB529" s="3"/>
      <c r="BE529" s="3"/>
      <c r="BF529" s="19"/>
      <c r="BG529" s="3"/>
      <c r="BN529" s="3"/>
      <c r="BR529" s="3"/>
    </row>
    <row r="530" spans="4:70" ht="15" hidden="1" customHeight="1">
      <c r="D530" s="3"/>
      <c r="J530" s="3"/>
      <c r="T530" s="3"/>
      <c r="U530" s="3"/>
      <c r="V530" s="3"/>
      <c r="W530" s="3"/>
      <c r="X530" s="3"/>
      <c r="AC530" s="3"/>
      <c r="AD530" s="3"/>
      <c r="AE530" s="3"/>
      <c r="AI530" s="3"/>
      <c r="AJ530" s="3"/>
      <c r="AU530" s="3"/>
      <c r="AV530" s="3"/>
      <c r="BA530" s="3"/>
      <c r="BB530" s="3"/>
      <c r="BE530" s="3"/>
      <c r="BF530" s="19"/>
      <c r="BG530" s="3"/>
      <c r="BN530" s="3"/>
      <c r="BR530" s="3"/>
    </row>
    <row r="531" spans="4:70" ht="15" hidden="1" customHeight="1">
      <c r="D531" s="3"/>
      <c r="J531" s="3"/>
      <c r="T531" s="3"/>
      <c r="U531" s="3"/>
      <c r="V531" s="3"/>
      <c r="W531" s="3"/>
      <c r="X531" s="3"/>
      <c r="AC531" s="3"/>
      <c r="AD531" s="3"/>
      <c r="AE531" s="3"/>
      <c r="AI531" s="3"/>
      <c r="AJ531" s="3"/>
      <c r="AU531" s="3"/>
      <c r="AV531" s="3"/>
      <c r="BA531" s="3"/>
      <c r="BB531" s="3"/>
      <c r="BE531" s="3"/>
      <c r="BF531" s="19"/>
      <c r="BG531" s="3"/>
      <c r="BN531" s="3"/>
      <c r="BR531" s="3"/>
    </row>
    <row r="532" spans="4:70" ht="15" hidden="1" customHeight="1">
      <c r="D532" s="3"/>
      <c r="J532" s="3"/>
      <c r="T532" s="3"/>
      <c r="U532" s="3"/>
      <c r="V532" s="3"/>
      <c r="W532" s="3"/>
      <c r="X532" s="3"/>
      <c r="AC532" s="3"/>
      <c r="AD532" s="3"/>
      <c r="AE532" s="3"/>
      <c r="AI532" s="3"/>
      <c r="AJ532" s="3"/>
      <c r="AU532" s="3"/>
      <c r="AV532" s="3"/>
      <c r="BA532" s="3"/>
      <c r="BB532" s="3"/>
      <c r="BE532" s="3"/>
      <c r="BF532" s="19"/>
      <c r="BG532" s="3"/>
      <c r="BN532" s="3"/>
      <c r="BR532" s="3"/>
    </row>
    <row r="533" spans="4:70" ht="15" hidden="1" customHeight="1">
      <c r="D533" s="3"/>
      <c r="J533" s="3"/>
      <c r="T533" s="3"/>
      <c r="U533" s="3"/>
      <c r="V533" s="3"/>
      <c r="W533" s="3"/>
      <c r="X533" s="3"/>
      <c r="AC533" s="3"/>
      <c r="AD533" s="3"/>
      <c r="AE533" s="3"/>
      <c r="AI533" s="3"/>
      <c r="AJ533" s="3"/>
      <c r="AU533" s="3"/>
      <c r="AV533" s="3"/>
      <c r="BA533" s="3"/>
      <c r="BB533" s="3"/>
      <c r="BE533" s="3"/>
      <c r="BF533" s="19"/>
      <c r="BG533" s="3"/>
      <c r="BN533" s="3"/>
      <c r="BR533" s="3"/>
    </row>
    <row r="534" spans="4:70" ht="15" hidden="1" customHeight="1">
      <c r="D534" s="3"/>
      <c r="J534" s="3"/>
      <c r="T534" s="3"/>
      <c r="U534" s="3"/>
      <c r="V534" s="3"/>
      <c r="W534" s="3"/>
      <c r="X534" s="3"/>
      <c r="AC534" s="3"/>
      <c r="AD534" s="3"/>
      <c r="AE534" s="3"/>
      <c r="AI534" s="3"/>
      <c r="AJ534" s="3"/>
      <c r="AU534" s="3"/>
      <c r="AV534" s="3"/>
      <c r="BA534" s="3"/>
      <c r="BB534" s="3"/>
      <c r="BE534" s="3"/>
      <c r="BF534" s="19"/>
      <c r="BG534" s="3"/>
      <c r="BN534" s="3"/>
      <c r="BR534" s="3"/>
    </row>
    <row r="535" spans="4:70" ht="15" hidden="1" customHeight="1">
      <c r="D535" s="3"/>
      <c r="J535" s="3"/>
      <c r="T535" s="3"/>
      <c r="U535" s="3"/>
      <c r="V535" s="3"/>
      <c r="W535" s="3"/>
      <c r="X535" s="3"/>
      <c r="AC535" s="3"/>
      <c r="AD535" s="3"/>
      <c r="AE535" s="3"/>
      <c r="AI535" s="3"/>
      <c r="AJ535" s="3"/>
      <c r="AU535" s="3"/>
      <c r="AV535" s="3"/>
      <c r="BA535" s="3"/>
      <c r="BB535" s="3"/>
      <c r="BE535" s="3"/>
      <c r="BF535" s="19"/>
      <c r="BG535" s="3"/>
      <c r="BN535" s="3"/>
      <c r="BR535" s="3"/>
    </row>
    <row r="536" spans="4:70" ht="15" hidden="1" customHeight="1">
      <c r="D536" s="3"/>
      <c r="J536" s="3"/>
      <c r="T536" s="3"/>
      <c r="U536" s="3"/>
      <c r="V536" s="3"/>
      <c r="W536" s="3"/>
      <c r="X536" s="3"/>
      <c r="AC536" s="3"/>
      <c r="AD536" s="3"/>
      <c r="AE536" s="3"/>
      <c r="AI536" s="3"/>
      <c r="AJ536" s="3"/>
      <c r="AU536" s="3"/>
      <c r="AV536" s="3"/>
      <c r="BA536" s="3"/>
      <c r="BB536" s="3"/>
      <c r="BE536" s="3"/>
      <c r="BF536" s="19"/>
      <c r="BG536" s="3"/>
      <c r="BN536" s="3"/>
      <c r="BR536" s="3"/>
    </row>
    <row r="537" spans="4:70" ht="15" hidden="1" customHeight="1">
      <c r="D537" s="3"/>
      <c r="J537" s="3"/>
      <c r="T537" s="3"/>
      <c r="U537" s="3"/>
      <c r="V537" s="3"/>
      <c r="W537" s="3"/>
      <c r="X537" s="3"/>
      <c r="AC537" s="3"/>
      <c r="AD537" s="3"/>
      <c r="AE537" s="3"/>
      <c r="AI537" s="3"/>
      <c r="AJ537" s="3"/>
      <c r="AU537" s="3"/>
      <c r="AV537" s="3"/>
      <c r="BA537" s="3"/>
      <c r="BB537" s="3"/>
      <c r="BE537" s="3"/>
      <c r="BF537" s="19"/>
      <c r="BG537" s="3"/>
      <c r="BN537" s="3"/>
      <c r="BR537" s="3"/>
    </row>
    <row r="538" spans="4:70" ht="15" hidden="1" customHeight="1">
      <c r="D538" s="3"/>
      <c r="J538" s="3"/>
      <c r="T538" s="3"/>
      <c r="U538" s="3"/>
      <c r="V538" s="3"/>
      <c r="W538" s="3"/>
      <c r="X538" s="3"/>
      <c r="AC538" s="3"/>
      <c r="AD538" s="3"/>
      <c r="AE538" s="3"/>
      <c r="AI538" s="3"/>
      <c r="AJ538" s="3"/>
      <c r="AU538" s="3"/>
      <c r="AV538" s="3"/>
      <c r="BA538" s="3"/>
      <c r="BB538" s="3"/>
      <c r="BE538" s="3"/>
      <c r="BF538" s="19"/>
      <c r="BG538" s="3"/>
      <c r="BN538" s="3"/>
      <c r="BR538" s="3"/>
    </row>
    <row r="539" spans="4:70" ht="15" hidden="1" customHeight="1">
      <c r="D539" s="3"/>
      <c r="J539" s="3"/>
      <c r="T539" s="3"/>
      <c r="U539" s="3"/>
      <c r="V539" s="3"/>
      <c r="W539" s="3"/>
      <c r="X539" s="3"/>
      <c r="AC539" s="3"/>
      <c r="AD539" s="3"/>
      <c r="AE539" s="3"/>
      <c r="AI539" s="3"/>
      <c r="AJ539" s="3"/>
      <c r="AU539" s="3"/>
      <c r="AV539" s="3"/>
      <c r="BA539" s="3"/>
      <c r="BB539" s="3"/>
      <c r="BE539" s="3"/>
      <c r="BF539" s="19"/>
      <c r="BG539" s="3"/>
      <c r="BN539" s="3"/>
      <c r="BR539" s="3"/>
    </row>
    <row r="540" spans="4:70" ht="15" hidden="1" customHeight="1">
      <c r="D540" s="3"/>
      <c r="J540" s="3"/>
      <c r="T540" s="3"/>
      <c r="U540" s="3"/>
      <c r="V540" s="3"/>
      <c r="W540" s="3"/>
      <c r="X540" s="3"/>
      <c r="AC540" s="3"/>
      <c r="AD540" s="3"/>
      <c r="AE540" s="3"/>
      <c r="AI540" s="3"/>
      <c r="AJ540" s="3"/>
      <c r="AU540" s="3"/>
      <c r="AV540" s="3"/>
      <c r="BA540" s="3"/>
      <c r="BB540" s="3"/>
      <c r="BE540" s="3"/>
      <c r="BF540" s="19"/>
      <c r="BG540" s="3"/>
      <c r="BN540" s="3"/>
      <c r="BR540" s="3"/>
    </row>
    <row r="541" spans="4:70" ht="15" hidden="1" customHeight="1">
      <c r="D541" s="3"/>
      <c r="J541" s="3"/>
      <c r="T541" s="3"/>
      <c r="U541" s="3"/>
      <c r="V541" s="3"/>
      <c r="W541" s="3"/>
      <c r="X541" s="3"/>
      <c r="AC541" s="3"/>
      <c r="AD541" s="3"/>
      <c r="AE541" s="3"/>
      <c r="AI541" s="3"/>
      <c r="AJ541" s="3"/>
      <c r="AU541" s="3"/>
      <c r="AV541" s="3"/>
      <c r="BA541" s="3"/>
      <c r="BB541" s="3"/>
      <c r="BE541" s="3"/>
      <c r="BF541" s="19"/>
      <c r="BG541" s="3"/>
      <c r="BN541" s="3"/>
      <c r="BR541" s="3"/>
    </row>
    <row r="542" spans="4:70" ht="15" hidden="1" customHeight="1">
      <c r="D542" s="3"/>
      <c r="J542" s="3"/>
      <c r="T542" s="3"/>
      <c r="U542" s="3"/>
      <c r="V542" s="3"/>
      <c r="W542" s="3"/>
      <c r="X542" s="3"/>
      <c r="AC542" s="3"/>
      <c r="AD542" s="3"/>
      <c r="AE542" s="3"/>
      <c r="AI542" s="3"/>
      <c r="AJ542" s="3"/>
      <c r="AU542" s="3"/>
      <c r="AV542" s="3"/>
      <c r="BA542" s="3"/>
      <c r="BB542" s="3"/>
      <c r="BE542" s="3"/>
      <c r="BF542" s="19"/>
      <c r="BG542" s="3"/>
      <c r="BN542" s="3"/>
      <c r="BR542" s="3"/>
    </row>
    <row r="543" spans="4:70" ht="15" hidden="1" customHeight="1">
      <c r="D543" s="3"/>
      <c r="J543" s="3"/>
      <c r="T543" s="3"/>
      <c r="U543" s="3"/>
      <c r="V543" s="3"/>
      <c r="W543" s="3"/>
      <c r="X543" s="3"/>
      <c r="AC543" s="3"/>
      <c r="AD543" s="3"/>
      <c r="AE543" s="3"/>
      <c r="AI543" s="3"/>
      <c r="AJ543" s="3"/>
      <c r="AU543" s="3"/>
      <c r="AV543" s="3"/>
      <c r="BA543" s="3"/>
      <c r="BB543" s="3"/>
      <c r="BE543" s="3"/>
      <c r="BF543" s="19"/>
      <c r="BG543" s="3"/>
      <c r="BN543" s="3"/>
      <c r="BR543" s="3"/>
    </row>
    <row r="544" spans="4:70" ht="15" hidden="1" customHeight="1">
      <c r="D544" s="3"/>
      <c r="J544" s="3"/>
      <c r="T544" s="3"/>
      <c r="U544" s="3"/>
      <c r="V544" s="3"/>
      <c r="W544" s="3"/>
      <c r="X544" s="3"/>
      <c r="AC544" s="3"/>
      <c r="AD544" s="3"/>
      <c r="AE544" s="3"/>
      <c r="AI544" s="3"/>
      <c r="AJ544" s="3"/>
      <c r="AU544" s="3"/>
      <c r="AV544" s="3"/>
      <c r="BA544" s="3"/>
      <c r="BB544" s="3"/>
      <c r="BE544" s="3"/>
      <c r="BF544" s="19"/>
      <c r="BG544" s="3"/>
      <c r="BN544" s="3"/>
      <c r="BR544" s="3"/>
    </row>
    <row r="545" spans="4:70" ht="15" hidden="1" customHeight="1">
      <c r="D545" s="3"/>
      <c r="J545" s="3"/>
      <c r="T545" s="3"/>
      <c r="U545" s="3"/>
      <c r="V545" s="3"/>
      <c r="W545" s="3"/>
      <c r="X545" s="3"/>
      <c r="AC545" s="3"/>
      <c r="AD545" s="3"/>
      <c r="AE545" s="3"/>
      <c r="AI545" s="3"/>
      <c r="AJ545" s="3"/>
      <c r="AU545" s="3"/>
      <c r="AV545" s="3"/>
      <c r="BA545" s="3"/>
      <c r="BB545" s="3"/>
      <c r="BE545" s="3"/>
      <c r="BF545" s="19"/>
      <c r="BG545" s="3"/>
      <c r="BN545" s="3"/>
      <c r="BR545" s="3"/>
    </row>
    <row r="546" spans="4:70" ht="15" hidden="1" customHeight="1">
      <c r="D546" s="3"/>
      <c r="J546" s="3"/>
      <c r="T546" s="3"/>
      <c r="U546" s="3"/>
      <c r="V546" s="3"/>
      <c r="W546" s="3"/>
      <c r="X546" s="3"/>
      <c r="AC546" s="3"/>
      <c r="AD546" s="3"/>
      <c r="AE546" s="3"/>
      <c r="AI546" s="3"/>
      <c r="AJ546" s="3"/>
      <c r="AU546" s="3"/>
      <c r="AV546" s="3"/>
      <c r="BA546" s="3"/>
      <c r="BB546" s="3"/>
      <c r="BE546" s="3"/>
      <c r="BF546" s="19"/>
      <c r="BG546" s="3"/>
      <c r="BN546" s="3"/>
      <c r="BR546" s="3"/>
    </row>
    <row r="547" spans="4:70" ht="15" hidden="1" customHeight="1">
      <c r="D547" s="3"/>
      <c r="J547" s="3"/>
      <c r="T547" s="3"/>
      <c r="U547" s="3"/>
      <c r="V547" s="3"/>
      <c r="W547" s="3"/>
      <c r="X547" s="3"/>
      <c r="AC547" s="3"/>
      <c r="AD547" s="3"/>
      <c r="AE547" s="3"/>
      <c r="AI547" s="3"/>
      <c r="AJ547" s="3"/>
      <c r="AU547" s="3"/>
      <c r="AV547" s="3"/>
      <c r="BA547" s="3"/>
      <c r="BB547" s="3"/>
      <c r="BE547" s="3"/>
      <c r="BF547" s="19"/>
      <c r="BG547" s="3"/>
      <c r="BN547" s="3"/>
      <c r="BR547" s="3"/>
    </row>
    <row r="548" spans="4:70" ht="15" hidden="1" customHeight="1">
      <c r="D548" s="3"/>
      <c r="J548" s="3"/>
      <c r="T548" s="3"/>
      <c r="U548" s="3"/>
      <c r="V548" s="3"/>
      <c r="W548" s="3"/>
      <c r="X548" s="3"/>
      <c r="AC548" s="3"/>
      <c r="AD548" s="3"/>
      <c r="AE548" s="3"/>
      <c r="AI548" s="3"/>
      <c r="AJ548" s="3"/>
      <c r="AU548" s="3"/>
      <c r="AV548" s="3"/>
      <c r="BA548" s="3"/>
      <c r="BB548" s="3"/>
      <c r="BE548" s="3"/>
      <c r="BF548" s="19"/>
      <c r="BG548" s="3"/>
      <c r="BN548" s="3"/>
      <c r="BR548" s="3"/>
    </row>
    <row r="549" spans="4:70" ht="15" hidden="1" customHeight="1">
      <c r="D549" s="3"/>
      <c r="J549" s="3"/>
      <c r="T549" s="3"/>
      <c r="U549" s="3"/>
      <c r="V549" s="3"/>
      <c r="W549" s="3"/>
      <c r="X549" s="3"/>
      <c r="AC549" s="3"/>
      <c r="AD549" s="3"/>
      <c r="AE549" s="3"/>
      <c r="AI549" s="3"/>
      <c r="AJ549" s="3"/>
      <c r="AU549" s="3"/>
      <c r="AV549" s="3"/>
      <c r="BA549" s="3"/>
      <c r="BB549" s="3"/>
      <c r="BE549" s="3"/>
      <c r="BF549" s="19"/>
      <c r="BG549" s="3"/>
      <c r="BN549" s="3"/>
      <c r="BR549" s="3"/>
    </row>
    <row r="550" spans="4:70" ht="15" hidden="1" customHeight="1">
      <c r="D550" s="3"/>
      <c r="J550" s="3"/>
      <c r="T550" s="3"/>
      <c r="U550" s="3"/>
      <c r="V550" s="3"/>
      <c r="W550" s="3"/>
      <c r="X550" s="3"/>
      <c r="AC550" s="3"/>
      <c r="AD550" s="3"/>
      <c r="AE550" s="3"/>
      <c r="AI550" s="3"/>
      <c r="AJ550" s="3"/>
      <c r="AU550" s="3"/>
      <c r="AV550" s="3"/>
      <c r="BA550" s="3"/>
      <c r="BB550" s="3"/>
      <c r="BE550" s="3"/>
      <c r="BF550" s="19"/>
      <c r="BG550" s="3"/>
      <c r="BN550" s="3"/>
      <c r="BR550" s="3"/>
    </row>
    <row r="551" spans="4:70" ht="15" hidden="1" customHeight="1">
      <c r="D551" s="3"/>
      <c r="J551" s="3"/>
      <c r="T551" s="3"/>
      <c r="U551" s="3"/>
      <c r="V551" s="3"/>
      <c r="W551" s="3"/>
      <c r="X551" s="3"/>
      <c r="AC551" s="3"/>
      <c r="AD551" s="3"/>
      <c r="AE551" s="3"/>
      <c r="AI551" s="3"/>
      <c r="AJ551" s="3"/>
      <c r="AU551" s="3"/>
      <c r="AV551" s="3"/>
      <c r="BA551" s="3"/>
      <c r="BB551" s="3"/>
      <c r="BE551" s="3"/>
      <c r="BF551" s="19"/>
      <c r="BG551" s="3"/>
      <c r="BN551" s="3"/>
      <c r="BR551" s="3"/>
    </row>
    <row r="552" spans="4:70" ht="15" hidden="1" customHeight="1">
      <c r="D552" s="3"/>
      <c r="J552" s="3"/>
      <c r="T552" s="3"/>
      <c r="U552" s="3"/>
      <c r="V552" s="3"/>
      <c r="W552" s="3"/>
      <c r="X552" s="3"/>
      <c r="AC552" s="3"/>
      <c r="AD552" s="3"/>
      <c r="AE552" s="3"/>
      <c r="AI552" s="3"/>
      <c r="AJ552" s="3"/>
      <c r="AU552" s="3"/>
      <c r="AV552" s="3"/>
      <c r="BA552" s="3"/>
      <c r="BB552" s="3"/>
      <c r="BE552" s="3"/>
      <c r="BF552" s="19"/>
      <c r="BG552" s="3"/>
      <c r="BN552" s="3"/>
      <c r="BR552" s="3"/>
    </row>
    <row r="553" spans="4:70" ht="15" hidden="1" customHeight="1">
      <c r="D553" s="3"/>
      <c r="J553" s="3"/>
      <c r="T553" s="3"/>
      <c r="U553" s="3"/>
      <c r="V553" s="3"/>
      <c r="W553" s="3"/>
      <c r="X553" s="3"/>
      <c r="AC553" s="3"/>
      <c r="AD553" s="3"/>
      <c r="AE553" s="3"/>
      <c r="AI553" s="3"/>
      <c r="AJ553" s="3"/>
      <c r="AU553" s="3"/>
      <c r="AV553" s="3"/>
      <c r="BA553" s="3"/>
      <c r="BB553" s="3"/>
      <c r="BE553" s="3"/>
      <c r="BF553" s="19"/>
      <c r="BG553" s="3"/>
      <c r="BN553" s="3"/>
      <c r="BR553" s="3"/>
    </row>
    <row r="554" spans="4:70" ht="15" hidden="1" customHeight="1">
      <c r="D554" s="3"/>
      <c r="J554" s="3"/>
      <c r="T554" s="3"/>
      <c r="U554" s="3"/>
      <c r="V554" s="3"/>
      <c r="W554" s="3"/>
      <c r="X554" s="3"/>
      <c r="AC554" s="3"/>
      <c r="AD554" s="3"/>
      <c r="AE554" s="3"/>
      <c r="AI554" s="3"/>
      <c r="AJ554" s="3"/>
      <c r="AU554" s="3"/>
      <c r="AV554" s="3"/>
      <c r="BA554" s="3"/>
      <c r="BB554" s="3"/>
      <c r="BE554" s="3"/>
      <c r="BF554" s="19"/>
      <c r="BG554" s="3"/>
      <c r="BN554" s="3"/>
      <c r="BR554" s="3"/>
    </row>
    <row r="555" spans="4:70" ht="15" hidden="1" customHeight="1">
      <c r="D555" s="3"/>
      <c r="J555" s="3"/>
      <c r="T555" s="3"/>
      <c r="U555" s="3"/>
      <c r="V555" s="3"/>
      <c r="W555" s="3"/>
      <c r="X555" s="3"/>
      <c r="AC555" s="3"/>
      <c r="AD555" s="3"/>
      <c r="AE555" s="3"/>
      <c r="AI555" s="3"/>
      <c r="AJ555" s="3"/>
      <c r="AU555" s="3"/>
      <c r="AV555" s="3"/>
      <c r="BA555" s="3"/>
      <c r="BB555" s="3"/>
      <c r="BE555" s="3"/>
      <c r="BF555" s="19"/>
      <c r="BG555" s="3"/>
      <c r="BN555" s="3"/>
      <c r="BR555" s="3"/>
    </row>
    <row r="556" spans="4:70" ht="15" hidden="1" customHeight="1">
      <c r="D556" s="3"/>
      <c r="J556" s="3"/>
      <c r="T556" s="3"/>
      <c r="U556" s="3"/>
      <c r="V556" s="3"/>
      <c r="W556" s="3"/>
      <c r="X556" s="3"/>
      <c r="AC556" s="3"/>
      <c r="AD556" s="3"/>
      <c r="AE556" s="3"/>
      <c r="AI556" s="3"/>
      <c r="AJ556" s="3"/>
      <c r="AU556" s="3"/>
      <c r="AV556" s="3"/>
      <c r="BA556" s="3"/>
      <c r="BB556" s="3"/>
      <c r="BE556" s="3"/>
      <c r="BF556" s="19"/>
      <c r="BG556" s="3"/>
      <c r="BN556" s="3"/>
      <c r="BR556" s="3"/>
    </row>
    <row r="557" spans="4:70" ht="15" hidden="1" customHeight="1">
      <c r="D557" s="3"/>
      <c r="J557" s="3"/>
      <c r="T557" s="3"/>
      <c r="U557" s="3"/>
      <c r="V557" s="3"/>
      <c r="W557" s="3"/>
      <c r="X557" s="3"/>
      <c r="AC557" s="3"/>
      <c r="AD557" s="3"/>
      <c r="AE557" s="3"/>
      <c r="AI557" s="3"/>
      <c r="AJ557" s="3"/>
      <c r="AU557" s="3"/>
      <c r="AV557" s="3"/>
      <c r="BA557" s="3"/>
      <c r="BB557" s="3"/>
      <c r="BE557" s="3"/>
      <c r="BF557" s="19"/>
      <c r="BG557" s="3"/>
      <c r="BN557" s="3"/>
      <c r="BR557" s="3"/>
    </row>
    <row r="558" spans="4:70" ht="15" hidden="1" customHeight="1">
      <c r="D558" s="3"/>
      <c r="J558" s="3"/>
      <c r="T558" s="3"/>
      <c r="U558" s="3"/>
      <c r="V558" s="3"/>
      <c r="W558" s="3"/>
      <c r="X558" s="3"/>
      <c r="AC558" s="3"/>
      <c r="AD558" s="3"/>
      <c r="AE558" s="3"/>
      <c r="AI558" s="3"/>
      <c r="AJ558" s="3"/>
      <c r="AU558" s="3"/>
      <c r="AV558" s="3"/>
      <c r="BA558" s="3"/>
      <c r="BB558" s="3"/>
      <c r="BE558" s="3"/>
      <c r="BF558" s="19"/>
      <c r="BG558" s="3"/>
      <c r="BN558" s="3"/>
      <c r="BR558" s="3"/>
    </row>
    <row r="559" spans="4:70" ht="15" hidden="1" customHeight="1">
      <c r="D559" s="3"/>
      <c r="J559" s="3"/>
      <c r="T559" s="3"/>
      <c r="U559" s="3"/>
      <c r="V559" s="3"/>
      <c r="W559" s="3"/>
      <c r="X559" s="3"/>
      <c r="AC559" s="3"/>
      <c r="AD559" s="3"/>
      <c r="AE559" s="3"/>
      <c r="AI559" s="3"/>
      <c r="AJ559" s="3"/>
      <c r="AU559" s="3"/>
      <c r="AV559" s="3"/>
      <c r="BA559" s="3"/>
      <c r="BB559" s="3"/>
      <c r="BE559" s="3"/>
      <c r="BF559" s="19"/>
      <c r="BG559" s="3"/>
      <c r="BN559" s="3"/>
      <c r="BR559" s="3"/>
    </row>
    <row r="560" spans="4:70" ht="15" hidden="1" customHeight="1">
      <c r="D560" s="3"/>
      <c r="J560" s="3"/>
      <c r="T560" s="3"/>
      <c r="U560" s="3"/>
      <c r="V560" s="3"/>
      <c r="W560" s="3"/>
      <c r="X560" s="3"/>
      <c r="AC560" s="3"/>
      <c r="AD560" s="3"/>
      <c r="AE560" s="3"/>
      <c r="AI560" s="3"/>
      <c r="AJ560" s="3"/>
      <c r="AU560" s="3"/>
      <c r="AV560" s="3"/>
      <c r="BA560" s="3"/>
      <c r="BB560" s="3"/>
      <c r="BE560" s="3"/>
      <c r="BF560" s="19"/>
      <c r="BG560" s="3"/>
      <c r="BN560" s="3"/>
      <c r="BR560" s="3"/>
    </row>
    <row r="561" spans="4:70" ht="15" hidden="1" customHeight="1">
      <c r="D561" s="3"/>
      <c r="J561" s="3"/>
      <c r="T561" s="3"/>
      <c r="U561" s="3"/>
      <c r="V561" s="3"/>
      <c r="W561" s="3"/>
      <c r="X561" s="3"/>
      <c r="AC561" s="3"/>
      <c r="AD561" s="3"/>
      <c r="AE561" s="3"/>
      <c r="AI561" s="3"/>
      <c r="AJ561" s="3"/>
      <c r="AU561" s="3"/>
      <c r="AV561" s="3"/>
      <c r="BA561" s="3"/>
      <c r="BB561" s="3"/>
      <c r="BE561" s="3"/>
      <c r="BF561" s="19"/>
      <c r="BG561" s="3"/>
      <c r="BN561" s="3"/>
      <c r="BR561" s="3"/>
    </row>
    <row r="562" spans="4:70" ht="15" hidden="1" customHeight="1">
      <c r="D562" s="3"/>
      <c r="J562" s="3"/>
      <c r="T562" s="3"/>
      <c r="U562" s="3"/>
      <c r="V562" s="3"/>
      <c r="W562" s="3"/>
      <c r="X562" s="3"/>
      <c r="AC562" s="3"/>
      <c r="AD562" s="3"/>
      <c r="AE562" s="3"/>
      <c r="AI562" s="3"/>
      <c r="AJ562" s="3"/>
      <c r="AU562" s="3"/>
      <c r="AV562" s="3"/>
      <c r="BA562" s="3"/>
      <c r="BB562" s="3"/>
      <c r="BE562" s="3"/>
      <c r="BF562" s="19"/>
      <c r="BG562" s="3"/>
      <c r="BN562" s="3"/>
      <c r="BR562" s="3"/>
    </row>
    <row r="563" spans="4:70" ht="15" hidden="1" customHeight="1">
      <c r="D563" s="3"/>
      <c r="J563" s="3"/>
      <c r="T563" s="3"/>
      <c r="U563" s="3"/>
      <c r="V563" s="3"/>
      <c r="W563" s="3"/>
      <c r="X563" s="3"/>
      <c r="AC563" s="3"/>
      <c r="AD563" s="3"/>
      <c r="AE563" s="3"/>
      <c r="AI563" s="3"/>
      <c r="AJ563" s="3"/>
      <c r="AU563" s="3"/>
      <c r="AV563" s="3"/>
      <c r="BA563" s="3"/>
      <c r="BB563" s="3"/>
      <c r="BE563" s="3"/>
      <c r="BF563" s="19"/>
      <c r="BG563" s="3"/>
      <c r="BN563" s="3"/>
      <c r="BR563" s="3"/>
    </row>
    <row r="564" spans="4:70" ht="15" hidden="1" customHeight="1">
      <c r="D564" s="3"/>
      <c r="J564" s="3"/>
      <c r="T564" s="3"/>
      <c r="U564" s="3"/>
      <c r="V564" s="3"/>
      <c r="W564" s="3"/>
      <c r="X564" s="3"/>
      <c r="AC564" s="3"/>
      <c r="AD564" s="3"/>
      <c r="AE564" s="3"/>
      <c r="AI564" s="3"/>
      <c r="AJ564" s="3"/>
      <c r="AU564" s="3"/>
      <c r="AV564" s="3"/>
      <c r="BA564" s="3"/>
      <c r="BB564" s="3"/>
      <c r="BE564" s="3"/>
      <c r="BF564" s="19"/>
      <c r="BG564" s="3"/>
      <c r="BN564" s="3"/>
      <c r="BR564" s="3"/>
    </row>
    <row r="565" spans="4:70" ht="15" hidden="1" customHeight="1">
      <c r="D565" s="3"/>
      <c r="J565" s="3"/>
      <c r="T565" s="3"/>
      <c r="U565" s="3"/>
      <c r="V565" s="3"/>
      <c r="W565" s="3"/>
      <c r="X565" s="3"/>
      <c r="AC565" s="3"/>
      <c r="AD565" s="3"/>
      <c r="AE565" s="3"/>
      <c r="AI565" s="3"/>
      <c r="AJ565" s="3"/>
      <c r="AU565" s="3"/>
      <c r="AV565" s="3"/>
      <c r="BA565" s="3"/>
      <c r="BB565" s="3"/>
      <c r="BE565" s="3"/>
      <c r="BF565" s="19"/>
      <c r="BG565" s="3"/>
      <c r="BN565" s="3"/>
      <c r="BR565" s="3"/>
    </row>
    <row r="566" spans="4:70" ht="15" hidden="1" customHeight="1">
      <c r="D566" s="3"/>
      <c r="J566" s="3"/>
      <c r="T566" s="3"/>
      <c r="U566" s="3"/>
      <c r="V566" s="3"/>
      <c r="W566" s="3"/>
      <c r="X566" s="3"/>
      <c r="AC566" s="3"/>
      <c r="AD566" s="3"/>
      <c r="AE566" s="3"/>
      <c r="AI566" s="3"/>
      <c r="AJ566" s="3"/>
      <c r="AU566" s="3"/>
      <c r="AV566" s="3"/>
      <c r="BA566" s="3"/>
      <c r="BB566" s="3"/>
      <c r="BE566" s="3"/>
      <c r="BF566" s="19"/>
      <c r="BG566" s="3"/>
      <c r="BN566" s="3"/>
      <c r="BR566" s="3"/>
    </row>
    <row r="567" spans="4:70" ht="15" hidden="1" customHeight="1">
      <c r="D567" s="3"/>
      <c r="J567" s="3"/>
      <c r="T567" s="3"/>
      <c r="U567" s="3"/>
      <c r="V567" s="3"/>
      <c r="W567" s="3"/>
      <c r="X567" s="3"/>
      <c r="AC567" s="3"/>
      <c r="AD567" s="3"/>
      <c r="AE567" s="3"/>
      <c r="AI567" s="3"/>
      <c r="AJ567" s="3"/>
      <c r="AU567" s="3"/>
      <c r="AV567" s="3"/>
      <c r="BA567" s="3"/>
      <c r="BB567" s="3"/>
      <c r="BE567" s="3"/>
      <c r="BF567" s="19"/>
      <c r="BG567" s="3"/>
      <c r="BN567" s="3"/>
      <c r="BR567" s="3"/>
    </row>
    <row r="568" spans="4:70" ht="15" hidden="1" customHeight="1">
      <c r="D568" s="3"/>
      <c r="J568" s="3"/>
      <c r="T568" s="3"/>
      <c r="U568" s="3"/>
      <c r="V568" s="3"/>
      <c r="W568" s="3"/>
      <c r="X568" s="3"/>
      <c r="AC568" s="3"/>
      <c r="AD568" s="3"/>
      <c r="AE568" s="3"/>
      <c r="AI568" s="3"/>
      <c r="AJ568" s="3"/>
      <c r="AU568" s="3"/>
      <c r="AV568" s="3"/>
      <c r="BA568" s="3"/>
      <c r="BB568" s="3"/>
      <c r="BE568" s="3"/>
      <c r="BF568" s="19"/>
      <c r="BG568" s="3"/>
      <c r="BN568" s="3"/>
      <c r="BR568" s="3"/>
    </row>
    <row r="569" spans="4:70" ht="15" hidden="1" customHeight="1">
      <c r="D569" s="3"/>
      <c r="J569" s="3"/>
      <c r="T569" s="3"/>
      <c r="U569" s="3"/>
      <c r="V569" s="3"/>
      <c r="W569" s="3"/>
      <c r="X569" s="3"/>
      <c r="AC569" s="3"/>
      <c r="AD569" s="3"/>
      <c r="AE569" s="3"/>
      <c r="AI569" s="3"/>
      <c r="AJ569" s="3"/>
      <c r="AU569" s="3"/>
      <c r="AV569" s="3"/>
      <c r="BA569" s="3"/>
      <c r="BB569" s="3"/>
      <c r="BE569" s="3"/>
      <c r="BF569" s="19"/>
      <c r="BG569" s="3"/>
      <c r="BN569" s="3"/>
      <c r="BR569" s="3"/>
    </row>
    <row r="570" spans="4:70" ht="15" hidden="1" customHeight="1">
      <c r="D570" s="3"/>
      <c r="J570" s="3"/>
      <c r="T570" s="3"/>
      <c r="U570" s="3"/>
      <c r="V570" s="3"/>
      <c r="W570" s="3"/>
      <c r="X570" s="3"/>
      <c r="AC570" s="3"/>
      <c r="AD570" s="3"/>
      <c r="AE570" s="3"/>
      <c r="AI570" s="3"/>
      <c r="AJ570" s="3"/>
      <c r="AU570" s="3"/>
      <c r="AV570" s="3"/>
      <c r="BA570" s="3"/>
      <c r="BB570" s="3"/>
      <c r="BE570" s="3"/>
      <c r="BF570" s="19"/>
      <c r="BG570" s="3"/>
      <c r="BN570" s="3"/>
      <c r="BR570" s="3"/>
    </row>
    <row r="571" spans="4:70" ht="15" hidden="1" customHeight="1">
      <c r="D571" s="3"/>
      <c r="J571" s="3"/>
      <c r="T571" s="3"/>
      <c r="U571" s="3"/>
      <c r="V571" s="3"/>
      <c r="W571" s="3"/>
      <c r="X571" s="3"/>
      <c r="AC571" s="3"/>
      <c r="AD571" s="3"/>
      <c r="AE571" s="3"/>
      <c r="AI571" s="3"/>
      <c r="AJ571" s="3"/>
      <c r="AU571" s="3"/>
      <c r="AV571" s="3"/>
      <c r="BA571" s="3"/>
      <c r="BB571" s="3"/>
      <c r="BE571" s="3"/>
      <c r="BF571" s="19"/>
      <c r="BG571" s="3"/>
      <c r="BN571" s="3"/>
      <c r="BR571" s="3"/>
    </row>
    <row r="572" spans="4:70" ht="15" hidden="1" customHeight="1">
      <c r="D572" s="3"/>
      <c r="J572" s="3"/>
      <c r="T572" s="3"/>
      <c r="U572" s="3"/>
      <c r="V572" s="3"/>
      <c r="W572" s="3"/>
      <c r="X572" s="3"/>
      <c r="AC572" s="3"/>
      <c r="AD572" s="3"/>
      <c r="AE572" s="3"/>
      <c r="AI572" s="3"/>
      <c r="AJ572" s="3"/>
      <c r="AU572" s="3"/>
      <c r="AV572" s="3"/>
      <c r="BA572" s="3"/>
      <c r="BB572" s="3"/>
      <c r="BE572" s="3"/>
      <c r="BF572" s="19"/>
      <c r="BG572" s="3"/>
      <c r="BN572" s="3"/>
      <c r="BR572" s="3"/>
    </row>
    <row r="573" spans="4:70" ht="15" hidden="1" customHeight="1">
      <c r="D573" s="3"/>
      <c r="J573" s="3"/>
      <c r="T573" s="3"/>
      <c r="U573" s="3"/>
      <c r="V573" s="3"/>
      <c r="W573" s="3"/>
      <c r="X573" s="3"/>
      <c r="AC573" s="3"/>
      <c r="AD573" s="3"/>
      <c r="AE573" s="3"/>
      <c r="AI573" s="3"/>
      <c r="AJ573" s="3"/>
      <c r="AU573" s="3"/>
      <c r="AV573" s="3"/>
      <c r="BA573" s="3"/>
      <c r="BB573" s="3"/>
      <c r="BE573" s="3"/>
      <c r="BF573" s="19"/>
      <c r="BG573" s="3"/>
      <c r="BN573" s="3"/>
      <c r="BR573" s="3"/>
    </row>
    <row r="574" spans="4:70" ht="15" hidden="1" customHeight="1">
      <c r="D574" s="3"/>
      <c r="J574" s="3"/>
      <c r="T574" s="3"/>
      <c r="U574" s="3"/>
      <c r="V574" s="3"/>
      <c r="W574" s="3"/>
      <c r="X574" s="3"/>
      <c r="AC574" s="3"/>
      <c r="AD574" s="3"/>
      <c r="AE574" s="3"/>
      <c r="AI574" s="3"/>
      <c r="AJ574" s="3"/>
      <c r="AU574" s="3"/>
      <c r="AV574" s="3"/>
      <c r="BA574" s="3"/>
      <c r="BB574" s="3"/>
      <c r="BE574" s="3"/>
      <c r="BF574" s="19"/>
      <c r="BG574" s="3"/>
      <c r="BN574" s="3"/>
      <c r="BR574" s="3"/>
    </row>
    <row r="575" spans="4:70" ht="15" hidden="1" customHeight="1">
      <c r="D575" s="3"/>
      <c r="J575" s="3"/>
      <c r="T575" s="3"/>
      <c r="U575" s="3"/>
      <c r="V575" s="3"/>
      <c r="W575" s="3"/>
      <c r="X575" s="3"/>
      <c r="AC575" s="3"/>
      <c r="AD575" s="3"/>
      <c r="AE575" s="3"/>
      <c r="AI575" s="3"/>
      <c r="AJ575" s="3"/>
      <c r="AU575" s="3"/>
      <c r="AV575" s="3"/>
      <c r="BA575" s="3"/>
      <c r="BB575" s="3"/>
      <c r="BE575" s="3"/>
      <c r="BF575" s="19"/>
      <c r="BG575" s="3"/>
      <c r="BN575" s="3"/>
      <c r="BR575" s="3"/>
    </row>
    <row r="576" spans="4:70" ht="15" hidden="1" customHeight="1">
      <c r="D576" s="3"/>
      <c r="J576" s="3"/>
      <c r="T576" s="3"/>
      <c r="U576" s="3"/>
      <c r="V576" s="3"/>
      <c r="W576" s="3"/>
      <c r="X576" s="3"/>
      <c r="AC576" s="3"/>
      <c r="AD576" s="3"/>
      <c r="AE576" s="3"/>
      <c r="AI576" s="3"/>
      <c r="AJ576" s="3"/>
      <c r="AU576" s="3"/>
      <c r="AV576" s="3"/>
      <c r="BA576" s="3"/>
      <c r="BB576" s="3"/>
      <c r="BE576" s="3"/>
      <c r="BF576" s="19"/>
      <c r="BG576" s="3"/>
      <c r="BN576" s="3"/>
      <c r="BR576" s="3"/>
    </row>
    <row r="577" spans="4:70" ht="15" hidden="1" customHeight="1">
      <c r="D577" s="3"/>
      <c r="J577" s="3"/>
      <c r="T577" s="3"/>
      <c r="U577" s="3"/>
      <c r="V577" s="3"/>
      <c r="W577" s="3"/>
      <c r="X577" s="3"/>
      <c r="AC577" s="3"/>
      <c r="AD577" s="3"/>
      <c r="AE577" s="3"/>
      <c r="AI577" s="3"/>
      <c r="AJ577" s="3"/>
      <c r="AU577" s="3"/>
      <c r="AV577" s="3"/>
      <c r="BA577" s="3"/>
      <c r="BB577" s="3"/>
      <c r="BE577" s="3"/>
      <c r="BF577" s="19"/>
      <c r="BG577" s="3"/>
      <c r="BN577" s="3"/>
      <c r="BR577" s="3"/>
    </row>
    <row r="578" spans="4:70" ht="15" hidden="1" customHeight="1">
      <c r="D578" s="3"/>
      <c r="J578" s="3"/>
      <c r="T578" s="3"/>
      <c r="U578" s="3"/>
      <c r="V578" s="3"/>
      <c r="W578" s="3"/>
      <c r="X578" s="3"/>
      <c r="AC578" s="3"/>
      <c r="AD578" s="3"/>
      <c r="AE578" s="3"/>
      <c r="AI578" s="3"/>
      <c r="AJ578" s="3"/>
      <c r="AU578" s="3"/>
      <c r="AV578" s="3"/>
      <c r="BA578" s="3"/>
      <c r="BB578" s="3"/>
      <c r="BE578" s="3"/>
      <c r="BF578" s="19"/>
      <c r="BG578" s="3"/>
      <c r="BN578" s="3"/>
      <c r="BR578" s="3"/>
    </row>
    <row r="579" spans="4:70" ht="15" hidden="1" customHeight="1">
      <c r="D579" s="3"/>
      <c r="J579" s="3"/>
      <c r="T579" s="3"/>
      <c r="U579" s="3"/>
      <c r="V579" s="3"/>
      <c r="W579" s="3"/>
      <c r="X579" s="3"/>
      <c r="AC579" s="3"/>
      <c r="AD579" s="3"/>
      <c r="AE579" s="3"/>
      <c r="AI579" s="3"/>
      <c r="AJ579" s="3"/>
      <c r="AU579" s="3"/>
      <c r="AV579" s="3"/>
      <c r="BA579" s="3"/>
      <c r="BB579" s="3"/>
      <c r="BE579" s="3"/>
      <c r="BF579" s="19"/>
      <c r="BG579" s="3"/>
      <c r="BN579" s="3"/>
      <c r="BR579" s="3"/>
    </row>
    <row r="580" spans="4:70" ht="15" hidden="1" customHeight="1">
      <c r="D580" s="3"/>
      <c r="J580" s="3"/>
      <c r="T580" s="3"/>
      <c r="U580" s="3"/>
      <c r="V580" s="3"/>
      <c r="W580" s="3"/>
      <c r="X580" s="3"/>
      <c r="AC580" s="3"/>
      <c r="AD580" s="3"/>
      <c r="AE580" s="3"/>
      <c r="AI580" s="3"/>
      <c r="AJ580" s="3"/>
      <c r="AU580" s="3"/>
      <c r="AV580" s="3"/>
      <c r="BA580" s="3"/>
      <c r="BB580" s="3"/>
      <c r="BE580" s="3"/>
      <c r="BF580" s="19"/>
      <c r="BG580" s="3"/>
      <c r="BN580" s="3"/>
      <c r="BR580" s="3"/>
    </row>
    <row r="581" spans="4:70" ht="15" hidden="1" customHeight="1">
      <c r="D581" s="3"/>
      <c r="J581" s="3"/>
      <c r="T581" s="3"/>
      <c r="U581" s="3"/>
      <c r="V581" s="3"/>
      <c r="W581" s="3"/>
      <c r="X581" s="3"/>
      <c r="AC581" s="3"/>
      <c r="AD581" s="3"/>
      <c r="AE581" s="3"/>
      <c r="AI581" s="3"/>
      <c r="AJ581" s="3"/>
      <c r="AU581" s="3"/>
      <c r="AV581" s="3"/>
      <c r="BA581" s="3"/>
      <c r="BB581" s="3"/>
      <c r="BE581" s="3"/>
      <c r="BF581" s="19"/>
      <c r="BG581" s="3"/>
      <c r="BN581" s="3"/>
      <c r="BR581" s="3"/>
    </row>
    <row r="582" spans="4:70" ht="15" hidden="1" customHeight="1">
      <c r="D582" s="3"/>
      <c r="J582" s="3"/>
      <c r="T582" s="3"/>
      <c r="U582" s="3"/>
      <c r="V582" s="3"/>
      <c r="W582" s="3"/>
      <c r="X582" s="3"/>
      <c r="AC582" s="3"/>
      <c r="AD582" s="3"/>
      <c r="AE582" s="3"/>
      <c r="AI582" s="3"/>
      <c r="AJ582" s="3"/>
      <c r="AU582" s="3"/>
      <c r="AV582" s="3"/>
      <c r="BA582" s="3"/>
      <c r="BB582" s="3"/>
      <c r="BE582" s="3"/>
      <c r="BF582" s="19"/>
      <c r="BG582" s="3"/>
      <c r="BN582" s="3"/>
      <c r="BR582" s="3"/>
    </row>
    <row r="583" spans="4:70" ht="15" hidden="1" customHeight="1">
      <c r="D583" s="3"/>
      <c r="J583" s="3"/>
      <c r="T583" s="3"/>
      <c r="U583" s="3"/>
      <c r="V583" s="3"/>
      <c r="W583" s="3"/>
      <c r="X583" s="3"/>
      <c r="AC583" s="3"/>
      <c r="AD583" s="3"/>
      <c r="AE583" s="3"/>
      <c r="AI583" s="3"/>
      <c r="AJ583" s="3"/>
      <c r="AU583" s="3"/>
      <c r="AV583" s="3"/>
      <c r="BA583" s="3"/>
      <c r="BB583" s="3"/>
      <c r="BE583" s="3"/>
      <c r="BF583" s="19"/>
      <c r="BG583" s="3"/>
      <c r="BN583" s="3"/>
      <c r="BR583" s="3"/>
    </row>
    <row r="584" spans="4:70" ht="15" hidden="1" customHeight="1">
      <c r="D584" s="3"/>
      <c r="J584" s="3"/>
      <c r="T584" s="3"/>
      <c r="U584" s="3"/>
      <c r="V584" s="3"/>
      <c r="W584" s="3"/>
      <c r="X584" s="3"/>
      <c r="AC584" s="3"/>
      <c r="AD584" s="3"/>
      <c r="AE584" s="3"/>
      <c r="AI584" s="3"/>
      <c r="AJ584" s="3"/>
      <c r="AU584" s="3"/>
      <c r="AV584" s="3"/>
      <c r="BA584" s="3"/>
      <c r="BB584" s="3"/>
      <c r="BE584" s="3"/>
      <c r="BF584" s="19"/>
      <c r="BG584" s="3"/>
      <c r="BN584" s="3"/>
      <c r="BR584" s="3"/>
    </row>
    <row r="585" spans="4:70" ht="15" hidden="1" customHeight="1">
      <c r="D585" s="3"/>
      <c r="J585" s="3"/>
      <c r="T585" s="3"/>
      <c r="U585" s="3"/>
      <c r="V585" s="3"/>
      <c r="W585" s="3"/>
      <c r="X585" s="3"/>
      <c r="AC585" s="3"/>
      <c r="AD585" s="3"/>
      <c r="AE585" s="3"/>
      <c r="AI585" s="3"/>
      <c r="AJ585" s="3"/>
      <c r="AU585" s="3"/>
      <c r="AV585" s="3"/>
      <c r="BA585" s="3"/>
      <c r="BB585" s="3"/>
      <c r="BE585" s="3"/>
      <c r="BF585" s="19"/>
      <c r="BG585" s="3"/>
      <c r="BN585" s="3"/>
      <c r="BR585" s="3"/>
    </row>
    <row r="586" spans="4:70" ht="15" hidden="1" customHeight="1">
      <c r="D586" s="3"/>
      <c r="J586" s="3"/>
      <c r="T586" s="3"/>
      <c r="U586" s="3"/>
      <c r="V586" s="3"/>
      <c r="W586" s="3"/>
      <c r="X586" s="3"/>
      <c r="AC586" s="3"/>
      <c r="AD586" s="3"/>
      <c r="AE586" s="3"/>
      <c r="AI586" s="3"/>
      <c r="AJ586" s="3"/>
      <c r="AU586" s="3"/>
      <c r="AV586" s="3"/>
      <c r="BA586" s="3"/>
      <c r="BB586" s="3"/>
      <c r="BE586" s="3"/>
      <c r="BF586" s="19"/>
      <c r="BG586" s="3"/>
      <c r="BN586" s="3"/>
      <c r="BR586" s="3"/>
    </row>
    <row r="587" spans="4:70" ht="15" hidden="1" customHeight="1">
      <c r="D587" s="3"/>
      <c r="J587" s="3"/>
      <c r="T587" s="3"/>
      <c r="U587" s="3"/>
      <c r="V587" s="3"/>
      <c r="W587" s="3"/>
      <c r="X587" s="3"/>
      <c r="AC587" s="3"/>
      <c r="AD587" s="3"/>
      <c r="AE587" s="3"/>
      <c r="AI587" s="3"/>
      <c r="AJ587" s="3"/>
      <c r="AU587" s="3"/>
      <c r="AV587" s="3"/>
      <c r="BA587" s="3"/>
      <c r="BB587" s="3"/>
      <c r="BE587" s="3"/>
      <c r="BF587" s="19"/>
      <c r="BG587" s="3"/>
      <c r="BN587" s="3"/>
      <c r="BR587" s="3"/>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EB3D0-DB11-47AB-9B20-B5745BE5AC49}">
  <dimension ref="A1:W32"/>
  <sheetViews>
    <sheetView topLeftCell="C14" zoomScale="72" zoomScaleNormal="60" workbookViewId="0">
      <selection activeCell="B21" sqref="B21"/>
    </sheetView>
  </sheetViews>
  <sheetFormatPr defaultRowHeight="14.45"/>
  <cols>
    <col min="1" max="1" width="14.5703125" bestFit="1" customWidth="1"/>
    <col min="2" max="2" width="106.85546875" bestFit="1" customWidth="1"/>
    <col min="3" max="3" width="200.140625" bestFit="1" customWidth="1"/>
    <col min="4" max="4" width="10" bestFit="1" customWidth="1"/>
    <col min="5" max="5" width="35" bestFit="1" customWidth="1"/>
    <col min="6" max="6" width="32.7109375" bestFit="1" customWidth="1"/>
    <col min="7" max="7" width="15.28515625" bestFit="1" customWidth="1"/>
    <col min="8" max="8" width="34.28515625" bestFit="1" customWidth="1"/>
    <col min="9" max="9" width="255.7109375" bestFit="1" customWidth="1"/>
    <col min="10" max="10" width="18" bestFit="1" customWidth="1"/>
    <col min="11" max="11" width="86.28515625" bestFit="1" customWidth="1"/>
    <col min="12" max="12" width="18" bestFit="1" customWidth="1"/>
    <col min="13" max="13" width="27.42578125" bestFit="1" customWidth="1"/>
    <col min="14" max="14" width="16.28515625" bestFit="1" customWidth="1"/>
    <col min="15" max="15" width="55.5703125" bestFit="1" customWidth="1"/>
    <col min="16" max="16" width="19.7109375" bestFit="1" customWidth="1"/>
    <col min="17" max="17" width="69" bestFit="1" customWidth="1"/>
    <col min="18" max="18" width="17.7109375" bestFit="1" customWidth="1"/>
    <col min="19" max="19" width="69.28515625" bestFit="1" customWidth="1"/>
    <col min="20" max="20" width="21.28515625" bestFit="1" customWidth="1"/>
    <col min="21" max="21" width="68.42578125" bestFit="1" customWidth="1"/>
    <col min="22" max="22" width="16.7109375" bestFit="1" customWidth="1"/>
    <col min="23" max="23" width="12.42578125" bestFit="1" customWidth="1"/>
  </cols>
  <sheetData>
    <row r="1" spans="1:23" ht="122.25" customHeight="1">
      <c r="A1" s="10" t="s">
        <v>0</v>
      </c>
      <c r="B1" s="10" t="s">
        <v>1</v>
      </c>
      <c r="C1" s="10" t="s">
        <v>2</v>
      </c>
      <c r="D1" s="10" t="s">
        <v>3</v>
      </c>
      <c r="E1" s="10" t="s">
        <v>4</v>
      </c>
      <c r="F1" s="10" t="s">
        <v>5</v>
      </c>
      <c r="G1" s="10" t="s">
        <v>624</v>
      </c>
      <c r="H1" s="10" t="s">
        <v>625</v>
      </c>
      <c r="I1" s="10" t="s">
        <v>626</v>
      </c>
      <c r="J1" s="10" t="s">
        <v>627</v>
      </c>
      <c r="K1" s="10" t="s">
        <v>628</v>
      </c>
      <c r="L1" s="10" t="s">
        <v>629</v>
      </c>
      <c r="M1" s="10" t="s">
        <v>630</v>
      </c>
      <c r="N1" s="10" t="s">
        <v>631</v>
      </c>
      <c r="O1" s="10" t="s">
        <v>632</v>
      </c>
      <c r="P1" s="10" t="s">
        <v>633</v>
      </c>
      <c r="Q1" s="10" t="s">
        <v>634</v>
      </c>
      <c r="R1" s="10" t="s">
        <v>635</v>
      </c>
      <c r="S1" s="10" t="s">
        <v>636</v>
      </c>
      <c r="T1" s="10" t="s">
        <v>637</v>
      </c>
      <c r="U1" s="10" t="s">
        <v>638</v>
      </c>
      <c r="V1" s="10" t="s">
        <v>639</v>
      </c>
      <c r="W1" s="10" t="s">
        <v>640</v>
      </c>
    </row>
    <row r="2" spans="1:23" ht="43.15">
      <c r="A2" s="10">
        <v>1</v>
      </c>
      <c r="B2" s="10" t="s">
        <v>80</v>
      </c>
      <c r="C2" s="10" t="s">
        <v>81</v>
      </c>
      <c r="D2" s="10">
        <v>2025</v>
      </c>
      <c r="E2" s="10" t="s">
        <v>82</v>
      </c>
      <c r="F2" s="10" t="s">
        <v>83</v>
      </c>
      <c r="G2" s="10" t="s">
        <v>87</v>
      </c>
      <c r="H2" s="10">
        <v>1</v>
      </c>
      <c r="I2" s="10" t="s">
        <v>641</v>
      </c>
      <c r="J2" s="10">
        <v>1</v>
      </c>
      <c r="K2" s="10"/>
      <c r="L2" s="10">
        <v>1</v>
      </c>
      <c r="M2" s="10"/>
      <c r="N2" s="10">
        <v>0.5</v>
      </c>
      <c r="O2" s="10" t="s">
        <v>642</v>
      </c>
      <c r="P2" s="10">
        <v>1</v>
      </c>
      <c r="Q2" s="10" t="s">
        <v>643</v>
      </c>
      <c r="R2" s="10">
        <v>0.5</v>
      </c>
      <c r="S2" s="10" t="s">
        <v>644</v>
      </c>
      <c r="T2" s="10">
        <v>1</v>
      </c>
      <c r="U2" s="5" t="s">
        <v>645</v>
      </c>
      <c r="V2" s="10">
        <f>SUM(H2,J2,L2,N2,P2,R2,T2)/7</f>
        <v>0.8571428571428571</v>
      </c>
      <c r="W2" s="10" t="s">
        <v>646</v>
      </c>
    </row>
    <row r="3" spans="1:23">
      <c r="A3" s="10">
        <v>5</v>
      </c>
      <c r="B3" s="10" t="s">
        <v>124</v>
      </c>
      <c r="C3" s="10" t="s">
        <v>125</v>
      </c>
      <c r="D3" s="10">
        <v>2025</v>
      </c>
      <c r="E3" s="10" t="s">
        <v>126</v>
      </c>
      <c r="F3" s="10" t="s">
        <v>127</v>
      </c>
      <c r="G3" s="10" t="s">
        <v>128</v>
      </c>
      <c r="H3" s="10">
        <v>0.5</v>
      </c>
      <c r="I3" s="10" t="s">
        <v>647</v>
      </c>
      <c r="J3" s="10">
        <v>1</v>
      </c>
      <c r="K3" s="10"/>
      <c r="L3" s="10">
        <v>1</v>
      </c>
      <c r="M3" s="10"/>
      <c r="N3" s="10">
        <v>1</v>
      </c>
      <c r="O3" s="10" t="s">
        <v>648</v>
      </c>
      <c r="P3" s="10">
        <v>0.5</v>
      </c>
      <c r="Q3" s="10" t="s">
        <v>649</v>
      </c>
      <c r="R3" s="10">
        <v>1</v>
      </c>
      <c r="S3" s="10" t="s">
        <v>650</v>
      </c>
      <c r="T3" s="10">
        <v>1</v>
      </c>
      <c r="U3" s="10" t="s">
        <v>651</v>
      </c>
      <c r="V3" s="10">
        <f t="shared" ref="V3:V29" si="0">SUM(H3,J3,L3,N3,P3,R3,T3)/7</f>
        <v>0.8571428571428571</v>
      </c>
      <c r="W3" s="10" t="s">
        <v>646</v>
      </c>
    </row>
    <row r="4" spans="1:23" ht="28.9">
      <c r="A4" s="10">
        <v>6</v>
      </c>
      <c r="B4" s="10" t="s">
        <v>135</v>
      </c>
      <c r="C4" s="10" t="s">
        <v>136</v>
      </c>
      <c r="D4" s="10">
        <v>2025</v>
      </c>
      <c r="E4" s="10" t="s">
        <v>137</v>
      </c>
      <c r="F4" s="10" t="s">
        <v>138</v>
      </c>
      <c r="G4" s="10" t="s">
        <v>140</v>
      </c>
      <c r="H4" s="10">
        <v>1</v>
      </c>
      <c r="I4" s="10" t="s">
        <v>652</v>
      </c>
      <c r="J4" s="10">
        <v>0.5</v>
      </c>
      <c r="K4" s="10" t="s">
        <v>653</v>
      </c>
      <c r="L4" s="10">
        <v>1</v>
      </c>
      <c r="M4" s="10"/>
      <c r="N4" s="10">
        <v>1</v>
      </c>
      <c r="O4" s="10" t="s">
        <v>654</v>
      </c>
      <c r="P4" s="10">
        <v>0.5</v>
      </c>
      <c r="Q4" s="10" t="s">
        <v>649</v>
      </c>
      <c r="R4" s="10">
        <v>1</v>
      </c>
      <c r="S4" s="10" t="s">
        <v>655</v>
      </c>
      <c r="T4" s="10">
        <v>0.5</v>
      </c>
      <c r="U4" s="10" t="s">
        <v>656</v>
      </c>
      <c r="V4" s="10">
        <f t="shared" si="0"/>
        <v>0.7857142857142857</v>
      </c>
      <c r="W4" s="10" t="s">
        <v>646</v>
      </c>
    </row>
    <row r="5" spans="1:23">
      <c r="A5" s="10">
        <v>13</v>
      </c>
      <c r="B5" s="10" t="s">
        <v>177</v>
      </c>
      <c r="C5" s="10" t="s">
        <v>178</v>
      </c>
      <c r="D5" s="10">
        <v>2025</v>
      </c>
      <c r="E5" s="10" t="s">
        <v>179</v>
      </c>
      <c r="F5" s="10" t="s">
        <v>180</v>
      </c>
      <c r="G5" s="10" t="s">
        <v>128</v>
      </c>
      <c r="H5" s="10">
        <v>0.5</v>
      </c>
      <c r="I5" s="10" t="s">
        <v>657</v>
      </c>
      <c r="J5" s="10">
        <v>0.5</v>
      </c>
      <c r="K5" s="10" t="s">
        <v>658</v>
      </c>
      <c r="L5" s="10">
        <v>1</v>
      </c>
      <c r="M5" s="10"/>
      <c r="N5" s="10">
        <v>1</v>
      </c>
      <c r="O5" s="10" t="s">
        <v>659</v>
      </c>
      <c r="P5" s="10">
        <v>0.5</v>
      </c>
      <c r="Q5" s="10" t="s">
        <v>649</v>
      </c>
      <c r="R5" s="10">
        <v>0.5</v>
      </c>
      <c r="S5" s="10" t="s">
        <v>644</v>
      </c>
      <c r="T5" s="10">
        <v>0.5</v>
      </c>
      <c r="U5" s="10" t="s">
        <v>660</v>
      </c>
      <c r="V5" s="10">
        <f>SUM(H5,J5,L5,N5,P5,R5,T5)/7</f>
        <v>0.6428571428571429</v>
      </c>
      <c r="W5" s="10" t="s">
        <v>221</v>
      </c>
    </row>
    <row r="6" spans="1:23">
      <c r="A6" s="10">
        <v>18</v>
      </c>
      <c r="B6" s="10" t="s">
        <v>200</v>
      </c>
      <c r="C6" s="10" t="s">
        <v>201</v>
      </c>
      <c r="D6" s="10">
        <v>2025</v>
      </c>
      <c r="E6" s="10" t="s">
        <v>202</v>
      </c>
      <c r="F6" s="10" t="s">
        <v>203</v>
      </c>
      <c r="G6" s="10" t="s">
        <v>204</v>
      </c>
      <c r="H6" s="10">
        <v>0.5</v>
      </c>
      <c r="I6" s="10" t="s">
        <v>657</v>
      </c>
      <c r="J6" s="10">
        <v>1</v>
      </c>
      <c r="K6" s="10"/>
      <c r="L6" s="10">
        <v>1</v>
      </c>
      <c r="M6" s="10"/>
      <c r="N6" s="10">
        <v>1</v>
      </c>
      <c r="O6" s="10" t="s">
        <v>661</v>
      </c>
      <c r="P6" s="10">
        <v>1</v>
      </c>
      <c r="Q6" s="10" t="s">
        <v>662</v>
      </c>
      <c r="R6" s="10">
        <v>1</v>
      </c>
      <c r="S6" s="10" t="s">
        <v>655</v>
      </c>
      <c r="T6" s="10">
        <v>0.5</v>
      </c>
      <c r="U6" s="10" t="s">
        <v>663</v>
      </c>
      <c r="V6" s="10">
        <f t="shared" si="0"/>
        <v>0.8571428571428571</v>
      </c>
      <c r="W6" s="10" t="s">
        <v>646</v>
      </c>
    </row>
    <row r="7" spans="1:23">
      <c r="A7" s="10">
        <v>20</v>
      </c>
      <c r="B7" s="10" t="s">
        <v>214</v>
      </c>
      <c r="C7" s="10" t="s">
        <v>215</v>
      </c>
      <c r="D7" s="10">
        <v>2025</v>
      </c>
      <c r="E7" s="10" t="s">
        <v>118</v>
      </c>
      <c r="F7" s="10" t="s">
        <v>216</v>
      </c>
      <c r="G7" s="10" t="s">
        <v>128</v>
      </c>
      <c r="H7" s="10">
        <v>1</v>
      </c>
      <c r="I7" s="5" t="s">
        <v>664</v>
      </c>
      <c r="J7" s="10">
        <v>0.5</v>
      </c>
      <c r="K7" s="10" t="s">
        <v>658</v>
      </c>
      <c r="L7" s="10">
        <v>1</v>
      </c>
      <c r="M7" s="10"/>
      <c r="N7" s="10">
        <v>1</v>
      </c>
      <c r="O7" s="10" t="s">
        <v>665</v>
      </c>
      <c r="P7" s="10">
        <v>0.5</v>
      </c>
      <c r="Q7" s="10" t="s">
        <v>649</v>
      </c>
      <c r="R7" s="10">
        <v>1</v>
      </c>
      <c r="S7" s="10" t="s">
        <v>655</v>
      </c>
      <c r="T7" s="10">
        <v>1</v>
      </c>
      <c r="U7" s="10" t="s">
        <v>651</v>
      </c>
      <c r="V7" s="10">
        <f t="shared" si="0"/>
        <v>0.8571428571428571</v>
      </c>
      <c r="W7" s="10" t="s">
        <v>646</v>
      </c>
    </row>
    <row r="8" spans="1:23" ht="28.9">
      <c r="A8" s="10">
        <v>21</v>
      </c>
      <c r="B8" s="10" t="s">
        <v>224</v>
      </c>
      <c r="C8" s="10" t="s">
        <v>225</v>
      </c>
      <c r="D8" s="10">
        <v>2025</v>
      </c>
      <c r="E8" s="10" t="s">
        <v>226</v>
      </c>
      <c r="F8" s="10" t="s">
        <v>227</v>
      </c>
      <c r="G8" s="10" t="s">
        <v>232</v>
      </c>
      <c r="H8" s="10">
        <v>1</v>
      </c>
      <c r="I8" s="5" t="s">
        <v>666</v>
      </c>
      <c r="J8" s="10">
        <v>1</v>
      </c>
      <c r="K8" s="10"/>
      <c r="L8" s="10">
        <v>1</v>
      </c>
      <c r="M8" s="10"/>
      <c r="N8" s="10">
        <v>1</v>
      </c>
      <c r="O8" s="10" t="s">
        <v>667</v>
      </c>
      <c r="P8" s="10">
        <v>1</v>
      </c>
      <c r="Q8" s="10" t="s">
        <v>668</v>
      </c>
      <c r="R8" s="10">
        <v>0.5</v>
      </c>
      <c r="S8" s="10" t="s">
        <v>669</v>
      </c>
      <c r="T8" s="10">
        <v>0.5</v>
      </c>
      <c r="U8" s="10" t="s">
        <v>670</v>
      </c>
      <c r="V8" s="10">
        <f t="shared" si="0"/>
        <v>0.8571428571428571</v>
      </c>
      <c r="W8" s="10" t="s">
        <v>646</v>
      </c>
    </row>
    <row r="9" spans="1:23" ht="44.45">
      <c r="A9" s="10">
        <v>22</v>
      </c>
      <c r="B9" s="10" t="s">
        <v>235</v>
      </c>
      <c r="C9" s="10" t="s">
        <v>236</v>
      </c>
      <c r="D9" s="10">
        <v>2025</v>
      </c>
      <c r="E9" s="10" t="s">
        <v>237</v>
      </c>
      <c r="F9" s="10" t="s">
        <v>238</v>
      </c>
      <c r="G9" s="10" t="s">
        <v>239</v>
      </c>
      <c r="H9" s="10">
        <v>1</v>
      </c>
      <c r="I9" s="5" t="s">
        <v>671</v>
      </c>
      <c r="J9" s="10">
        <v>1</v>
      </c>
      <c r="K9" s="10"/>
      <c r="L9" s="10">
        <v>0.5</v>
      </c>
      <c r="M9" s="10" t="s">
        <v>672</v>
      </c>
      <c r="N9" s="10">
        <v>1</v>
      </c>
      <c r="O9" s="10" t="s">
        <v>673</v>
      </c>
      <c r="P9" s="10">
        <v>1</v>
      </c>
      <c r="Q9" s="10" t="s">
        <v>674</v>
      </c>
      <c r="R9" s="10">
        <v>1</v>
      </c>
      <c r="S9" s="10" t="s">
        <v>650</v>
      </c>
      <c r="T9" s="10">
        <v>1</v>
      </c>
      <c r="U9" s="10" t="s">
        <v>651</v>
      </c>
      <c r="V9" s="10">
        <f t="shared" si="0"/>
        <v>0.9285714285714286</v>
      </c>
      <c r="W9" s="10" t="s">
        <v>646</v>
      </c>
    </row>
    <row r="10" spans="1:23" ht="43.15">
      <c r="A10" s="10">
        <v>24</v>
      </c>
      <c r="B10" s="10" t="s">
        <v>250</v>
      </c>
      <c r="C10" s="10" t="s">
        <v>251</v>
      </c>
      <c r="D10" s="10">
        <v>2025</v>
      </c>
      <c r="E10" s="10" t="s">
        <v>118</v>
      </c>
      <c r="F10" s="10" t="s">
        <v>252</v>
      </c>
      <c r="G10" s="10" t="s">
        <v>128</v>
      </c>
      <c r="H10" s="10">
        <v>1</v>
      </c>
      <c r="I10" s="5" t="s">
        <v>675</v>
      </c>
      <c r="J10" s="10">
        <v>1</v>
      </c>
      <c r="K10" s="10"/>
      <c r="L10" s="10">
        <v>1</v>
      </c>
      <c r="M10" s="10"/>
      <c r="N10" s="10">
        <v>1</v>
      </c>
      <c r="O10" s="10" t="s">
        <v>676</v>
      </c>
      <c r="P10" s="10">
        <v>0.5</v>
      </c>
      <c r="Q10" s="10" t="s">
        <v>649</v>
      </c>
      <c r="R10" s="10">
        <v>1</v>
      </c>
      <c r="S10" s="10" t="s">
        <v>655</v>
      </c>
      <c r="T10" s="10">
        <v>1</v>
      </c>
      <c r="U10" s="10" t="s">
        <v>651</v>
      </c>
      <c r="V10" s="10">
        <f t="shared" si="0"/>
        <v>0.9285714285714286</v>
      </c>
      <c r="W10" s="10" t="s">
        <v>646</v>
      </c>
    </row>
    <row r="11" spans="1:23" ht="15.75" customHeight="1">
      <c r="A11" s="10">
        <v>27</v>
      </c>
      <c r="B11" s="10" t="s">
        <v>264</v>
      </c>
      <c r="C11" s="10" t="s">
        <v>265</v>
      </c>
      <c r="D11" s="10">
        <v>2025</v>
      </c>
      <c r="E11" s="10" t="s">
        <v>158</v>
      </c>
      <c r="F11" s="10" t="s">
        <v>266</v>
      </c>
      <c r="G11" s="10" t="s">
        <v>267</v>
      </c>
      <c r="H11" s="10">
        <v>1</v>
      </c>
      <c r="I11" s="5" t="s">
        <v>677</v>
      </c>
      <c r="J11" s="10">
        <v>1</v>
      </c>
      <c r="K11" s="10"/>
      <c r="L11" s="10">
        <v>1</v>
      </c>
      <c r="M11" s="10"/>
      <c r="N11" s="10">
        <v>1</v>
      </c>
      <c r="O11" s="10" t="s">
        <v>678</v>
      </c>
      <c r="P11" s="10">
        <v>1</v>
      </c>
      <c r="Q11" s="10" t="s">
        <v>643</v>
      </c>
      <c r="R11" s="10">
        <v>1</v>
      </c>
      <c r="S11" s="10" t="s">
        <v>655</v>
      </c>
      <c r="T11" s="10">
        <v>1</v>
      </c>
      <c r="U11" s="10" t="s">
        <v>651</v>
      </c>
      <c r="V11" s="10">
        <f t="shared" si="0"/>
        <v>1</v>
      </c>
      <c r="W11" s="10" t="s">
        <v>646</v>
      </c>
    </row>
    <row r="12" spans="1:23" ht="15.75" customHeight="1">
      <c r="A12" s="10">
        <v>33</v>
      </c>
      <c r="B12" s="10" t="s">
        <v>292</v>
      </c>
      <c r="C12" s="10" t="s">
        <v>293</v>
      </c>
      <c r="D12" s="10">
        <v>2025</v>
      </c>
      <c r="E12" s="10" t="s">
        <v>294</v>
      </c>
      <c r="F12" s="10" t="s">
        <v>295</v>
      </c>
      <c r="G12" s="10" t="s">
        <v>229</v>
      </c>
      <c r="H12" s="10">
        <v>1</v>
      </c>
      <c r="I12" s="5" t="s">
        <v>679</v>
      </c>
      <c r="J12" s="10">
        <v>1</v>
      </c>
      <c r="K12" s="10"/>
      <c r="L12" s="10">
        <v>1</v>
      </c>
      <c r="M12" s="10"/>
      <c r="N12" s="10">
        <v>1</v>
      </c>
      <c r="O12" s="5" t="s">
        <v>680</v>
      </c>
      <c r="P12" s="10">
        <v>0.5</v>
      </c>
      <c r="Q12" s="10" t="s">
        <v>649</v>
      </c>
      <c r="R12" s="10">
        <v>1</v>
      </c>
      <c r="S12" s="10" t="s">
        <v>655</v>
      </c>
      <c r="T12" s="10">
        <v>0.5</v>
      </c>
      <c r="U12" s="10" t="s">
        <v>681</v>
      </c>
      <c r="V12" s="10">
        <f t="shared" si="0"/>
        <v>0.8571428571428571</v>
      </c>
      <c r="W12" s="10" t="s">
        <v>646</v>
      </c>
    </row>
    <row r="13" spans="1:23" ht="28.9">
      <c r="A13" s="10">
        <v>34</v>
      </c>
      <c r="B13" s="10" t="s">
        <v>299</v>
      </c>
      <c r="C13" s="10" t="s">
        <v>300</v>
      </c>
      <c r="D13" s="10">
        <v>2025</v>
      </c>
      <c r="E13" s="10" t="s">
        <v>301</v>
      </c>
      <c r="F13" s="10" t="s">
        <v>302</v>
      </c>
      <c r="G13" s="10" t="s">
        <v>303</v>
      </c>
      <c r="H13" s="10">
        <v>1</v>
      </c>
      <c r="I13" s="5" t="s">
        <v>682</v>
      </c>
      <c r="J13" s="10">
        <v>0.5</v>
      </c>
      <c r="K13" s="10" t="s">
        <v>683</v>
      </c>
      <c r="L13" s="10">
        <v>1</v>
      </c>
      <c r="M13" s="10"/>
      <c r="N13" s="10">
        <v>1</v>
      </c>
      <c r="O13" s="5" t="s">
        <v>684</v>
      </c>
      <c r="P13" s="10">
        <v>0.5</v>
      </c>
      <c r="Q13" s="10" t="s">
        <v>649</v>
      </c>
      <c r="R13" s="10">
        <v>1</v>
      </c>
      <c r="S13" s="10" t="s">
        <v>655</v>
      </c>
      <c r="T13" s="10">
        <v>0.5</v>
      </c>
      <c r="U13" s="10" t="s">
        <v>681</v>
      </c>
      <c r="V13" s="10">
        <f t="shared" si="0"/>
        <v>0.7857142857142857</v>
      </c>
      <c r="W13" s="10" t="s">
        <v>646</v>
      </c>
    </row>
    <row r="14" spans="1:23" s="7" customFormat="1" ht="28.9">
      <c r="A14" s="10">
        <v>39</v>
      </c>
      <c r="B14" s="10" t="s">
        <v>322</v>
      </c>
      <c r="C14" s="10" t="s">
        <v>323</v>
      </c>
      <c r="D14" s="10">
        <v>2025</v>
      </c>
      <c r="E14" s="10" t="s">
        <v>324</v>
      </c>
      <c r="F14" s="10" t="s">
        <v>325</v>
      </c>
      <c r="G14" s="10" t="s">
        <v>204</v>
      </c>
      <c r="H14" s="10">
        <v>1</v>
      </c>
      <c r="I14" s="5" t="s">
        <v>685</v>
      </c>
      <c r="J14" s="10">
        <v>0.5</v>
      </c>
      <c r="K14" s="10" t="s">
        <v>686</v>
      </c>
      <c r="L14" s="10">
        <v>1</v>
      </c>
      <c r="M14" s="10"/>
      <c r="N14" s="10">
        <v>1</v>
      </c>
      <c r="O14" s="10" t="s">
        <v>687</v>
      </c>
      <c r="P14" s="10">
        <v>0.5</v>
      </c>
      <c r="Q14" s="10" t="s">
        <v>688</v>
      </c>
      <c r="R14" s="10">
        <v>0.5</v>
      </c>
      <c r="S14" s="10" t="s">
        <v>689</v>
      </c>
      <c r="T14" s="10">
        <v>1</v>
      </c>
      <c r="U14" s="10" t="s">
        <v>651</v>
      </c>
      <c r="V14" s="10">
        <f t="shared" si="0"/>
        <v>0.7857142857142857</v>
      </c>
      <c r="W14" s="10" t="s">
        <v>646</v>
      </c>
    </row>
    <row r="15" spans="1:23" ht="28.9">
      <c r="A15" s="10">
        <v>44</v>
      </c>
      <c r="B15" s="10" t="s">
        <v>351</v>
      </c>
      <c r="C15" s="10" t="s">
        <v>352</v>
      </c>
      <c r="D15" s="10">
        <v>2025</v>
      </c>
      <c r="E15" s="10" t="s">
        <v>202</v>
      </c>
      <c r="F15" s="10" t="s">
        <v>353</v>
      </c>
      <c r="G15" s="10" t="s">
        <v>690</v>
      </c>
      <c r="H15" s="10">
        <v>1</v>
      </c>
      <c r="I15" s="5" t="s">
        <v>691</v>
      </c>
      <c r="J15" s="10">
        <v>1</v>
      </c>
      <c r="K15" s="10"/>
      <c r="L15" s="10">
        <v>1</v>
      </c>
      <c r="M15" s="10"/>
      <c r="N15" s="10">
        <v>1</v>
      </c>
      <c r="O15" s="10" t="s">
        <v>692</v>
      </c>
      <c r="P15" s="10">
        <v>1</v>
      </c>
      <c r="Q15" s="10" t="s">
        <v>668</v>
      </c>
      <c r="R15" s="10">
        <v>1</v>
      </c>
      <c r="S15" s="10" t="s">
        <v>655</v>
      </c>
      <c r="T15" s="10">
        <v>0.5</v>
      </c>
      <c r="U15" s="10" t="s">
        <v>693</v>
      </c>
      <c r="V15" s="10">
        <f t="shared" si="0"/>
        <v>0.9285714285714286</v>
      </c>
      <c r="W15" s="10" t="s">
        <v>646</v>
      </c>
    </row>
    <row r="16" spans="1:23" s="7" customFormat="1" ht="28.9">
      <c r="A16" s="10">
        <v>53</v>
      </c>
      <c r="B16" s="10" t="s">
        <v>390</v>
      </c>
      <c r="C16" s="10" t="s">
        <v>391</v>
      </c>
      <c r="D16" s="10">
        <v>2024</v>
      </c>
      <c r="E16" s="10" t="s">
        <v>163</v>
      </c>
      <c r="F16" s="10" t="s">
        <v>392</v>
      </c>
      <c r="G16" s="10" t="s">
        <v>334</v>
      </c>
      <c r="H16" s="10">
        <v>0.5</v>
      </c>
      <c r="I16" s="5" t="s">
        <v>694</v>
      </c>
      <c r="J16" s="10">
        <v>1</v>
      </c>
      <c r="K16" s="10" t="s">
        <v>686</v>
      </c>
      <c r="L16" s="10">
        <v>1</v>
      </c>
      <c r="M16" s="10"/>
      <c r="N16" s="10">
        <v>1</v>
      </c>
      <c r="O16" s="10" t="s">
        <v>695</v>
      </c>
      <c r="P16" s="10">
        <v>0</v>
      </c>
      <c r="Q16" s="10" t="s">
        <v>696</v>
      </c>
      <c r="R16" s="10">
        <v>1</v>
      </c>
      <c r="S16" s="10" t="s">
        <v>655</v>
      </c>
      <c r="T16" s="10">
        <v>1</v>
      </c>
      <c r="U16" s="5" t="s">
        <v>645</v>
      </c>
      <c r="V16" s="10">
        <f t="shared" si="0"/>
        <v>0.7857142857142857</v>
      </c>
      <c r="W16" s="10" t="s">
        <v>646</v>
      </c>
    </row>
    <row r="17" spans="1:23" ht="43.15">
      <c r="A17" s="10">
        <v>55</v>
      </c>
      <c r="B17" s="10" t="s">
        <v>407</v>
      </c>
      <c r="C17" s="10" t="s">
        <v>408</v>
      </c>
      <c r="D17" s="10">
        <v>2024</v>
      </c>
      <c r="E17" s="10" t="s">
        <v>122</v>
      </c>
      <c r="F17" s="10" t="s">
        <v>409</v>
      </c>
      <c r="G17" s="10" t="s">
        <v>303</v>
      </c>
      <c r="H17" s="10">
        <v>1</v>
      </c>
      <c r="I17" s="5" t="s">
        <v>697</v>
      </c>
      <c r="J17" s="10">
        <v>1</v>
      </c>
      <c r="K17" s="10"/>
      <c r="L17" s="10">
        <v>1</v>
      </c>
      <c r="M17" s="10"/>
      <c r="N17" s="10">
        <v>1</v>
      </c>
      <c r="O17" s="10" t="s">
        <v>698</v>
      </c>
      <c r="P17" s="10">
        <v>1</v>
      </c>
      <c r="Q17" s="10" t="s">
        <v>699</v>
      </c>
      <c r="R17" s="10">
        <v>0.5</v>
      </c>
      <c r="S17" s="10" t="s">
        <v>644</v>
      </c>
      <c r="T17" s="10">
        <v>1</v>
      </c>
      <c r="U17" s="10" t="s">
        <v>651</v>
      </c>
      <c r="V17" s="10">
        <f t="shared" si="0"/>
        <v>0.9285714285714286</v>
      </c>
      <c r="W17" s="10" t="s">
        <v>646</v>
      </c>
    </row>
    <row r="18" spans="1:23" s="7" customFormat="1" ht="28.9">
      <c r="A18" s="10">
        <v>63</v>
      </c>
      <c r="B18" s="10" t="s">
        <v>445</v>
      </c>
      <c r="C18" s="10" t="s">
        <v>446</v>
      </c>
      <c r="D18" s="10">
        <v>2024</v>
      </c>
      <c r="E18" s="10" t="s">
        <v>447</v>
      </c>
      <c r="F18" s="10" t="s">
        <v>448</v>
      </c>
      <c r="G18" s="10" t="s">
        <v>334</v>
      </c>
      <c r="H18" s="10">
        <v>1</v>
      </c>
      <c r="I18" s="5" t="s">
        <v>700</v>
      </c>
      <c r="J18" s="10">
        <v>0.5</v>
      </c>
      <c r="K18" s="10" t="s">
        <v>701</v>
      </c>
      <c r="L18" s="10">
        <v>1</v>
      </c>
      <c r="M18" s="10"/>
      <c r="N18" s="10">
        <v>0</v>
      </c>
      <c r="O18" s="10" t="s">
        <v>702</v>
      </c>
      <c r="P18" s="10">
        <v>0.5</v>
      </c>
      <c r="Q18" s="10" t="s">
        <v>688</v>
      </c>
      <c r="R18" s="10">
        <v>0.5</v>
      </c>
      <c r="S18" s="10" t="s">
        <v>703</v>
      </c>
      <c r="T18" s="10">
        <v>1</v>
      </c>
      <c r="U18" s="10" t="s">
        <v>651</v>
      </c>
      <c r="V18" s="10">
        <f t="shared" si="0"/>
        <v>0.6428571428571429</v>
      </c>
      <c r="W18" s="10" t="s">
        <v>221</v>
      </c>
    </row>
    <row r="19" spans="1:23" ht="28.9">
      <c r="A19" s="10">
        <v>64</v>
      </c>
      <c r="B19" s="10" t="s">
        <v>454</v>
      </c>
      <c r="C19" s="10" t="s">
        <v>455</v>
      </c>
      <c r="D19" s="10">
        <v>2024</v>
      </c>
      <c r="E19" s="10" t="s">
        <v>456</v>
      </c>
      <c r="F19" s="10" t="s">
        <v>457</v>
      </c>
      <c r="G19" s="10" t="s">
        <v>303</v>
      </c>
      <c r="H19" s="10">
        <v>0.5</v>
      </c>
      <c r="I19" s="15" t="s">
        <v>704</v>
      </c>
      <c r="J19" s="10">
        <v>1</v>
      </c>
      <c r="K19" s="10"/>
      <c r="L19" s="10">
        <v>1</v>
      </c>
      <c r="M19" s="10"/>
      <c r="N19" s="10">
        <v>0</v>
      </c>
      <c r="O19" s="10" t="s">
        <v>705</v>
      </c>
      <c r="P19" s="10">
        <v>1</v>
      </c>
      <c r="Q19" s="10" t="s">
        <v>643</v>
      </c>
      <c r="R19" s="10">
        <v>0.5</v>
      </c>
      <c r="S19" s="10" t="s">
        <v>706</v>
      </c>
      <c r="T19" s="10">
        <v>1</v>
      </c>
      <c r="U19" s="10" t="s">
        <v>651</v>
      </c>
      <c r="V19" s="10">
        <f t="shared" si="0"/>
        <v>0.7142857142857143</v>
      </c>
      <c r="W19" s="10" t="s">
        <v>221</v>
      </c>
    </row>
    <row r="20" spans="1:23" ht="28.9">
      <c r="A20" s="10">
        <v>71</v>
      </c>
      <c r="B20" s="10" t="s">
        <v>483</v>
      </c>
      <c r="C20" s="10" t="s">
        <v>484</v>
      </c>
      <c r="D20" s="10">
        <v>2024</v>
      </c>
      <c r="E20" s="10" t="s">
        <v>118</v>
      </c>
      <c r="F20" s="10" t="s">
        <v>485</v>
      </c>
      <c r="G20" s="10" t="s">
        <v>486</v>
      </c>
      <c r="H20" s="10">
        <v>1</v>
      </c>
      <c r="I20" s="5" t="s">
        <v>707</v>
      </c>
      <c r="J20" s="10">
        <v>1</v>
      </c>
      <c r="K20" s="10" t="s">
        <v>708</v>
      </c>
      <c r="L20" s="10">
        <v>1</v>
      </c>
      <c r="M20" s="10"/>
      <c r="N20" s="10">
        <v>1</v>
      </c>
      <c r="O20" s="10" t="s">
        <v>709</v>
      </c>
      <c r="P20" s="10">
        <v>0.5</v>
      </c>
      <c r="Q20" s="10" t="s">
        <v>688</v>
      </c>
      <c r="R20" s="10">
        <v>1</v>
      </c>
      <c r="S20" s="10" t="s">
        <v>655</v>
      </c>
      <c r="T20" s="10">
        <v>1</v>
      </c>
      <c r="U20" s="10" t="s">
        <v>651</v>
      </c>
      <c r="V20" s="10">
        <f t="shared" si="0"/>
        <v>0.9285714285714286</v>
      </c>
      <c r="W20" s="10" t="s">
        <v>646</v>
      </c>
    </row>
    <row r="21" spans="1:23" ht="28.9">
      <c r="A21" s="10">
        <v>72</v>
      </c>
      <c r="B21" s="10" t="s">
        <v>494</v>
      </c>
      <c r="C21" s="10" t="s">
        <v>495</v>
      </c>
      <c r="D21" s="10">
        <v>2024</v>
      </c>
      <c r="E21" s="10" t="s">
        <v>118</v>
      </c>
      <c r="F21" s="10" t="s">
        <v>496</v>
      </c>
      <c r="G21" s="10" t="s">
        <v>334</v>
      </c>
      <c r="H21" s="10">
        <v>0.5</v>
      </c>
      <c r="I21" s="5" t="s">
        <v>710</v>
      </c>
      <c r="J21" s="10">
        <v>1</v>
      </c>
      <c r="K21" s="10"/>
      <c r="L21" s="10">
        <v>1</v>
      </c>
      <c r="M21" s="10"/>
      <c r="N21" s="10">
        <v>1</v>
      </c>
      <c r="O21" s="10" t="s">
        <v>711</v>
      </c>
      <c r="P21" s="10">
        <v>0.5</v>
      </c>
      <c r="Q21" s="10" t="s">
        <v>688</v>
      </c>
      <c r="R21" s="10">
        <v>0.5</v>
      </c>
      <c r="S21" s="10" t="s">
        <v>712</v>
      </c>
      <c r="T21" s="10">
        <v>1</v>
      </c>
      <c r="U21" s="10" t="s">
        <v>651</v>
      </c>
      <c r="V21" s="10">
        <f>SUM(H21,J21,L21,N21,P21,R21,T21)/7</f>
        <v>0.7857142857142857</v>
      </c>
      <c r="W21" s="10" t="s">
        <v>646</v>
      </c>
    </row>
    <row r="22" spans="1:23" ht="28.9">
      <c r="A22" s="10">
        <v>73</v>
      </c>
      <c r="B22" s="10" t="s">
        <v>505</v>
      </c>
      <c r="C22" s="10" t="s">
        <v>506</v>
      </c>
      <c r="D22" s="10">
        <v>2024</v>
      </c>
      <c r="E22" s="10" t="s">
        <v>507</v>
      </c>
      <c r="F22" s="10" t="s">
        <v>508</v>
      </c>
      <c r="G22" s="10" t="s">
        <v>232</v>
      </c>
      <c r="H22" s="10">
        <v>1</v>
      </c>
      <c r="I22" s="5" t="s">
        <v>713</v>
      </c>
      <c r="J22" s="10">
        <v>1</v>
      </c>
      <c r="K22" s="10"/>
      <c r="L22" s="10">
        <v>1</v>
      </c>
      <c r="M22" s="10"/>
      <c r="N22" s="10">
        <v>1</v>
      </c>
      <c r="O22" s="10" t="s">
        <v>714</v>
      </c>
      <c r="P22" s="10">
        <v>1</v>
      </c>
      <c r="Q22" s="10" t="s">
        <v>699</v>
      </c>
      <c r="R22" s="10">
        <v>1</v>
      </c>
      <c r="S22" s="10" t="s">
        <v>655</v>
      </c>
      <c r="T22" s="10">
        <v>1</v>
      </c>
      <c r="U22" s="10" t="s">
        <v>651</v>
      </c>
      <c r="V22" s="10">
        <f t="shared" si="0"/>
        <v>1</v>
      </c>
      <c r="W22" s="10" t="s">
        <v>646</v>
      </c>
    </row>
    <row r="23" spans="1:23" ht="28.9">
      <c r="A23" s="10">
        <v>77</v>
      </c>
      <c r="B23" s="10" t="s">
        <v>523</v>
      </c>
      <c r="C23" s="10" t="s">
        <v>524</v>
      </c>
      <c r="D23" s="10">
        <v>2024</v>
      </c>
      <c r="E23" s="10" t="s">
        <v>137</v>
      </c>
      <c r="F23" s="10" t="s">
        <v>525</v>
      </c>
      <c r="G23" s="10" t="s">
        <v>229</v>
      </c>
      <c r="H23" s="10">
        <v>0.5</v>
      </c>
      <c r="I23" s="5" t="s">
        <v>715</v>
      </c>
      <c r="J23" s="10">
        <v>0.5</v>
      </c>
      <c r="K23" s="10" t="s">
        <v>658</v>
      </c>
      <c r="L23" s="10">
        <v>1</v>
      </c>
      <c r="M23" s="10"/>
      <c r="N23" s="10">
        <v>1</v>
      </c>
      <c r="O23" s="10" t="s">
        <v>716</v>
      </c>
      <c r="P23" s="10">
        <v>0.5</v>
      </c>
      <c r="Q23" s="10" t="s">
        <v>649</v>
      </c>
      <c r="R23" s="10">
        <v>0.5</v>
      </c>
      <c r="S23" s="10" t="s">
        <v>717</v>
      </c>
      <c r="T23" s="10">
        <v>1</v>
      </c>
      <c r="U23" s="10" t="s">
        <v>651</v>
      </c>
      <c r="V23" s="10">
        <f t="shared" si="0"/>
        <v>0.7142857142857143</v>
      </c>
      <c r="W23" s="10" t="s">
        <v>221</v>
      </c>
    </row>
    <row r="24" spans="1:23" ht="28.9">
      <c r="A24" s="10">
        <v>79</v>
      </c>
      <c r="B24" s="10" t="s">
        <v>537</v>
      </c>
      <c r="C24" s="10" t="s">
        <v>538</v>
      </c>
      <c r="D24" s="10">
        <v>2024</v>
      </c>
      <c r="E24" s="10" t="s">
        <v>539</v>
      </c>
      <c r="F24" s="10" t="s">
        <v>540</v>
      </c>
      <c r="G24" s="10" t="s">
        <v>541</v>
      </c>
      <c r="H24" s="10">
        <v>1</v>
      </c>
      <c r="I24" s="5" t="s">
        <v>718</v>
      </c>
      <c r="J24" s="10">
        <v>0.5</v>
      </c>
      <c r="K24" s="10" t="s">
        <v>708</v>
      </c>
      <c r="L24" s="10">
        <v>1</v>
      </c>
      <c r="M24" s="10"/>
      <c r="N24" s="10">
        <v>1</v>
      </c>
      <c r="O24" s="10" t="s">
        <v>719</v>
      </c>
      <c r="P24" s="10">
        <v>0</v>
      </c>
      <c r="Q24" s="10" t="s">
        <v>720</v>
      </c>
      <c r="R24" s="10">
        <v>0.5</v>
      </c>
      <c r="S24" s="10" t="s">
        <v>721</v>
      </c>
      <c r="T24" s="10">
        <v>1</v>
      </c>
      <c r="U24" s="10" t="s">
        <v>651</v>
      </c>
      <c r="V24" s="10">
        <f>SUM(H24,J24,L24,N24,P24,R24,T24)/7</f>
        <v>0.7142857142857143</v>
      </c>
      <c r="W24" s="10" t="s">
        <v>221</v>
      </c>
    </row>
    <row r="25" spans="1:23">
      <c r="A25" s="10">
        <v>80</v>
      </c>
      <c r="B25" s="10" t="s">
        <v>551</v>
      </c>
      <c r="C25" s="10" t="s">
        <v>552</v>
      </c>
      <c r="D25" s="10">
        <v>2024</v>
      </c>
      <c r="E25" s="10" t="s">
        <v>553</v>
      </c>
      <c r="F25" s="10" t="s">
        <v>554</v>
      </c>
      <c r="G25" s="10" t="s">
        <v>229</v>
      </c>
      <c r="H25" s="10">
        <v>1</v>
      </c>
      <c r="I25" s="5" t="s">
        <v>722</v>
      </c>
      <c r="J25" s="10">
        <v>1</v>
      </c>
      <c r="K25" s="10"/>
      <c r="L25" s="10">
        <v>1</v>
      </c>
      <c r="M25" s="10"/>
      <c r="N25" s="10">
        <v>1</v>
      </c>
      <c r="O25" s="10" t="s">
        <v>723</v>
      </c>
      <c r="P25" s="10">
        <v>1</v>
      </c>
      <c r="Q25" s="10" t="s">
        <v>699</v>
      </c>
      <c r="R25" s="10">
        <v>1</v>
      </c>
      <c r="S25" s="10" t="s">
        <v>655</v>
      </c>
      <c r="T25" s="10">
        <v>1</v>
      </c>
      <c r="U25" s="10" t="s">
        <v>651</v>
      </c>
      <c r="V25" s="10">
        <f t="shared" si="0"/>
        <v>1</v>
      </c>
      <c r="W25" s="10" t="s">
        <v>646</v>
      </c>
    </row>
    <row r="26" spans="1:23">
      <c r="A26" s="10">
        <v>81</v>
      </c>
      <c r="B26" s="10" t="s">
        <v>561</v>
      </c>
      <c r="C26" s="10" t="s">
        <v>562</v>
      </c>
      <c r="D26" s="10">
        <v>2024</v>
      </c>
      <c r="E26" s="10" t="s">
        <v>310</v>
      </c>
      <c r="F26" s="10" t="s">
        <v>563</v>
      </c>
      <c r="G26" s="10" t="s">
        <v>128</v>
      </c>
      <c r="H26" s="10">
        <v>1</v>
      </c>
      <c r="I26" s="5" t="s">
        <v>724</v>
      </c>
      <c r="J26" s="10">
        <v>1</v>
      </c>
      <c r="K26" s="10"/>
      <c r="L26" s="10">
        <v>1</v>
      </c>
      <c r="M26" s="10"/>
      <c r="N26" s="10">
        <v>1</v>
      </c>
      <c r="O26" s="10" t="s">
        <v>725</v>
      </c>
      <c r="P26" s="10">
        <v>0.5</v>
      </c>
      <c r="Q26" s="10" t="s">
        <v>726</v>
      </c>
      <c r="R26" s="10">
        <v>0.5</v>
      </c>
      <c r="S26" s="10" t="s">
        <v>727</v>
      </c>
      <c r="T26" s="10">
        <v>0.5</v>
      </c>
      <c r="U26" s="10" t="s">
        <v>728</v>
      </c>
      <c r="V26" s="10">
        <f t="shared" si="0"/>
        <v>0.7857142857142857</v>
      </c>
      <c r="W26" s="10" t="s">
        <v>646</v>
      </c>
    </row>
    <row r="27" spans="1:23">
      <c r="A27" s="10">
        <v>82</v>
      </c>
      <c r="B27" s="10" t="s">
        <v>568</v>
      </c>
      <c r="C27" s="10" t="s">
        <v>569</v>
      </c>
      <c r="D27" s="10">
        <v>2024</v>
      </c>
      <c r="E27" s="10" t="s">
        <v>259</v>
      </c>
      <c r="F27" s="10" t="s">
        <v>570</v>
      </c>
      <c r="G27" s="10" t="s">
        <v>729</v>
      </c>
      <c r="H27" s="10">
        <v>1</v>
      </c>
      <c r="I27" s="5" t="s">
        <v>730</v>
      </c>
      <c r="J27" s="10">
        <v>0.5</v>
      </c>
      <c r="K27" s="10" t="s">
        <v>658</v>
      </c>
      <c r="L27" s="10">
        <v>1</v>
      </c>
      <c r="M27" s="10"/>
      <c r="N27" s="10">
        <v>1</v>
      </c>
      <c r="O27" s="10" t="s">
        <v>731</v>
      </c>
      <c r="P27" s="10">
        <v>0.5</v>
      </c>
      <c r="Q27" s="10" t="s">
        <v>649</v>
      </c>
      <c r="R27" s="10">
        <v>0.5</v>
      </c>
      <c r="S27" s="10" t="s">
        <v>727</v>
      </c>
      <c r="T27" s="10">
        <v>0.5</v>
      </c>
      <c r="U27" s="10" t="s">
        <v>681</v>
      </c>
      <c r="V27" s="10">
        <f t="shared" si="0"/>
        <v>0.7142857142857143</v>
      </c>
      <c r="W27" s="10" t="s">
        <v>221</v>
      </c>
    </row>
    <row r="28" spans="1:23">
      <c r="A28" s="10">
        <v>91</v>
      </c>
      <c r="B28" s="10" t="s">
        <v>606</v>
      </c>
      <c r="C28" s="10" t="s">
        <v>607</v>
      </c>
      <c r="D28" s="10">
        <v>2024</v>
      </c>
      <c r="E28" s="10" t="s">
        <v>608</v>
      </c>
      <c r="F28" s="10" t="s">
        <v>609</v>
      </c>
      <c r="G28" s="10" t="s">
        <v>303</v>
      </c>
      <c r="H28" s="10">
        <v>1</v>
      </c>
      <c r="I28" s="10" t="s">
        <v>732</v>
      </c>
      <c r="J28" s="10">
        <v>0.5</v>
      </c>
      <c r="K28" s="10" t="s">
        <v>658</v>
      </c>
      <c r="L28" s="10">
        <v>1</v>
      </c>
      <c r="M28" s="10"/>
      <c r="N28" s="10">
        <v>1</v>
      </c>
      <c r="O28" s="10" t="s">
        <v>733</v>
      </c>
      <c r="P28" s="10">
        <v>0</v>
      </c>
      <c r="Q28" s="10" t="s">
        <v>734</v>
      </c>
      <c r="R28" s="10">
        <v>0.5</v>
      </c>
      <c r="S28" s="10" t="s">
        <v>727</v>
      </c>
      <c r="T28" s="10">
        <v>0.5</v>
      </c>
      <c r="U28" s="10" t="s">
        <v>681</v>
      </c>
      <c r="V28" s="10">
        <f t="shared" si="0"/>
        <v>0.6428571428571429</v>
      </c>
      <c r="W28" s="10" t="s">
        <v>221</v>
      </c>
    </row>
    <row r="29" spans="1:23">
      <c r="A29" s="10">
        <v>93</v>
      </c>
      <c r="B29" s="10" t="s">
        <v>614</v>
      </c>
      <c r="C29" s="10" t="s">
        <v>615</v>
      </c>
      <c r="D29" s="10">
        <v>2024</v>
      </c>
      <c r="E29" s="10" t="s">
        <v>616</v>
      </c>
      <c r="F29" s="10" t="s">
        <v>617</v>
      </c>
      <c r="G29" s="10" t="s">
        <v>303</v>
      </c>
      <c r="H29" s="10">
        <v>1</v>
      </c>
      <c r="I29" s="10" t="s">
        <v>735</v>
      </c>
      <c r="J29" s="10">
        <v>1</v>
      </c>
      <c r="K29" s="10"/>
      <c r="L29" s="10">
        <v>0.5</v>
      </c>
      <c r="M29" s="10" t="s">
        <v>672</v>
      </c>
      <c r="N29" s="10">
        <v>1</v>
      </c>
      <c r="O29" s="10" t="s">
        <v>733</v>
      </c>
      <c r="P29" s="10">
        <v>1</v>
      </c>
      <c r="Q29" s="10" t="s">
        <v>674</v>
      </c>
      <c r="R29" s="10">
        <v>1</v>
      </c>
      <c r="S29" s="10" t="s">
        <v>655</v>
      </c>
      <c r="T29" s="10">
        <v>0.5</v>
      </c>
      <c r="U29" s="10" t="s">
        <v>681</v>
      </c>
      <c r="V29" s="10">
        <f t="shared" si="0"/>
        <v>0.8571428571428571</v>
      </c>
      <c r="W29" s="10" t="s">
        <v>646</v>
      </c>
    </row>
    <row r="30" spans="1:23">
      <c r="A30" s="10"/>
      <c r="B30" s="10"/>
      <c r="C30" s="10"/>
      <c r="D30" s="12"/>
      <c r="E30" s="10"/>
      <c r="F30" s="10"/>
      <c r="G30" s="10"/>
      <c r="H30" s="10"/>
      <c r="I30" s="10"/>
      <c r="J30" s="10"/>
      <c r="K30" s="10"/>
      <c r="L30" s="10"/>
      <c r="M30" s="10"/>
      <c r="N30" s="12"/>
      <c r="O30" s="12"/>
      <c r="P30" s="10"/>
      <c r="Q30" s="10"/>
      <c r="R30" s="10"/>
      <c r="S30" s="10"/>
      <c r="T30" s="10"/>
      <c r="U30" s="10"/>
      <c r="V30" s="13">
        <f>SUM(H30,J30,L30,N30,P30,R30,T30)/7</f>
        <v>0</v>
      </c>
      <c r="W30" s="10"/>
    </row>
    <row r="31" spans="1:23">
      <c r="A31" s="10"/>
      <c r="B31" s="10"/>
      <c r="C31" s="10"/>
      <c r="D31" s="12"/>
      <c r="E31" s="10"/>
      <c r="F31" s="10"/>
      <c r="G31" s="10"/>
      <c r="H31" s="10"/>
      <c r="I31" s="10"/>
      <c r="J31" s="10"/>
      <c r="K31" s="10"/>
      <c r="L31" s="10"/>
      <c r="M31" s="10"/>
      <c r="N31" s="12"/>
      <c r="O31" s="12"/>
      <c r="P31" s="10"/>
      <c r="Q31" s="10"/>
      <c r="R31" s="10"/>
      <c r="S31" s="10"/>
      <c r="T31" s="10"/>
      <c r="U31" s="10"/>
      <c r="V31" s="13">
        <f>SUM(H31,J31,L31,N31,P31,R31,T31)/7</f>
        <v>0</v>
      </c>
      <c r="W31" s="10"/>
    </row>
    <row r="32" spans="1:23">
      <c r="A32" s="10"/>
      <c r="B32" s="10"/>
      <c r="C32" s="10"/>
      <c r="D32" s="12"/>
      <c r="E32" s="10"/>
      <c r="F32" s="10"/>
      <c r="G32" s="10"/>
      <c r="H32" s="10"/>
      <c r="I32" s="10"/>
      <c r="J32" s="10"/>
      <c r="K32" s="10"/>
      <c r="L32" s="10"/>
      <c r="M32" s="10"/>
      <c r="N32" s="12"/>
      <c r="O32" s="12"/>
      <c r="P32" s="10"/>
      <c r="Q32" s="10"/>
      <c r="R32" s="10"/>
      <c r="S32" s="10"/>
      <c r="T32" s="10"/>
      <c r="U32" s="10"/>
      <c r="V32" s="13">
        <f>SUM(H32,J32,L32,N32,P32,R32,T32)/7</f>
        <v>0</v>
      </c>
      <c r="W32" s="1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8EF36010BF4F4DAFDC93EFD6B63DA1" ma:contentTypeVersion="9" ma:contentTypeDescription="Een nieuw document maken." ma:contentTypeScope="" ma:versionID="f7e34094d89340a4da55ee922bb2e53f">
  <xsd:schema xmlns:xsd="http://www.w3.org/2001/XMLSchema" xmlns:xs="http://www.w3.org/2001/XMLSchema" xmlns:p="http://schemas.microsoft.com/office/2006/metadata/properties" xmlns:ns2="798ef58d-3ccc-47a7-926f-dfa808e03836" targetNamespace="http://schemas.microsoft.com/office/2006/metadata/properties" ma:root="true" ma:fieldsID="17c3148c8c53c655da00ba243bda58ab" ns2:_="">
    <xsd:import namespace="798ef58d-3ccc-47a7-926f-dfa808e0383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8ef58d-3ccc-47a7-926f-dfa808e038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Afbeeldingtags" ma:readOnly="false" ma:fieldId="{5cf76f15-5ced-4ddc-b409-7134ff3c332f}" ma:taxonomyMulti="true" ma:sspId="5ec99919-4982-4388-8a64-83a11d2ca210"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98ef58d-3ccc-47a7-926f-dfa808e0383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847050-F8B8-4DF7-972E-C5B75D5B9556}"/>
</file>

<file path=customXml/itemProps2.xml><?xml version="1.0" encoding="utf-8"?>
<ds:datastoreItem xmlns:ds="http://schemas.openxmlformats.org/officeDocument/2006/customXml" ds:itemID="{234D7E51-A1F1-4EF8-836E-249FD2DF01EC}"/>
</file>

<file path=customXml/itemProps3.xml><?xml version="1.0" encoding="utf-8"?>
<ds:datastoreItem xmlns:ds="http://schemas.openxmlformats.org/officeDocument/2006/customXml" ds:itemID="{920800C7-A6C8-4FF5-8D3A-AFCF055976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Bondt, Sharon de</cp:lastModifiedBy>
  <cp:revision/>
  <dcterms:created xsi:type="dcterms:W3CDTF">2026-01-13T08:46:13Z</dcterms:created>
  <dcterms:modified xsi:type="dcterms:W3CDTF">2026-04-09T21:35:01Z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0x010100838EF36010BF4F4DAFDC93EFD6B63DA1</vt:lpwstr>
  </property>
  <property fmtid="{D5CDD505-2E9C-101B-9397-08002B2CF9AE}" pid="3" name="MediaServiceImageTags">
    <vt:lpwstr/>
  </property>
</Properties>
</file>