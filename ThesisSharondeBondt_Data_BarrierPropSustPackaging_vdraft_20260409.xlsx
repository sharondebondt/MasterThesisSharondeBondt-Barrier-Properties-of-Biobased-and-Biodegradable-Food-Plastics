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mc:AlternateContent xmlns:mc="http://schemas.openxmlformats.org/markup-compatibility/2006">
    <mc:Choice Requires="x15">
      <x15ac:absPath xmlns:x15ac="http://schemas.microsoft.com/office/spreadsheetml/2010/11/ac" url="https://wageningenur4.sharepoint.com/sites/FQDMFTwithDeniz-IliannaDrositi/Gedeelde documenten/Sharon de Bondt/Final hand ins/"/>
    </mc:Choice>
  </mc:AlternateContent>
  <xr:revisionPtr revIDLastSave="1" documentId="8_{80FC855D-F004-4A61-A45D-81390707921F}" xr6:coauthVersionLast="47" xr6:coauthVersionMax="47" xr10:uidLastSave="{0A9F2CEC-00AD-47CD-A685-B0D3BEAED926}"/>
  <bookViews>
    <workbookView xWindow="11424" yWindow="0" windowWidth="11712" windowHeight="12336" firstSheet="5" activeTab="1" xr2:uid="{00000000-000D-0000-FFFF-FFFF00000000}"/>
  </bookViews>
  <sheets>
    <sheet name="ReadMe" sheetId="3" r:id="rId1"/>
    <sheet name="Data" sheetId="8" r:id="rId2"/>
    <sheet name="ConversionFactors" sheetId="7" r:id="rId3"/>
    <sheet name="CriticalAppraisal" sheetId="4" r:id="rId4"/>
    <sheet name="LookUps" sheetId="2" r:id="rId5"/>
    <sheet name="CodeBook"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7" l="1"/>
  <c r="S4" i="7"/>
  <c r="S5" i="7"/>
  <c r="S6" i="7"/>
  <c r="R7" i="7"/>
  <c r="S7" i="7" s="1"/>
  <c r="S8" i="7"/>
  <c r="S9" i="7"/>
  <c r="S10" i="7"/>
  <c r="S11" i="7"/>
  <c r="S12" i="7"/>
  <c r="S13" i="7"/>
  <c r="S14" i="7"/>
  <c r="S15" i="7"/>
  <c r="CA164" i="8" s="1"/>
  <c r="S16" i="7"/>
  <c r="S17" i="7"/>
  <c r="S18" i="7"/>
  <c r="S19" i="7"/>
  <c r="S20" i="7"/>
  <c r="S21" i="7"/>
  <c r="S22" i="7"/>
  <c r="S23" i="7"/>
  <c r="BJ212" i="8"/>
  <c r="BK212" i="8" s="1"/>
  <c r="BJ176" i="8"/>
  <c r="BK176" i="8" s="1"/>
  <c r="BJ175" i="8"/>
  <c r="BK175" i="8" s="1"/>
  <c r="BJ222" i="8"/>
  <c r="BK222" i="8" s="1"/>
  <c r="BJ221" i="8"/>
  <c r="BK221" i="8" s="1"/>
  <c r="BJ218" i="8"/>
  <c r="BK218" i="8" s="1"/>
  <c r="BJ216" i="8"/>
  <c r="BK216" i="8" s="1"/>
  <c r="BJ215" i="8"/>
  <c r="BK215" i="8" s="1"/>
  <c r="BJ214" i="8"/>
  <c r="BK214" i="8" s="1"/>
  <c r="BJ213" i="8"/>
  <c r="BK213" i="8" s="1"/>
  <c r="BJ201" i="8"/>
  <c r="BK201" i="8" s="1"/>
  <c r="BJ200" i="8"/>
  <c r="BK200" i="8" s="1"/>
  <c r="BJ199" i="8"/>
  <c r="BK199" i="8" s="1"/>
  <c r="BJ198" i="8"/>
  <c r="BK198" i="8" s="1"/>
  <c r="BJ197" i="8"/>
  <c r="BK197" i="8" s="1"/>
  <c r="BJ194" i="8"/>
  <c r="BK194" i="8" s="1"/>
  <c r="BJ193" i="8"/>
  <c r="BK193" i="8" s="1"/>
  <c r="BJ192" i="8"/>
  <c r="BK192" i="8" s="1"/>
  <c r="BJ187" i="8"/>
  <c r="BK187" i="8" s="1"/>
  <c r="BJ186" i="8"/>
  <c r="BK186" i="8" s="1"/>
  <c r="BJ185" i="8"/>
  <c r="BK185" i="8" s="1"/>
  <c r="BJ184" i="8"/>
  <c r="BK184" i="8" s="1"/>
  <c r="BJ183" i="8"/>
  <c r="BK183" i="8" s="1"/>
  <c r="BJ182" i="8"/>
  <c r="BK182" i="8" s="1"/>
  <c r="BJ181" i="8"/>
  <c r="BK181" i="8" s="1"/>
  <c r="BJ180" i="8"/>
  <c r="BK180" i="8" s="1"/>
  <c r="BJ179" i="8"/>
  <c r="BK179" i="8" s="1"/>
  <c r="BJ178" i="8"/>
  <c r="BK178" i="8" s="1"/>
  <c r="BJ177" i="8"/>
  <c r="BK177" i="8" s="1"/>
  <c r="BJ220" i="8"/>
  <c r="BK220" i="8" s="1"/>
  <c r="BJ219" i="8"/>
  <c r="BK219" i="8" s="1"/>
  <c r="BJ160" i="8"/>
  <c r="BK160" i="8" s="1"/>
  <c r="BJ149" i="8"/>
  <c r="BK149" i="8" s="1"/>
  <c r="BJ148" i="8"/>
  <c r="BK148" i="8" s="1"/>
  <c r="BJ147" i="8"/>
  <c r="BK147" i="8" s="1"/>
  <c r="BJ146" i="8"/>
  <c r="BK146" i="8" s="1"/>
  <c r="BJ145" i="8"/>
  <c r="BK145" i="8" s="1"/>
  <c r="BJ144" i="8"/>
  <c r="BK144" i="8" s="1"/>
  <c r="BJ143" i="8"/>
  <c r="BK143" i="8" s="1"/>
  <c r="BJ142" i="8"/>
  <c r="BK142" i="8" s="1"/>
  <c r="BJ141" i="8"/>
  <c r="BK141" i="8" s="1"/>
  <c r="DD168" i="8"/>
  <c r="DC168" i="8"/>
  <c r="DD167" i="8"/>
  <c r="DC167" i="8"/>
  <c r="DD166" i="8"/>
  <c r="DC166" i="8"/>
  <c r="DD165" i="8"/>
  <c r="DC165" i="8"/>
  <c r="DD164" i="8"/>
  <c r="DC164" i="8"/>
  <c r="DD163" i="8"/>
  <c r="DC163" i="8"/>
  <c r="DD162" i="8"/>
  <c r="DC162" i="8"/>
  <c r="DD161" i="8"/>
  <c r="DC161" i="8"/>
  <c r="DD217" i="8"/>
  <c r="DC217" i="8"/>
  <c r="DD209" i="8"/>
  <c r="DC209" i="8"/>
  <c r="DD191" i="8"/>
  <c r="DC191" i="8"/>
  <c r="DD190" i="8"/>
  <c r="DC190" i="8"/>
  <c r="DD189" i="8"/>
  <c r="DC189" i="8"/>
  <c r="DD188" i="8"/>
  <c r="DC188" i="8"/>
  <c r="DD187" i="8"/>
  <c r="DC187" i="8"/>
  <c r="DD159" i="8"/>
  <c r="DC159" i="8"/>
  <c r="DD158" i="8"/>
  <c r="DC158" i="8"/>
  <c r="DD157" i="8"/>
  <c r="DC157" i="8"/>
  <c r="DD156" i="8"/>
  <c r="DC156" i="8"/>
  <c r="DD155" i="8"/>
  <c r="DC155" i="8"/>
  <c r="DD154" i="8"/>
  <c r="DC154" i="8"/>
  <c r="DD153" i="8"/>
  <c r="DC153" i="8"/>
  <c r="DD152" i="8"/>
  <c r="DC152" i="8"/>
  <c r="DD151" i="8"/>
  <c r="DC151" i="8"/>
  <c r="DD150" i="8"/>
  <c r="DC150" i="8"/>
  <c r="CW168" i="8"/>
  <c r="CX168" i="8" s="1"/>
  <c r="CW167" i="8"/>
  <c r="CX167" i="8" s="1"/>
  <c r="CW166" i="8"/>
  <c r="CX166" i="8" s="1"/>
  <c r="CW165" i="8"/>
  <c r="CX165" i="8" s="1"/>
  <c r="CW164" i="8"/>
  <c r="CX164" i="8" s="1"/>
  <c r="CW163" i="8"/>
  <c r="CX163" i="8" s="1"/>
  <c r="CW162" i="8"/>
  <c r="CX162" i="8" s="1"/>
  <c r="CW161" i="8"/>
  <c r="CX161" i="8" s="1"/>
  <c r="CW191" i="8"/>
  <c r="CX191" i="8" s="1"/>
  <c r="CW190" i="8"/>
  <c r="CX190" i="8" s="1"/>
  <c r="CW189" i="8"/>
  <c r="CX189" i="8" s="1"/>
  <c r="CW188" i="8"/>
  <c r="CX188" i="8" s="1"/>
  <c r="CW159" i="8"/>
  <c r="CX159" i="8" s="1"/>
  <c r="CW158" i="8"/>
  <c r="CX158" i="8" s="1"/>
  <c r="CW157" i="8"/>
  <c r="CX157" i="8" s="1"/>
  <c r="CW155" i="8"/>
  <c r="CX155" i="8" s="1"/>
  <c r="CW154" i="8"/>
  <c r="CX154" i="8" s="1"/>
  <c r="CW153" i="8"/>
  <c r="CX153" i="8" s="1"/>
  <c r="CW152" i="8"/>
  <c r="CX152" i="8" s="1"/>
  <c r="CW151" i="8"/>
  <c r="CX151" i="8" s="1"/>
  <c r="CW150" i="8"/>
  <c r="CX150" i="8" s="1"/>
  <c r="CP208" i="8"/>
  <c r="CO208" i="8"/>
  <c r="CP206" i="8"/>
  <c r="CO206" i="8"/>
  <c r="CP204" i="8"/>
  <c r="CO204" i="8"/>
  <c r="CP203" i="8"/>
  <c r="CO203" i="8"/>
  <c r="CP202" i="8"/>
  <c r="CO202" i="8"/>
  <c r="CG168" i="8"/>
  <c r="CF168" i="8"/>
  <c r="CG167" i="8"/>
  <c r="CF167" i="8"/>
  <c r="CG166" i="8"/>
  <c r="CF166" i="8"/>
  <c r="CG165" i="8"/>
  <c r="CF165" i="8"/>
  <c r="CG164" i="8"/>
  <c r="CF164" i="8"/>
  <c r="CG163" i="8"/>
  <c r="CF163" i="8"/>
  <c r="CG162" i="8"/>
  <c r="CF162" i="8"/>
  <c r="CG161" i="8"/>
  <c r="CF161" i="8"/>
  <c r="CG209" i="8"/>
  <c r="CF209" i="8"/>
  <c r="CG208" i="8"/>
  <c r="CF208" i="8"/>
  <c r="CG207" i="8"/>
  <c r="CF207" i="8"/>
  <c r="CG206" i="8"/>
  <c r="CF206" i="8"/>
  <c r="CG205" i="8"/>
  <c r="CF205" i="8"/>
  <c r="CG204" i="8"/>
  <c r="CF204" i="8"/>
  <c r="CG203" i="8"/>
  <c r="CF203" i="8"/>
  <c r="CG202" i="8"/>
  <c r="CF202" i="8"/>
  <c r="CG159" i="8"/>
  <c r="CF159" i="8"/>
  <c r="CG158" i="8"/>
  <c r="CF158" i="8"/>
  <c r="CG157" i="8"/>
  <c r="CF157" i="8"/>
  <c r="CG156" i="8"/>
  <c r="CF156" i="8"/>
  <c r="CG155" i="8"/>
  <c r="CF155" i="8"/>
  <c r="CG154" i="8"/>
  <c r="CF154" i="8"/>
  <c r="CG153" i="8"/>
  <c r="CF153" i="8"/>
  <c r="CG152" i="8"/>
  <c r="CF152" i="8"/>
  <c r="CG151" i="8"/>
  <c r="CF151" i="8"/>
  <c r="CG150" i="8"/>
  <c r="CF150" i="8"/>
  <c r="X201" i="8"/>
  <c r="CA207" i="8"/>
  <c r="CA155" i="8"/>
  <c r="AJ174" i="8"/>
  <c r="AJ173" i="8"/>
  <c r="AK174" i="8"/>
  <c r="AL174" i="8"/>
  <c r="AL173" i="8"/>
  <c r="AK173" i="8"/>
  <c r="X174" i="8"/>
  <c r="AG218" i="8"/>
  <c r="BO212" i="8"/>
  <c r="DA169" i="8"/>
  <c r="DB169" i="8" s="1"/>
  <c r="BD218" i="8"/>
  <c r="CS150" i="8"/>
  <c r="BD176" i="8"/>
  <c r="BD198" i="8"/>
  <c r="CS209" i="8"/>
  <c r="CT209" i="8" s="1"/>
  <c r="X197" i="8"/>
  <c r="X196" i="8"/>
  <c r="AP197" i="8"/>
  <c r="AP196" i="8"/>
  <c r="BD215" i="8"/>
  <c r="V2" i="4"/>
  <c r="V3" i="4"/>
  <c r="V4" i="4"/>
  <c r="V5" i="4"/>
  <c r="V6" i="4"/>
  <c r="V7" i="4"/>
  <c r="V8" i="4"/>
  <c r="V9" i="4"/>
  <c r="V10" i="4"/>
  <c r="V11" i="4"/>
  <c r="V12" i="4"/>
  <c r="V13" i="4"/>
  <c r="V14" i="4"/>
  <c r="V15" i="4"/>
  <c r="V16" i="4"/>
  <c r="V17" i="4"/>
  <c r="V18" i="4"/>
  <c r="V19" i="4"/>
  <c r="V20" i="4"/>
  <c r="V21" i="4"/>
  <c r="V22" i="4"/>
  <c r="V23" i="4"/>
  <c r="V24" i="4"/>
  <c r="V25" i="4"/>
  <c r="V26" i="4"/>
  <c r="V27" i="4"/>
  <c r="V28" i="4"/>
  <c r="V29" i="4"/>
  <c r="BD186" i="8" l="1"/>
  <c r="AP195" i="8"/>
  <c r="BD144" i="8"/>
  <c r="BF144" i="8" s="1"/>
  <c r="BQ144" i="8" s="1"/>
  <c r="BD145" i="8"/>
  <c r="BF145" i="8" s="1"/>
  <c r="BQ145" i="8" s="1"/>
  <c r="BD146" i="8"/>
  <c r="BD147" i="8"/>
  <c r="BF147" i="8" s="1"/>
  <c r="BQ147" i="8" s="1"/>
  <c r="BD149" i="8"/>
  <c r="BD187" i="8"/>
  <c r="BF187" i="8" s="1"/>
  <c r="BD222" i="8"/>
  <c r="BE222" i="8" s="1"/>
  <c r="BP222" i="8" s="1"/>
  <c r="BD175" i="8"/>
  <c r="BE175" i="8" s="1"/>
  <c r="BP175" i="8" s="1"/>
  <c r="BD212" i="8"/>
  <c r="BO186" i="8"/>
  <c r="BP186" i="8" s="1"/>
  <c r="CA161" i="8"/>
  <c r="CB161" i="8" s="1"/>
  <c r="CE161" i="8" s="1"/>
  <c r="CA162" i="8"/>
  <c r="CB162" i="8" s="1"/>
  <c r="CE162" i="8" s="1"/>
  <c r="CA163" i="8"/>
  <c r="CB163" i="8" s="1"/>
  <c r="CE163" i="8" s="1"/>
  <c r="CA165" i="8"/>
  <c r="CB165" i="8" s="1"/>
  <c r="CE165" i="8" s="1"/>
  <c r="CA167" i="8"/>
  <c r="CB167" i="8" s="1"/>
  <c r="CE167" i="8" s="1"/>
  <c r="BO187" i="8"/>
  <c r="CA166" i="8"/>
  <c r="CB166" i="8" s="1"/>
  <c r="CE166" i="8" s="1"/>
  <c r="BD160" i="8"/>
  <c r="BO218" i="8"/>
  <c r="BP218" i="8" s="1"/>
  <c r="CA168" i="8"/>
  <c r="CB168" i="8" s="1"/>
  <c r="CE168" i="8" s="1"/>
  <c r="BD219" i="8"/>
  <c r="BO174" i="8"/>
  <c r="BP174" i="8" s="1"/>
  <c r="CS159" i="8"/>
  <c r="CT159" i="8" s="1"/>
  <c r="DB159" i="8" s="1"/>
  <c r="BO194" i="8"/>
  <c r="BD220" i="8"/>
  <c r="BF220" i="8" s="1"/>
  <c r="BQ220" i="8" s="1"/>
  <c r="CA151" i="8"/>
  <c r="CB151" i="8" s="1"/>
  <c r="CE151" i="8" s="1"/>
  <c r="CS188" i="8"/>
  <c r="CT188" i="8" s="1"/>
  <c r="DB188" i="8" s="1"/>
  <c r="BD177" i="8"/>
  <c r="BF177" i="8" s="1"/>
  <c r="BQ177" i="8" s="1"/>
  <c r="CA152" i="8"/>
  <c r="CB152" i="8" s="1"/>
  <c r="CE152" i="8" s="1"/>
  <c r="CS189" i="8"/>
  <c r="CT189" i="8" s="1"/>
  <c r="DB189" i="8" s="1"/>
  <c r="CA153" i="8"/>
  <c r="CB153" i="8" s="1"/>
  <c r="CE153" i="8" s="1"/>
  <c r="CS191" i="8"/>
  <c r="CT191" i="8" s="1"/>
  <c r="DB191" i="8" s="1"/>
  <c r="CA154" i="8"/>
  <c r="CB154" i="8" s="1"/>
  <c r="CE154" i="8" s="1"/>
  <c r="DA202" i="8"/>
  <c r="DB202" i="8" s="1"/>
  <c r="BD193" i="8"/>
  <c r="CA156" i="8"/>
  <c r="CB156" i="8" s="1"/>
  <c r="CE156" i="8" s="1"/>
  <c r="DA203" i="8"/>
  <c r="DB203" i="8" s="1"/>
  <c r="BD194" i="8"/>
  <c r="CA157" i="8"/>
  <c r="CB157" i="8" s="1"/>
  <c r="CE157" i="8" s="1"/>
  <c r="DA204" i="8"/>
  <c r="DB204" i="8" s="1"/>
  <c r="X210" i="8"/>
  <c r="Y210" i="8" s="1"/>
  <c r="AH210" i="8" s="1"/>
  <c r="BD197" i="8"/>
  <c r="BE197" i="8" s="1"/>
  <c r="BP197" i="8" s="1"/>
  <c r="CA158" i="8"/>
  <c r="CB158" i="8" s="1"/>
  <c r="CE158" i="8" s="1"/>
  <c r="DA205" i="8"/>
  <c r="DB205" i="8" s="1"/>
  <c r="X211" i="8"/>
  <c r="Y211" i="8" s="1"/>
  <c r="AH211" i="8" s="1"/>
  <c r="CA159" i="8"/>
  <c r="CB159" i="8" s="1"/>
  <c r="CE159" i="8" s="1"/>
  <c r="DA207" i="8"/>
  <c r="DB207" i="8" s="1"/>
  <c r="CS161" i="8"/>
  <c r="CT161" i="8" s="1"/>
  <c r="DB161" i="8" s="1"/>
  <c r="CS168" i="8"/>
  <c r="CT168" i="8" s="1"/>
  <c r="DB168" i="8" s="1"/>
  <c r="CS167" i="8"/>
  <c r="CT167" i="8" s="1"/>
  <c r="DB167" i="8" s="1"/>
  <c r="CS166" i="8"/>
  <c r="CT166" i="8" s="1"/>
  <c r="DB166" i="8" s="1"/>
  <c r="CS165" i="8"/>
  <c r="CT165" i="8" s="1"/>
  <c r="DB165" i="8" s="1"/>
  <c r="CS164" i="8"/>
  <c r="CT164" i="8" s="1"/>
  <c r="DB164" i="8" s="1"/>
  <c r="CS163" i="8"/>
  <c r="CT163" i="8" s="1"/>
  <c r="DB163" i="8" s="1"/>
  <c r="CS162" i="8"/>
  <c r="CT162" i="8" s="1"/>
  <c r="DB162" i="8" s="1"/>
  <c r="AP210" i="8"/>
  <c r="AQ210" i="8" s="1"/>
  <c r="AV210" i="8" s="1"/>
  <c r="BD201" i="8"/>
  <c r="X198" i="8"/>
  <c r="Y198" i="8" s="1"/>
  <c r="AH198" i="8" s="1"/>
  <c r="BD143" i="8"/>
  <c r="BD183" i="8"/>
  <c r="BF183" i="8" s="1"/>
  <c r="BQ183" i="8" s="1"/>
  <c r="BD216" i="8"/>
  <c r="BF216" i="8" s="1"/>
  <c r="BQ216" i="8" s="1"/>
  <c r="CA150" i="8"/>
  <c r="CB150" i="8" s="1"/>
  <c r="CE150" i="8" s="1"/>
  <c r="CA208" i="8"/>
  <c r="CB208" i="8" s="1"/>
  <c r="CE208" i="8" s="1"/>
  <c r="CS151" i="8"/>
  <c r="CT151" i="8" s="1"/>
  <c r="DB151" i="8" s="1"/>
  <c r="X200" i="8"/>
  <c r="Z200" i="8" s="1"/>
  <c r="AI200" i="8" s="1"/>
  <c r="BD184" i="8"/>
  <c r="BF184" i="8" s="1"/>
  <c r="BQ184" i="8" s="1"/>
  <c r="CA209" i="8"/>
  <c r="CB209" i="8" s="1"/>
  <c r="CE209" i="8" s="1"/>
  <c r="CS152" i="8"/>
  <c r="CT152" i="8" s="1"/>
  <c r="DB152" i="8" s="1"/>
  <c r="BD185" i="8"/>
  <c r="BF185" i="8" s="1"/>
  <c r="BQ185" i="8" s="1"/>
  <c r="BD221" i="8"/>
  <c r="BF221" i="8" s="1"/>
  <c r="BQ221" i="8" s="1"/>
  <c r="CS153" i="8"/>
  <c r="CT153" i="8" s="1"/>
  <c r="DB153" i="8" s="1"/>
  <c r="CS154" i="8"/>
  <c r="CT154" i="8" s="1"/>
  <c r="DB154" i="8" s="1"/>
  <c r="CS155" i="8"/>
  <c r="CT155" i="8" s="1"/>
  <c r="DB155" i="8" s="1"/>
  <c r="X173" i="8"/>
  <c r="BD148" i="8"/>
  <c r="BF148" i="8" s="1"/>
  <c r="BQ148" i="8" s="1"/>
  <c r="BD192" i="8"/>
  <c r="BF192" i="8" s="1"/>
  <c r="BQ192" i="8" s="1"/>
  <c r="CS156" i="8"/>
  <c r="CT156" i="8" s="1"/>
  <c r="CS157" i="8"/>
  <c r="CT157" i="8" s="1"/>
  <c r="DB157" i="8" s="1"/>
  <c r="CS158" i="8"/>
  <c r="CT158" i="8" s="1"/>
  <c r="DB158" i="8" s="1"/>
  <c r="BD199" i="8"/>
  <c r="CA202" i="8"/>
  <c r="CB202" i="8" s="1"/>
  <c r="CE202" i="8" s="1"/>
  <c r="CJ202" i="8"/>
  <c r="CK202" i="8" s="1"/>
  <c r="CN202" i="8" s="1"/>
  <c r="AP198" i="8"/>
  <c r="AR198" i="8" s="1"/>
  <c r="AW198" i="8" s="1"/>
  <c r="BD178" i="8"/>
  <c r="BF178" i="8" s="1"/>
  <c r="BQ178" i="8" s="1"/>
  <c r="BD200" i="8"/>
  <c r="BF200" i="8" s="1"/>
  <c r="BQ200" i="8" s="1"/>
  <c r="BO173" i="8"/>
  <c r="BP173" i="8" s="1"/>
  <c r="CA203" i="8"/>
  <c r="CB203" i="8" s="1"/>
  <c r="CE203" i="8" s="1"/>
  <c r="CJ203" i="8"/>
  <c r="CK203" i="8" s="1"/>
  <c r="CN203" i="8" s="1"/>
  <c r="CS190" i="8"/>
  <c r="CT190" i="8" s="1"/>
  <c r="DB190" i="8" s="1"/>
  <c r="DA206" i="8"/>
  <c r="DB206" i="8" s="1"/>
  <c r="CA204" i="8"/>
  <c r="CB204" i="8" s="1"/>
  <c r="CE204" i="8" s="1"/>
  <c r="X195" i="8"/>
  <c r="AP211" i="8"/>
  <c r="AQ211" i="8" s="1"/>
  <c r="AV211" i="8" s="1"/>
  <c r="BD180" i="8"/>
  <c r="BD213" i="8"/>
  <c r="BF213" i="8" s="1"/>
  <c r="BQ213" i="8" s="1"/>
  <c r="BO171" i="8"/>
  <c r="CA205" i="8"/>
  <c r="CB205" i="8" s="1"/>
  <c r="CE205" i="8" s="1"/>
  <c r="CJ206" i="8"/>
  <c r="CK206" i="8" s="1"/>
  <c r="CN206" i="8" s="1"/>
  <c r="DA208" i="8"/>
  <c r="DB208" i="8" s="1"/>
  <c r="CJ204" i="8"/>
  <c r="CK204" i="8" s="1"/>
  <c r="CN204" i="8" s="1"/>
  <c r="BD141" i="8"/>
  <c r="BD181" i="8"/>
  <c r="BD214" i="8"/>
  <c r="BO172" i="8"/>
  <c r="BP172" i="8" s="1"/>
  <c r="BQ172" i="8" s="1"/>
  <c r="CA206" i="8"/>
  <c r="CB206" i="8" s="1"/>
  <c r="CE206" i="8" s="1"/>
  <c r="CJ208" i="8"/>
  <c r="CK208" i="8" s="1"/>
  <c r="CN208" i="8" s="1"/>
  <c r="CS217" i="8"/>
  <c r="CT217" i="8" s="1"/>
  <c r="BD179" i="8"/>
  <c r="BD142" i="8"/>
  <c r="BD182" i="8"/>
  <c r="DA170" i="8"/>
  <c r="DB170" i="8" s="1"/>
  <c r="BP187" i="8"/>
  <c r="BQ187" i="8" s="1"/>
  <c r="BE176" i="8"/>
  <c r="BP176" i="8" s="1"/>
  <c r="BE218" i="8"/>
  <c r="CT150" i="8"/>
  <c r="DB150" i="8" s="1"/>
  <c r="CB164" i="8"/>
  <c r="CE164" i="8" s="1"/>
  <c r="CB207" i="8"/>
  <c r="CE207" i="8" s="1"/>
  <c r="BF198" i="8"/>
  <c r="BQ198" i="8" s="1"/>
  <c r="CB155" i="8"/>
  <c r="CE155" i="8" s="1"/>
  <c r="Z174" i="8"/>
  <c r="AI174" i="8" s="1"/>
  <c r="Y174" i="8"/>
  <c r="AH174" i="8" s="1"/>
  <c r="AR197" i="8"/>
  <c r="AW197" i="8" s="1"/>
  <c r="AQ197" i="8"/>
  <c r="AV197" i="8" s="1"/>
  <c r="AR196" i="8"/>
  <c r="AW196" i="8" s="1"/>
  <c r="AQ196" i="8"/>
  <c r="AV196" i="8" s="1"/>
  <c r="Y200" i="8" l="1"/>
  <c r="AH200" i="8" s="1"/>
  <c r="BE187" i="8"/>
  <c r="BF197" i="8"/>
  <c r="BQ197" i="8" s="1"/>
  <c r="Z198" i="8"/>
  <c r="AI198" i="8" s="1"/>
  <c r="BE216" i="8"/>
  <c r="BP216" i="8" s="1"/>
  <c r="BE213" i="8"/>
  <c r="BP213" i="8" s="1"/>
  <c r="BE183" i="8"/>
  <c r="BP183" i="8" s="1"/>
  <c r="BE200" i="8"/>
  <c r="BP200" i="8" s="1"/>
  <c r="BE144" i="8"/>
  <c r="BP144" i="8" s="1"/>
  <c r="BP212" i="8"/>
  <c r="BQ212" i="8" s="1"/>
  <c r="BP194" i="8"/>
  <c r="BQ194" i="8" s="1"/>
  <c r="BQ186" i="8"/>
  <c r="BP171" i="8"/>
  <c r="BQ171" i="8" s="1"/>
  <c r="BE145" i="8"/>
  <c r="BP145" i="8" s="1"/>
  <c r="BE221" i="8"/>
  <c r="BP221" i="8" s="1"/>
  <c r="BF222" i="8"/>
  <c r="BQ222" i="8" s="1"/>
  <c r="BE148" i="8"/>
  <c r="BP148" i="8" s="1"/>
  <c r="BE184" i="8"/>
  <c r="BP184" i="8" s="1"/>
  <c r="BE177" i="8"/>
  <c r="BP177" i="8" s="1"/>
  <c r="BE198" i="8"/>
  <c r="BP198" i="8" s="1"/>
  <c r="AQ198" i="8"/>
  <c r="AV198" i="8" s="1"/>
  <c r="BE147" i="8"/>
  <c r="BP147" i="8" s="1"/>
  <c r="BE220" i="8"/>
  <c r="BP220" i="8" s="1"/>
  <c r="BE192" i="8"/>
  <c r="BP192" i="8" s="1"/>
  <c r="BE185" i="8"/>
  <c r="BP185" i="8" s="1"/>
  <c r="BF146" i="8"/>
  <c r="BQ146" i="8" s="1"/>
  <c r="BE146" i="8"/>
  <c r="BP146" i="8" s="1"/>
  <c r="BE178" i="8"/>
  <c r="BP178" i="8" s="1"/>
  <c r="BF186" i="8"/>
  <c r="BE186" i="8"/>
  <c r="BF194" i="8"/>
  <c r="BE194" i="8"/>
  <c r="BE160" i="8"/>
  <c r="BP160" i="8" s="1"/>
  <c r="BF160" i="8"/>
  <c r="BQ160" i="8" s="1"/>
  <c r="BF193" i="8"/>
  <c r="BQ193" i="8" s="1"/>
  <c r="BE193" i="8"/>
  <c r="BP193" i="8" s="1"/>
  <c r="BF212" i="8"/>
  <c r="BE212" i="8"/>
  <c r="BF141" i="8"/>
  <c r="BQ141" i="8" s="1"/>
  <c r="BE141" i="8"/>
  <c r="BP141" i="8" s="1"/>
  <c r="BE142" i="8"/>
  <c r="BP142" i="8" s="1"/>
  <c r="BF142" i="8"/>
  <c r="BQ142" i="8" s="1"/>
  <c r="BF149" i="8"/>
  <c r="BQ149" i="8" s="1"/>
  <c r="BE149" i="8"/>
  <c r="BP149" i="8" s="1"/>
  <c r="BF180" i="8"/>
  <c r="BQ180" i="8" s="1"/>
  <c r="BE180" i="8"/>
  <c r="BP180" i="8" s="1"/>
  <c r="AR195" i="8"/>
  <c r="AW195" i="8" s="1"/>
  <c r="AQ195" i="8"/>
  <c r="AV195" i="8" s="1"/>
  <c r="BF179" i="8"/>
  <c r="BQ179" i="8" s="1"/>
  <c r="BE179" i="8"/>
  <c r="BP179" i="8" s="1"/>
  <c r="BF201" i="8"/>
  <c r="BQ201" i="8" s="1"/>
  <c r="BE201" i="8"/>
  <c r="BP201" i="8" s="1"/>
  <c r="BF199" i="8"/>
  <c r="BQ199" i="8" s="1"/>
  <c r="BE199" i="8"/>
  <c r="BP199" i="8" s="1"/>
  <c r="BF181" i="8"/>
  <c r="BQ181" i="8" s="1"/>
  <c r="BE181" i="8"/>
  <c r="BP181" i="8" s="1"/>
  <c r="BF214" i="8"/>
  <c r="BQ214" i="8" s="1"/>
  <c r="BE214" i="8"/>
  <c r="BP214" i="8" s="1"/>
  <c r="BE143" i="8"/>
  <c r="BP143" i="8" s="1"/>
  <c r="BF143" i="8"/>
  <c r="BQ143" i="8" s="1"/>
  <c r="BF215" i="8"/>
  <c r="BQ215" i="8" s="1"/>
  <c r="BE215" i="8"/>
  <c r="BP215" i="8" s="1"/>
  <c r="BE182" i="8"/>
  <c r="BP182" i="8" s="1"/>
  <c r="BF182" i="8"/>
  <c r="BQ182" i="8" s="1"/>
  <c r="BE219" i="8"/>
  <c r="BP219" i="8" s="1"/>
  <c r="BF219" i="8"/>
  <c r="BQ219" i="8" s="1"/>
  <c r="Z173" i="8"/>
  <c r="AI173" i="8" s="1"/>
  <c r="Y173" i="8"/>
  <c r="AH173" i="8" s="1"/>
  <c r="Z201" i="8"/>
  <c r="AI201" i="8" s="1"/>
  <c r="Y201" i="8"/>
  <c r="AH201" i="8" s="1"/>
  <c r="Y197" i="8"/>
  <c r="AH197" i="8" s="1"/>
  <c r="Z197" i="8"/>
  <c r="AI197" i="8" s="1"/>
  <c r="Y196" i="8"/>
  <c r="AH196" i="8" s="1"/>
  <c r="Z196" i="8"/>
  <c r="AI196" i="8" s="1"/>
  <c r="Y195" i="8"/>
  <c r="AH195" i="8" s="1"/>
  <c r="Z195" i="8"/>
  <c r="AI195" i="8" s="1"/>
</calcChain>
</file>

<file path=xl/sharedStrings.xml><?xml version="1.0" encoding="utf-8"?>
<sst xmlns="http://schemas.openxmlformats.org/spreadsheetml/2006/main" count="24249" uniqueCount="1118">
  <si>
    <t>How to use this data file</t>
  </si>
  <si>
    <t>This file contains the raw data extracted for the systematic review: "Barrier Properties of Biobased and Biodegradable Food Plastics: a Systematic Review" (Sharon de Bondt, Wageningen University &amp; Research). This sheet explains the structure of the workbook and how to read each sheet.</t>
  </si>
  <si>
    <t>1. Overview of sheets</t>
  </si>
  <si>
    <t>The workbook contains six sheets. Read them in the following order:</t>
  </si>
  <si>
    <t>ReadMe</t>
  </si>
  <si>
    <t>This sheet. Start here for an explanation of the file structure.</t>
  </si>
  <si>
    <t>Data</t>
  </si>
  <si>
    <t>Main data sheet. Contains all screened articles with extracted barrier property data for included studies.</t>
  </si>
  <si>
    <t>ConversionFactors</t>
  </si>
  <si>
    <t>Conversion factors used to standardise barrier property values to a common target unit. Each row corresponds to one from-unit per barrier property.</t>
  </si>
  <si>
    <t>CriticalAppraisal</t>
  </si>
  <si>
    <t>Quality appraisal scores and criteria used to assess the methodological quality of screened studies.</t>
  </si>
  <si>
    <t>LookUps</t>
  </si>
  <si>
    <t>Controlled vocabulary for all categorical columns in the Data sheet (e.g. Polymer_name, Processing_method, units). Values in the Data sheet are restricted to these options.</t>
  </si>
  <si>
    <t>CodeBook</t>
  </si>
  <si>
    <t>Documentation of all column names, abbreviations, units, and categorical values used throughout the dataset.</t>
  </si>
  <si>
    <t>2. How to read the Data sheet</t>
  </si>
  <si>
    <t>The Data sheet contains one row per measurement reported in the screened literature. It is divided into the following column groups:</t>
  </si>
  <si>
    <t>- Article information (columns A-F)</t>
  </si>
  <si>
    <t>Bibliographic details: Article_ID, Authors, Title, Year, Journal, DOI.</t>
  </si>
  <si>
    <t>- Screening &amp; quality (columns G-I)</t>
  </si>
  <si>
    <t>Included_after_screening indicates whether the article passed screening. Quality_score is the critical appraisal score (0-1); studies below 0.8 are excluded. Exclusion_reason explains why an article was excluded.</t>
  </si>
  <si>
    <t>- Material properties (columns J-Q)</t>
  </si>
  <si>
    <t>Properties of the tested film: polymer name and type, material family, biobased/biodegradable status, additives, and processing method.</t>
  </si>
  <si>
    <t>- Film thickness (columns R-T)</t>
  </si>
  <si>
    <t>Mean film thickness in um, its standard deviation, and number of replicates.</t>
  </si>
  <si>
    <t>- Barrier property data (columns U-BT)</t>
  </si>
  <si>
    <t>Extracted barrier values for PO2, OTR, PCO2, CO2TR, WVP, and WVTR. For each property: the original reported value and unit, a conversion factor (auto-filled via INDEX/MATCH from ConversionFactors), and the standardised value in the target unit. See Section 3 for details.</t>
  </si>
  <si>
    <t>- Replicates (column BU)</t>
  </si>
  <si>
    <t>Number of measurement replicates reported for the barrier property values.</t>
  </si>
  <si>
    <t>- Reference polymer data (columns BV-DD)</t>
  </si>
  <si>
    <t>Barrier property data for the conventional reference polymer used for comparison, standardised in the same way as the test polymer.</t>
  </si>
  <si>
    <t>- Comparison &amp; notes (columns DD-DG)</t>
  </si>
  <si>
    <t>Comparison_type, whether food contact was tested, a summary of the key barrier finding, and reviewer notes.</t>
  </si>
  <si>
    <t>Note: columns are only filled for included studies (Included_after_screening = Yes). Excluded studies only have article information and screening columns filled.</t>
  </si>
  <si>
    <t>3. How the unit conversion works</t>
  </si>
  <si>
    <t>- Step 1 - Original value and unit</t>
  </si>
  <si>
    <t>Each barrier property is recorded as reported in the source article. The original value and unit are stored in the _value and _unit columns (e.g. WVP_value and WVP_unit).</t>
  </si>
  <si>
    <t>- Step 2 - Conversion factor (auto-filled)</t>
  </si>
  <si>
    <t>The _conversion_factor column contains an INDEX/MATCH formula that looks up the correct conversion factor from the ConversionFactors sheet based on the unit in the _unit column. You do not need to fill this in manually.</t>
  </si>
  <si>
    <t>- Step 3 - Standardised value (auto-calculated)</t>
  </si>
  <si>
    <t>The standardised column (e.g. WVP_g.um.m-2.d-1.bar-1) multiplies the original value by the conversion factor, giving a comparable value across all studies regardless of the original unit used.</t>
  </si>
  <si>
    <t>- Target units per property</t>
  </si>
  <si>
    <t>PO2: cm3.um.m-2.d-1.bar-1
OTR: cm3.m-2.d-1.bar-1 (normalised to 100 um)
PCO2: cm3.um.m-2.d-1.bar-1
CO2TR: cm3.m-2.d-1.bar-1 (normalised to 100 um)
WVP: g.um.m-2.d-1.bar-1
WVTR: g.m-2.d-1 (normalised via pressure difference)</t>
  </si>
  <si>
    <t>4. How to use the LookUps sheet</t>
  </si>
  <si>
    <t>The LookUps sheet contains the controlled vocabulary for all categorical columns in the Data sheet. Each row has two columns:</t>
  </si>
  <si>
    <t>- Lookup: the column name in the Data sheet to which this value belongs.</t>
  </si>
  <si>
    <t>- Value: the permitted value for that column.</t>
  </si>
  <si>
    <t>Refer to the LookUps sheet to understand what each categorical value means. The CodeBook provides additional explanation for abbreviations used as values.</t>
  </si>
  <si>
    <t>5. How to read the CodeBook sheet</t>
  </si>
  <si>
    <t>The CodeBook documents every column name, abbreviation, and categorical value used in this dataset. It has five columns:</t>
  </si>
  <si>
    <t>- index: A unique number to identify the entry.</t>
  </si>
  <si>
    <t>- code: The column name, abbreviation, or value as it appears in the dataset.</t>
  </si>
  <si>
    <t>- used: Where the code appears (e.g. Data column, LookUps, column names).</t>
  </si>
  <si>
    <t>- meaning: The full written-out meaning of the code.</t>
  </si>
  <si>
    <t>- represents: What the code represents in terms of data, units, or permitted values. Where multiple options exist they are separated by a # symbol.</t>
  </si>
  <si>
    <t>Article_ID</t>
  </si>
  <si>
    <t>Authors</t>
  </si>
  <si>
    <t>Title</t>
  </si>
  <si>
    <t>Year</t>
  </si>
  <si>
    <t>journal</t>
  </si>
  <si>
    <t>DOI</t>
  </si>
  <si>
    <t>Included_after_screening</t>
  </si>
  <si>
    <t>Quality_score</t>
  </si>
  <si>
    <t>Exclusion_reason</t>
  </si>
  <si>
    <t>Polymer_name</t>
  </si>
  <si>
    <t>Polymer_type</t>
  </si>
  <si>
    <t>Material_family</t>
  </si>
  <si>
    <t>Biobased</t>
  </si>
  <si>
    <t>Biodegradable</t>
  </si>
  <si>
    <t>Additives_present</t>
  </si>
  <si>
    <t>Additives_concentration_wt%</t>
  </si>
  <si>
    <t>Processing_method</t>
  </si>
  <si>
    <t>Film_thickness_µm</t>
  </si>
  <si>
    <t>Film_thickness_SD_µm</t>
  </si>
  <si>
    <t>Film_thickness_replicates</t>
  </si>
  <si>
    <t>PO2_value</t>
  </si>
  <si>
    <t>PO2_SD</t>
  </si>
  <si>
    <t>PO2_unit</t>
  </si>
  <si>
    <t>PO2_conversion_factor</t>
  </si>
  <si>
    <t xml:space="preserve">PO2_cm³·µm·m⁻²·d⁻¹·bar⁻¹ </t>
  </si>
  <si>
    <t xml:space="preserve">PO2_SD_cm³·µm·m⁻²·d⁻¹·bar⁻¹ </t>
  </si>
  <si>
    <t>PO2_standard</t>
  </si>
  <si>
    <t>PO2_temperature_°C</t>
  </si>
  <si>
    <t>PO2_RH_%</t>
  </si>
  <si>
    <t>OTR_value</t>
  </si>
  <si>
    <t>OTR_SD</t>
  </si>
  <si>
    <t>OTR_unit</t>
  </si>
  <si>
    <t>OTR_conversion_factor</t>
  </si>
  <si>
    <t>OTR100_cm3·m-2·d-1·bar-1</t>
  </si>
  <si>
    <t>OTR100_SD_cm3·m-2·d-1·bar-1</t>
  </si>
  <si>
    <t>OTR_standard</t>
  </si>
  <si>
    <t>OTR_temperature_°C</t>
  </si>
  <si>
    <t>OTR_RH_%</t>
  </si>
  <si>
    <t>PCO2_value</t>
  </si>
  <si>
    <t>PCO2_SD</t>
  </si>
  <si>
    <t>PCO2_unit</t>
  </si>
  <si>
    <t>PCO2_conversion_factor</t>
  </si>
  <si>
    <t xml:space="preserve">PCO2_cm³·µm·m⁻²·d⁻¹·bar⁻¹ </t>
  </si>
  <si>
    <t xml:space="preserve">PCO2_SD_cm³·µm·m⁻²·d⁻¹·bar⁻¹ </t>
  </si>
  <si>
    <t>PCO2_standard</t>
  </si>
  <si>
    <t>PCO2_temperature_°C</t>
  </si>
  <si>
    <t>PCO2_RH_%</t>
  </si>
  <si>
    <t>CO2TR100_cm3·m-2·d-1·bar-1</t>
  </si>
  <si>
    <t>CO2TR100_SD_cm3·m-2·d-1·bar-1</t>
  </si>
  <si>
    <t>CO2TR_standard</t>
  </si>
  <si>
    <t>CO2TR_temperature_°C</t>
  </si>
  <si>
    <t>CO2TR_RH_%</t>
  </si>
  <si>
    <t>WVP_value</t>
  </si>
  <si>
    <t>WVP_SD</t>
  </si>
  <si>
    <t>WVP_unit</t>
  </si>
  <si>
    <t>WVP_conversion_factor</t>
  </si>
  <si>
    <t>WVP_g·µm·m-2·d-1·bar-1</t>
  </si>
  <si>
    <t xml:space="preserve">WVP_SD_g·µm·m-2·d-1 </t>
  </si>
  <si>
    <t>WVP_standard</t>
  </si>
  <si>
    <t>WVP_temperature_°C</t>
  </si>
  <si>
    <t>WVP_RH_%</t>
  </si>
  <si>
    <t>WVP_psat_bar</t>
  </si>
  <si>
    <t>WVP_Δp_bar</t>
  </si>
  <si>
    <t>WVTR_value</t>
  </si>
  <si>
    <t>WVTR_SD</t>
  </si>
  <si>
    <t>WVTR_unit</t>
  </si>
  <si>
    <t>WVTR_conversion_factor</t>
  </si>
  <si>
    <t xml:space="preserve">WVTR100_g·m-2·d-1 </t>
  </si>
  <si>
    <t xml:space="preserve">WVTR100µm_SD_g·m-2·d-1 </t>
  </si>
  <si>
    <t>WVTR_standard</t>
  </si>
  <si>
    <t>WVTR_temperature_°C</t>
  </si>
  <si>
    <t>WVTR_RH_%</t>
  </si>
  <si>
    <t>Replicates</t>
  </si>
  <si>
    <t>Reference_polymer</t>
  </si>
  <si>
    <t>Reference_polymer_family</t>
  </si>
  <si>
    <t>Reference_thickness_µm</t>
  </si>
  <si>
    <t>Reference_PO2_value</t>
  </si>
  <si>
    <t>Reference_PO2_unit</t>
  </si>
  <si>
    <t>Reference_PO2_conversion_factor</t>
  </si>
  <si>
    <t xml:space="preserve">Reference_PO2_cm³·µm·m⁻²·d⁻¹·bar⁻¹ </t>
  </si>
  <si>
    <t>Reference_PO2_T_°C</t>
  </si>
  <si>
    <t>Reference_PO2_RH_%</t>
  </si>
  <si>
    <t xml:space="preserve">Reference_OTR100_cm³·m⁻²·d⁻¹·bar⁻¹ </t>
  </si>
  <si>
    <t>Reference_OTR_temperature°C</t>
  </si>
  <si>
    <t>Reference_OTR_RH_%</t>
  </si>
  <si>
    <t>Reference_PCO2_value</t>
  </si>
  <si>
    <t>Reference_PCO2_unit</t>
  </si>
  <si>
    <t>Reference_PCO2_conversion_factor</t>
  </si>
  <si>
    <t xml:space="preserve">Reference_PCO2_cm³·µm·m⁻²·d⁻¹·bar⁻¹ </t>
  </si>
  <si>
    <t>Reference_PCO2_T_°C</t>
  </si>
  <si>
    <t>Reference_PCO2_RH_%</t>
  </si>
  <si>
    <t xml:space="preserve">Reference_COTR100_cm³·m⁻²·d⁻¹·bar⁻¹ </t>
  </si>
  <si>
    <t>Reference_COTR_temperature°C</t>
  </si>
  <si>
    <t>Reference_COTR_RH_%</t>
  </si>
  <si>
    <t>Reference_WVP_value</t>
  </si>
  <si>
    <t>Reference_WVP_unit</t>
  </si>
  <si>
    <t>Reference_WVP_conversion_factor</t>
  </si>
  <si>
    <t xml:space="preserve">Reference_WVP_g·µm·m-2·d-1 </t>
  </si>
  <si>
    <t>Reference_WVP_temperature°C</t>
  </si>
  <si>
    <t>Reference_WVP_RH_%</t>
  </si>
  <si>
    <t>Reference_WVP_psat_bar</t>
  </si>
  <si>
    <t>Reference_WVP_Δp_bar</t>
  </si>
  <si>
    <t>Reference_WVTR_value</t>
  </si>
  <si>
    <t>Reference_WVTR_unit</t>
  </si>
  <si>
    <t>Reference_WVTR_conversion_factor</t>
  </si>
  <si>
    <t xml:space="preserve">Reference_WVTR100_g·m-2·d-1 </t>
  </si>
  <si>
    <t>Reference_WVTR_T_°C</t>
  </si>
  <si>
    <t>Reference_WVTR_RH_%</t>
  </si>
  <si>
    <t>Comparison_type</t>
  </si>
  <si>
    <t>Food_contact_tested</t>
  </si>
  <si>
    <t>Key_barrier_finding</t>
  </si>
  <si>
    <t>Reviewer_notes</t>
  </si>
  <si>
    <t>Demchenko, H.; Knaapila, M.</t>
  </si>
  <si>
    <t>Bio-Based Coatings and Free-Standing Films from Starch-Based Pickering Emulsions</t>
  </si>
  <si>
    <t>European journal of Lipid Science and Technology</t>
  </si>
  <si>
    <t>10.1002/ejlt.70091</t>
  </si>
  <si>
    <t>No</t>
  </si>
  <si>
    <t>NaN</t>
  </si>
  <si>
    <t>Test conditions (T, RH, thickness) for barrier properties not recorded</t>
  </si>
  <si>
    <t>Coltelli, M.-B.; Cartoni, F.; Panariello, L.; Aliotta, L.; Gigante, V.; Lazzeri, A.</t>
  </si>
  <si>
    <t>Assessing PLA/PBSA Films for Sustainable Packaging for Moist and Perishable Foods</t>
  </si>
  <si>
    <t>Polymers</t>
  </si>
  <si>
    <t>10.3390/polym17233093</t>
  </si>
  <si>
    <t>Tassew, N.A.; Andualem, T.L.; Reddy Prasad, R.P.; Endeshaw, M.A.; Ramesh, R.</t>
  </si>
  <si>
    <t>Avocado seed starch bioplastic film reinforced with enset cellulose for Sustainable packaging</t>
  </si>
  <si>
    <t>Scientific Reports</t>
  </si>
  <si>
    <t>10.1038/s41598-025-24935-3</t>
  </si>
  <si>
    <t>Chandrasekar, C.M.; Carullo, D.; Saitta, F.; Bellesia, T.; Caneva, E.; Baschieri, C.; Signorelli, M.; Barbiroli, A.G.; Fessas, D.; Farris, S.; Romano, D.</t>
  </si>
  <si>
    <t>Lipase-mediated bi-phasic modification of citrus pectin (MCP) and expedition of its packaging film characteristics</t>
  </si>
  <si>
    <t>International journal of Biological Macromolecules</t>
  </si>
  <si>
    <t>10.1016/j.ijbiomac.2025.148727</t>
  </si>
  <si>
    <t>QS &lt; 0.8</t>
  </si>
  <si>
    <t>Baddigam, K.R.; Chee, B.S.; Guilloud, E.; Venkatesh, C.; Koninckx, H.; Windey, K.; Fournet, M.B.; Hedenqvist, M.; Svagan, A.J.</t>
  </si>
  <si>
    <t>High oxygen barrier packaging materials from protein-rich single-celled organisms</t>
  </si>
  <si>
    <t>Communications Chemistry</t>
  </si>
  <si>
    <t>10.1038/s42004-025-01720-x</t>
  </si>
  <si>
    <t>Not a polymeric material</t>
  </si>
  <si>
    <t>Moody, F.; Claypole, A.; Woods, J.; Clifford, B.; Liu, Q.; Hardwick, C.; Phillips, C.; Deganello, D.</t>
  </si>
  <si>
    <t>Development of a pectin-based oxygen barrier coating for food packaging applications</t>
  </si>
  <si>
    <t>Future Foods</t>
  </si>
  <si>
    <t>10.1016/j.fufo.2025.100766</t>
  </si>
  <si>
    <t>Multilayer, composite or active packaging material</t>
  </si>
  <si>
    <t>Siracusa, C.; Manfroni, M.; Coatti, A.; Quartinello, F.; Soccio, M.; Lotti, N.; Guebitz, G.M.; Pellis, A.</t>
  </si>
  <si>
    <t>Mechanistic study of enzymatic hydrolysis of poly(butylene succinate)/poly(pentamethylene 2,5-furanoate)-based blend and block copolymer</t>
  </si>
  <si>
    <t>Polymer Degradation and Stability</t>
  </si>
  <si>
    <t>10.1016/j.polymdegradstab.2025.111631</t>
  </si>
  <si>
    <t>Dhatt, P.S.; Hu, A.; Hu, C.; Huynh, V.; Dai, S.Y.; Yuan, J.S.</t>
  </si>
  <si>
    <t>Biomimetic layered, ecological, advanced, multi-functioNaNl film for Sustainable packaging</t>
  </si>
  <si>
    <t>Nature Communications</t>
  </si>
  <si>
    <t>10.1038/s41467-025-61693-2</t>
  </si>
  <si>
    <t>Pacheco-Romeralo, M.; Hernández-García, E.; Martínez de Ilarduya, A.; Janani, R.; Sammon, C.; Torres-Giner, S.</t>
  </si>
  <si>
    <t>Synthesis and characterization of copolyamide 1010/410 with varying putrescine contents for meat packaging applications</t>
  </si>
  <si>
    <t>Polymer Chemistry</t>
  </si>
  <si>
    <t>10.1039/d5py00766f</t>
  </si>
  <si>
    <t>Barros, A.C.O.D.; Silva, I.D.L.; Simões, A.N.; Pereira, J.F.Q.; Brito, A.M.S.S.; Vinhas, G.M.</t>
  </si>
  <si>
    <t>Production and Characterization of Bacterial Cellulose by Komagataeibacter hansenii UCP1619 Using the Fruit of Cereus jamacaru DC as an AlterNaNtive Medium</t>
  </si>
  <si>
    <t>journal of the Brazilian Chemical Society</t>
  </si>
  <si>
    <t>10.21577/0103-5053.20250120</t>
  </si>
  <si>
    <t>Sun, T.; Ren, S.; Hu, J.; Zhang, J.; Liu, L.; Du, J.; Wang, X.; Deng, Y.; Yun, X.; Dong, T.</t>
  </si>
  <si>
    <t>Copolymerized and blended poly(L-lactic acid)-based films with potential for dairy packaging: Soil degradation behavior</t>
  </si>
  <si>
    <t>Industrial Crops and Products</t>
  </si>
  <si>
    <t>10.1016/j.indcrop.2025.121583</t>
  </si>
  <si>
    <t>Bulatović, V.O.; Kovač, M.; Kučić Grgić, D.K.; Mandić, V.; Jozinović, A.</t>
  </si>
  <si>
    <t>Designing Sustainable Packaging Materials: Citric Acid-Modified TPS/PLA Blends with Enhanced FunctioNaNl and Eco-Performance</t>
  </si>
  <si>
    <t>10.3390/polym17192571</t>
  </si>
  <si>
    <t>Magouz, O.; Fayed, E.; Radhi, K.S.; Althobaiti, F.; Taha, A.A.; Kamel, R.M.; El-nawasany, L.I.; Abdin, M.; Abdelkarim, D.O.; Hamed, Y.S.; Younis, M.</t>
  </si>
  <si>
    <t>Eco-Friendly Innovation: Biodegradable and Oil-Resistant Bags From Lotus halophilus Extract, Polyvinyl Alcohol, and Guar Gum for Sustainable Food Packaging</t>
  </si>
  <si>
    <t>Food Science and Nutrition</t>
  </si>
  <si>
    <t>10.1002/fsn3.71017</t>
  </si>
  <si>
    <t>Bhatia, S.; Khan, T.S.; Alhadhrami, A.S.; Chinnam, S.; Shah, Y.A.; Philip, A.K.; Koca, E.; Aydemir, L.Y.; Al-Harrasi, A.</t>
  </si>
  <si>
    <t>Development of novel ecofriendly sodium algiNaNte-gelrite gellan gum composite films: Effects of glycerol and sorbitol</t>
  </si>
  <si>
    <t>journal of Vinyl and Additive Technology</t>
  </si>
  <si>
    <t>10.1002/vnl.22187</t>
  </si>
  <si>
    <t>Gómez-Contreras, P.; Cháfer, M.; Chiralt, A.; González Martínez, C.</t>
  </si>
  <si>
    <t>Beer Bagasse as Filler for Starch-Based Biocomposite Films for Food Packaging Applications</t>
  </si>
  <si>
    <t>Biomass (Switzerland)</t>
  </si>
  <si>
    <t>10.3390/biomass5030046</t>
  </si>
  <si>
    <t>Muñoz-Shugulí, C.; Morán, D.; Velásquez, E.; López-Vilariño, J.M.; López de Dicastillo, C.</t>
  </si>
  <si>
    <t>Effect of Degradation During Multiple Primary Mechanical Recycling Processes on the Physical Properties and Biodegradation of Commercial PLA-Based Water Bottles</t>
  </si>
  <si>
    <t>10.3390/polym17182542</t>
  </si>
  <si>
    <t>Sabzevari, S.; Farrokhzad, H.; Poorkhalil, A.</t>
  </si>
  <si>
    <t>Synthesis and characterization of a hydrogel film based on chitosan/carboxymethyl cellulose for food packaging applications</t>
  </si>
  <si>
    <t>Carbohydrate Polymer Technologies and Applications</t>
  </si>
  <si>
    <t>10.1016/j.carpta.2025.100983</t>
  </si>
  <si>
    <t>Zamanidehyaghoubi, G.; Shahidi, F.; Edalatian Dovom, M.R.; Mohebbi, M.; Roshanak, S.</t>
  </si>
  <si>
    <t>Investigating the effect of three different types and concentrations of plasticizers on physico-mechanical properties of pullulan food-packaging films</t>
  </si>
  <si>
    <t>Food Packaging and Shelf Life</t>
  </si>
  <si>
    <t>10.1016/j.fpsl.2025.101590</t>
  </si>
  <si>
    <t>Bernabé Vírseda, I.; de la Orden, M.U.; Martínez Urreaga, J.</t>
  </si>
  <si>
    <t>Effects of chitosan thin barrier layers on the oxygen permeability and optical properties of poly(lactic acid) and poly(3-hydroxybutyrate-co-3-hydroxyvalerate) multilayers</t>
  </si>
  <si>
    <t>10.1016/j.carpta.2025.100918</t>
  </si>
  <si>
    <t>Jakubska, J.; Hudecki, A.; Kluska, D.; Grzybek, P.; Gołombek, K.; Pakieła, W.; Spałek, H.; Włodarczyk, P.; Kolano – Burian, A.; Dudek, G.</t>
  </si>
  <si>
    <t>Innovative Multilayer Biodegradable Films of Chitosan and PCL Fibers for Food Packaging</t>
  </si>
  <si>
    <t>Foods</t>
  </si>
  <si>
    <t>10.3390/foods14142470</t>
  </si>
  <si>
    <t>Gennaro, M.; Büyüktaş, D.; Carullo, D.; Pinto, A.; Dallavalle, S.; Farris, S.</t>
  </si>
  <si>
    <t>UV-Shielding Biopolymer Coatings Loaded with Bioactive Compounds for Food Packaging Applications</t>
  </si>
  <si>
    <t>Coatings</t>
  </si>
  <si>
    <t>10.3390/coatings15070741</t>
  </si>
  <si>
    <t>Athanasopoulou, E.; Katsiroumpa, A.; Gardeli, C.; Tsironi, T.</t>
  </si>
  <si>
    <t>Comparative study of packaging materials developed from fish and legume protein concentrates</t>
  </si>
  <si>
    <t>10.1016/j.fufo.2025.100563</t>
  </si>
  <si>
    <t>Camarena-Bononad, P.; Freitas, P.A.V.; Chiralt, A.; Vargas, M.</t>
  </si>
  <si>
    <t>Use of Cellulose Fibres from Posidonia oceanica to Obtain Chitosan Biocomposites and Poly(lactic Acid) LamiNaNtes</t>
  </si>
  <si>
    <t>Polysaccharides</t>
  </si>
  <si>
    <t>10.3390/polysaccharides6020027</t>
  </si>
  <si>
    <t>Liu, Y.; Guo, L.; Hu, X.; Zhou, M.</t>
  </si>
  <si>
    <t>Sensor-Integrated Inverse Design of Sustainable Food Packaging Materials via Generative Adversarial Networks</t>
  </si>
  <si>
    <t>Sensors</t>
  </si>
  <si>
    <t>10.3390/s25113320</t>
  </si>
  <si>
    <t>Zacheski, J.B.A.; Rojas, C.E.B.; Gerhardt, R.; Cappellari, N.P.; Silva de Farias, B.S.; Christ-Ribeiro, A.C.; Sant'anna Cadaval Júnior, T.R.; Pinto, L.A.</t>
  </si>
  <si>
    <t>Chitosan-based films enriched with anthocyanin compounds for potential use as food packaging</t>
  </si>
  <si>
    <t>10.1016/j.ijbiomac.2025.144867</t>
  </si>
  <si>
    <t>Arroyo-Esquivel, L.; Jiménez, V.M.; Vásquez, F.; Esquivel, P.</t>
  </si>
  <si>
    <t>Plasticizers improved flexibility, homogeneity, and color stability in pitahaya (Hylocereus sp.) peel-based biopolymer films aimed at food packaging</t>
  </si>
  <si>
    <t>10.1016/j.indcrop.2025.120757</t>
  </si>
  <si>
    <t>Joe, A.-C.; Tănase, M.; Calin, C.; Sirbu, E.-E.; Banu, I.; Bomboş, D.; Cuc, S.</t>
  </si>
  <si>
    <t>Pyrolyzed Biomass Filler for PLA-Based Food Packaging</t>
  </si>
  <si>
    <t>10.3390/polym17101327</t>
  </si>
  <si>
    <t>Karaoğul, E.; Sark, G.; Öğütlü, A.S.</t>
  </si>
  <si>
    <t>Bio-Hybrid Films from Chirich Tuber Starch: A Sustainable Approach with Machine Learning-Driven Optimization</t>
  </si>
  <si>
    <t>Sustainability (Switzerland)</t>
  </si>
  <si>
    <t>10.3390/su17051935</t>
  </si>
  <si>
    <t>Liu, I.-T.; Li, C.-Y.; Liao, Y.-C.</t>
  </si>
  <si>
    <t>Sustainable multi-purpose bacterial cellulose composite for food packaging via facile successive infiltration</t>
  </si>
  <si>
    <t>10.1016/j.carpta.2025.100703</t>
  </si>
  <si>
    <t>Marianelli, A.; Casu Pereira de Sousa, B.A.; Macaluso, M.; Pieracci, Y.; Palla, F.; Verdini, P.G.; Guidi, E.; Coltelli, M.-B.; Zinnai, A.</t>
  </si>
  <si>
    <t>ANaNlysis and evaluation of compostable and conventioNaNl films for packaging bakery goods in modified atmospheres with the use of Microcontroller Unit (MCU) and digital sensors</t>
  </si>
  <si>
    <t>10.1016/j.fpsl.2025.101459</t>
  </si>
  <si>
    <t>Petaloti, A.-I.; Paraskevopoulou, A.; Achilias, D.S.</t>
  </si>
  <si>
    <t>Preparation and Characterization of Biocomposite Films with Enhanced Oxygen Barrier and Antioxidant Properties Based on Polylactide and Extracts from Coffee Silverskin</t>
  </si>
  <si>
    <t>Molecules</t>
  </si>
  <si>
    <t>10.3390/molecules30061383</t>
  </si>
  <si>
    <t>Dodange, S.; Shekarchizadeh, H.; Kadivar, M.</t>
  </si>
  <si>
    <t>Designing and characterization of bilayer films based on bitter vetch seed protein and polylactic acid for enhanced food packaging</t>
  </si>
  <si>
    <t>Heliyon</t>
  </si>
  <si>
    <t>10.1016/j.heliyon.2024.e41430</t>
  </si>
  <si>
    <t>Pk, M.E.H.; Islam, M.M.; Akter, R.; Nesa, F.; Rahman, M.M.; Paul, T.; Mustafi, S.; Karim, M.R.; Rahman, S.; Alodhayb, A.N.; Vasquez-Guardado, E.S.; Albrithen, H.</t>
  </si>
  <si>
    <t>Carboxymethyl Chitosan-based Biodegradable Films Preparation and Prospects for Food Preservation</t>
  </si>
  <si>
    <t>ChemistrySelect</t>
  </si>
  <si>
    <t>10.1002/slct.202404675</t>
  </si>
  <si>
    <t>Novianto, T.D.; Rahayoe, S.; Sedu, B.B.</t>
  </si>
  <si>
    <t>Enhancing the Properties of Biodegradable Food Packaging Films Derived from Agar and Porang-GlucomanNaNn (Amorphophallus oncophyllus) Blends</t>
  </si>
  <si>
    <t>journal of Renewable Materials</t>
  </si>
  <si>
    <t>10.32604/jrm.2024.057313</t>
  </si>
  <si>
    <t>Fadhallah, E.G.; Zuidar, A.S.; Hidati, S.; Haidawati; Dameswary, A.H.; Ramadhani, A.T.</t>
  </si>
  <si>
    <t>Development of Sustainable Bioplastic Composite Films from Cocoa Pod Husk Waste Cellulose and Kappa-CarrageeNaNn</t>
  </si>
  <si>
    <t>Caraka Tani: journal of Sustainable Agriculture</t>
  </si>
  <si>
    <t>10.20961/carakatani.v40i1.92035</t>
  </si>
  <si>
    <t>Alfiya, P.V.; Jayashree, E.; Anees, K.; P.; S.</t>
  </si>
  <si>
    <t>Optimization and Characterization of Turmeric Oleoresin ImpregNaNted Biodegradable Packaging Film</t>
  </si>
  <si>
    <t>Packaging Technology and Science</t>
  </si>
  <si>
    <t>10.1002/pts.70051</t>
  </si>
  <si>
    <t>Paudel, S.; Janaswamy, S.</t>
  </si>
  <si>
    <t>Biodegradable films based on alfalfa cellulosic residue and carrageeNaNn blends for Sustainable food packaging</t>
  </si>
  <si>
    <t>Sustainable Food Technology</t>
  </si>
  <si>
    <t>10.1039/d5fb00872g</t>
  </si>
  <si>
    <t>Sidhu, R.K.; Riar, C.S.; Singh, S.</t>
  </si>
  <si>
    <t>Eco-friendly biofilms from chemically modified Indian teff (Eragrostis tef) starch for quality mainteNaNnce and shelf-life improvement of green grapes</t>
  </si>
  <si>
    <t>10.1039/d5fb00606f</t>
  </si>
  <si>
    <t>Sourav, C.; Abhilash, A.; Mohan, C.O.; Sabu, S.; Sunooj, K.V.</t>
  </si>
  <si>
    <t>Prospects of Biodegradable Packaging in the Seafood Industry: A Review</t>
  </si>
  <si>
    <t>Asian Fisheries Science</t>
  </si>
  <si>
    <t>10.33997/j.afs.2025.38.1.005</t>
  </si>
  <si>
    <t>Lee, S.C.; Han Lyn, H.L.; Nur Hanai, Z.A.</t>
  </si>
  <si>
    <t>Effect of Homogenization Rates on the Properties and Stability of Fish Gelatin Films with CinNaNmon Essential Oil</t>
  </si>
  <si>
    <t>10.32604/jrm.2024.02024-0006</t>
  </si>
  <si>
    <t>Miller, K.; Reichert, C.L.; Schmid, M.; Loeffler, M.</t>
  </si>
  <si>
    <t>Impact of Citric Acid on the Structure, Barrier, and Tensile Properties of Esterified/Cross-Linked Potato Peel-Based Films and Coatings</t>
  </si>
  <si>
    <t>10.3390/polym16243506</t>
  </si>
  <si>
    <t>Moll, E.; Chiralt, A.</t>
  </si>
  <si>
    <t>Improving Thermo-Sealing of Poly(3-hydroxybutyrate-co-3-hydroxyvalerate) by Blending with Polycaprolactone</t>
  </si>
  <si>
    <t>10.3390/polym16233255</t>
  </si>
  <si>
    <t>Jiang, S.; Zhang, J.; Zhang, M.; Qian, F.; Mu, G.</t>
  </si>
  <si>
    <t>Characteristics of whey protein concentrate/egg white protein composite film modified by transglutamiNaNse and its application on cherry tomatoes</t>
  </si>
  <si>
    <t>journal of Food Science</t>
  </si>
  <si>
    <t>10.1111/1750-3841.17506</t>
  </si>
  <si>
    <t>Bianchi, E.; Papadopoulos, L.; Soccio, M.; Siracusa, V.; Gazzano, M.; Robert, T.; Bikiaris, D.N.; Lotti, N.</t>
  </si>
  <si>
    <t>Mechanical properties, gas permeability and biodegradation mechanism of biobased poly(ester amide)s from 2,5-furandicarboxylic acid and amido diols for Sustainable food packaging</t>
  </si>
  <si>
    <t>10.1016/j.polymdegradstab.2024.111049</t>
  </si>
  <si>
    <t>Szymański, M.; Pawlik, M.; Dobrucka, R.</t>
  </si>
  <si>
    <t>Development of a blue innovative antioxidant, biodegradable packaging material with Clitoria terNaNtea L. flos</t>
  </si>
  <si>
    <t>Food Bioscience</t>
  </si>
  <si>
    <t>10.1016/j.fbio.2024.105047</t>
  </si>
  <si>
    <t>Regmi, S.; Janaswamy, S.</t>
  </si>
  <si>
    <t>Biodegradable films from soyhull cellulosic residue with UV protection and antioxidant properties improve the shelf-life of post-harvested raspberries</t>
  </si>
  <si>
    <t>Food Chemistry</t>
  </si>
  <si>
    <t>10.1016/j.foodchem.2024.140672</t>
  </si>
  <si>
    <t>Ratna, R.; Mutia, M.; Darwin, D.; Munawar, A.A.; Fitriani, F.; Handani, L.</t>
  </si>
  <si>
    <t>Utilization of tofu liquid waste for the manufacture of bioplastic food packaging</t>
  </si>
  <si>
    <t>Case Studies in Chemical and Environmental Engineering</t>
  </si>
  <si>
    <t>10.1016/j.cscee.2024.100830</t>
  </si>
  <si>
    <t>Hussain, S.A.; Yadav, M.P.; Sharma, B.K.; Qi, P.X.; Jin, T.Z.</t>
  </si>
  <si>
    <t>Biodegradable Food Packaging Films Using a CombiNaNtion of Hemicellulose and Cellulose Derivatives †</t>
  </si>
  <si>
    <t>10.3390/polym16223171</t>
  </si>
  <si>
    <t>Diah, S.B.M.; Sayid Abdullah, S.H.Y.S.; Yew, Y.B.; Ireana Yusra, I.Y.A.; A Rahman, N.I.A.; Hafizulhaq, F.; Alias, N.N.</t>
  </si>
  <si>
    <t>Impact of Starch-Based Bioplastic Film Reinforced with Alkaline Treated Lemongrass Fiber and Lemongrass Essential Oil on the Barrier and Mechanical Properties</t>
  </si>
  <si>
    <t>journal of Advanced Research in Applied Mechanics</t>
  </si>
  <si>
    <t>10.37934/ARAM.123.1.120134</t>
  </si>
  <si>
    <t>Ursachi, V.-F.; Oroian, M.; Spinei, M.</t>
  </si>
  <si>
    <t>Development and characterization of biodegradable films based on cellulose derivatives and citrus pectin: A comparative study</t>
  </si>
  <si>
    <t>10.1016/j.indcrop.2024.119052</t>
  </si>
  <si>
    <t>Figueroa-Lopez, K.J.; Villabona-Ortíz, Á.; Ortega-Toro, R.</t>
  </si>
  <si>
    <t>Sustainable Starch-Based Films from Cereals and Tubers: A Comparative Study on Cherry Tomato Preservation</t>
  </si>
  <si>
    <t>10.3390/polym16202913</t>
  </si>
  <si>
    <t>Rojas-Candelas, L.E.; Duque-Buitrago, L.F.; Díaz-Ramírez, M.; González-Vázquez, M.; Arredondo-Tamayo, B.; Mendez, J.V.; Renteria-Ortega, M.; Quiroz-Estrada, K.</t>
  </si>
  <si>
    <t>Development of Pericarp-Based Coatings from Corn Nixtamalization Residue for Stone Fruits: Applications for Peach and Tejocote</t>
  </si>
  <si>
    <t>10.3390/coatings14101296</t>
  </si>
  <si>
    <t>Bianchi, E.; Soccio, M.; Siracusa, V.; Gazzano, M.; Thiyagarajan, S.; Lotti, N.</t>
  </si>
  <si>
    <t>Poly(alkylene 2,4-furanoate)s: The potential of structural isomerism for outstanding Sustainable food packaging and unexpected evidence of self-healing microstructure</t>
  </si>
  <si>
    <t>Reactive and Functional Polymers</t>
  </si>
  <si>
    <t>10.1016/j.reactfunctpolym.2024.106010</t>
  </si>
  <si>
    <t>Maitha, I.M.; Okoth, M.W.; Njue, L.G.; Mbuge, D.O.</t>
  </si>
  <si>
    <t>Development of eco-friendly food packaging bio-film from cassava starch plasticized with coconut oil</t>
  </si>
  <si>
    <t>East African journal of Science, Technology and Innovation</t>
  </si>
  <si>
    <t>10.37425/68e3hv02</t>
  </si>
  <si>
    <t>He, W.-J.; Xu, Q.-D.; Chen, N.; Zeng, W.-C.</t>
  </si>
  <si>
    <t>Establishing a biodegradable film with gluten and tea polyphenols: Structure, properties, and function</t>
  </si>
  <si>
    <t>LWT</t>
  </si>
  <si>
    <t>10.1016/j.lwt.2024.116693</t>
  </si>
  <si>
    <t>Tosuwan, P.; Leese, H.S.; Chuck, C.J.</t>
  </si>
  <si>
    <t>Developing Hydrophobic AlgiNaNte-Amine Derivatives as a Coating for Food Packaging</t>
  </si>
  <si>
    <t>ACS Applied Polymer Materials</t>
  </si>
  <si>
    <t>10.1021/acsapm.4c01816</t>
  </si>
  <si>
    <t>Mroczkowska, M.; Culliton, D.; Germaine, K.J.; Hegde, M.; Tobin, E.F.; Neves, A.C.</t>
  </si>
  <si>
    <t>Valorisation of Tomato Waste as a Source of Cutin for Hydrophobic Surface Coatings to Protect Starch- and Gelatine-Blend Bioplastics</t>
  </si>
  <si>
    <t>10.3390/biomass4030055</t>
  </si>
  <si>
    <t>Bhowmik, S.; Agyei, D.; Ali, A.</t>
  </si>
  <si>
    <t>Biodegradable chitosan hydrogel film incorporated with polyvinyl alcohol, chitooligosaccharides, and gallic acid for potential application in food packaging</t>
  </si>
  <si>
    <t>Cellulose</t>
  </si>
  <si>
    <t>10.1007/s10570-024-06080-8</t>
  </si>
  <si>
    <t>Hernández-Varela, J.D.; Chanona Pérez, J.J.; Foruzanmehr, R.; Medina, D.I.</t>
  </si>
  <si>
    <t>Assessing the reinforcement effect by response surface methodology of holocellulose from spent coffee grounds on biopolymeric films as food packaging materials</t>
  </si>
  <si>
    <t>Biopolymers</t>
  </si>
  <si>
    <t>10.1002/bip.23585</t>
  </si>
  <si>
    <t>Barmpaki, A.A.; Paul, U.C.; Nardi, M.; Athanassiou, A.</t>
  </si>
  <si>
    <t>Eco-friendly Blends of Polylactic Acid and Polyhydroxybutyrate Enhanced with Epoxidized Soybean Oil Methyl Ester for Food-Packaging Applications</t>
  </si>
  <si>
    <t>10.1021/acsapm.4c01341</t>
  </si>
  <si>
    <t>Ghosh, R.; Zhao, X.; Vodovotz, Y.</t>
  </si>
  <si>
    <t>Addition of Coffee Waste-Derived Plasticizer Improves Processability and Barrier Properties of Poly(3-hydroxybutyrate-co-3-hydroxyvalerate)-NaNtural Rubber Bioplastic</t>
  </si>
  <si>
    <t>10.3390/polym16152164</t>
  </si>
  <si>
    <t>Wahlström, N.; Hedenqvist, M.; Vilaplana, F.</t>
  </si>
  <si>
    <t>Citric acid tailors the mechanical and barrier properties of arabinoxylan-gluten crosslinked glycoprotein films</t>
  </si>
  <si>
    <t>Food Hydrocolloids</t>
  </si>
  <si>
    <t>10.1016/j.foodhyd.2024.110012</t>
  </si>
  <si>
    <t>Alves, L.T.D.O.; Fronza, P.; Gonçalves, I.; da Silva, W.A.; Oliveira, L.S.; Franca, A.S.</t>
  </si>
  <si>
    <t>Development of Polymeric Films Based on Sunflower Seed Proteins and Locust Bean Gum</t>
  </si>
  <si>
    <t>10.3390/polym16131905</t>
  </si>
  <si>
    <t>Benítez, J.J.; Florido-Moreno, P.; Porras-Vázquez, J.M.; Tedeschi, G.; Athanassiou, A.; Heredia-Guerrero, J.A.; Guzman-Puyol, S.</t>
  </si>
  <si>
    <t>Transparent, plasticized cellulose-glycerol bioplastics for food packaging applications</t>
  </si>
  <si>
    <t>10.1016/j.ijbiomac.2024.132956</t>
  </si>
  <si>
    <t>Merino, D.; Paul, U.C.; Athanassiou, A.</t>
  </si>
  <si>
    <t>Blending of polysaccharide-based carrot pomace with vegetable proteins for biocomposites with optimized performance for food packaging applications</t>
  </si>
  <si>
    <t>10.1016/j.foodhyd.2024.109903</t>
  </si>
  <si>
    <t>Aragón-Gutierrez, A.; Muñoz-Gimena, P.F.; Gallur, M.; Gavara, R.; López, D.; Hernańdez-Muñoz, P.</t>
  </si>
  <si>
    <t>Melt-Extruded Home Compostable Films Based On Blends Of Thermoplastic Gliadins And Poly(ε-Caprolactone) Intended For Food Packaging Applications</t>
  </si>
  <si>
    <t>journal of Polymers and the Environment</t>
  </si>
  <si>
    <t>10.1007/s10924-023-03163-8</t>
  </si>
  <si>
    <t>Alahmed, A.; Şimşek, S.</t>
  </si>
  <si>
    <t>Improving Biodegradable Films from Corn Bran Arabinoxylan for Hydrophobic Material and Green Food Packaging</t>
  </si>
  <si>
    <t>10.3390/foods13121914</t>
  </si>
  <si>
    <t>Cheng, H.N.; Biswas, A.; Kuzniar, G.; Kim, S.; Liu, Z.; He, Z.</t>
  </si>
  <si>
    <t>Blends of Carboxymethyl Cellulose and Cottonseed Protein as Biodegradable Films</t>
  </si>
  <si>
    <t>10.3390/polym16111554</t>
  </si>
  <si>
    <t>Ranote, S.; Kowalczuk, M.; Guzenko, N.; Duale, K.; Chaber, P.; Musioł, M.; Jankowski, A.; Marcinkowski, A.; Kurcok, P.; Chauhan, G.S.; Chauhan, S.; Kumar, K.</t>
  </si>
  <si>
    <t>Towards scalable and degradable bioplastic films from Moringa oleifera gum/poly(vinyl alcohol) as packaging material</t>
  </si>
  <si>
    <t>10.1016/j.ijbiomac.2024.132219</t>
  </si>
  <si>
    <t>Shahir, F.A.; Ahmadi, Z.; Darvishi, S.M.R.</t>
  </si>
  <si>
    <t>Sustainable packaging: A comparative study on thermoplastic whey protein films with biodegradable plasticizers</t>
  </si>
  <si>
    <t>Express Polymer Letters</t>
  </si>
  <si>
    <t>10.3144/expresspolymlett.2024.44</t>
  </si>
  <si>
    <t>Dilkushi, H.A.S.; Jayarathna, S.; Manipura, A.; Chamara, H.K.B.S.; Edirisinghe, D.; Vidanarachchi, J.K.; Priyashantha, H.</t>
  </si>
  <si>
    <t>Development and characterization of biocomposite films using Banana pseudostem, cassava starch and poly(vinyl alcohol): A Sustainable packaging alterNaNtive</t>
  </si>
  <si>
    <t>10.1016/j.carpta.2024.100472</t>
  </si>
  <si>
    <t>Rahmadiawan, D.; Abral, H.; Chayri Iby, I.; Kim, H.-J.; Ryu, K.-H.; Kwack, H.-W.; Railis, M.; Sugiarti, E.; Novi Muslimin, A.; Handani, D.; Dwinatrana, K.; Shi, S.-C.; Zainul, R.; Nabawi, R.</t>
  </si>
  <si>
    <t>Effect of post-heat treatment on the UV transmittance, hydrophobicity, and tensile properties of PVA/Uncaria gambir extract blend films</t>
  </si>
  <si>
    <t>10.1016/j.heliyon.2024.e30748</t>
  </si>
  <si>
    <t>Shorey, R.; Mekonnen, T.H.</t>
  </si>
  <si>
    <t>Oleic acid decorated kraft lignin as a hydrophobic and functioNaNl filler of cellulose acetate films</t>
  </si>
  <si>
    <t>10.1016/j.ijbiomac.2024.131672</t>
  </si>
  <si>
    <t>Jamali, A.R.; Shaikh, A.A.; Dad Chandio, A.</t>
  </si>
  <si>
    <t>Preparation and characterisation of polyvinyl alcohol/glycerol blend thin films for Sustainable flexibility</t>
  </si>
  <si>
    <t>Materials Research Express</t>
  </si>
  <si>
    <t>10.1088/2053-1591/ad4100</t>
  </si>
  <si>
    <t>Jahangiri, F.; Mohanty, A.K.; Pal, A.K.; Shankar, S.; Rodriguez-Uribe, A.; Clemmer, R.; Gregori, S.; Misra, M.</t>
  </si>
  <si>
    <t>PHBV coating on biodegradable plastic sheet: Effect of coating on morphological, mechanical and barrier properties</t>
  </si>
  <si>
    <t>Progress in Organic Coatings</t>
  </si>
  <si>
    <t>10.1016/j.porgcoat.2024.108270</t>
  </si>
  <si>
    <t>Laksanawati, T.A.; Khirzin, M.H.; Amaniyah, M.; Meidanti, K.; Deva, B.D.</t>
  </si>
  <si>
    <t>Physicochemical Properties and Biodegradability of Biofilm Based on Taro Starch and Duck Bone Gelatin</t>
  </si>
  <si>
    <t>Molekul</t>
  </si>
  <si>
    <t>10.20884/1.jm.2024.19.1.7628</t>
  </si>
  <si>
    <t>Zolfaghari, S.; Soltaninejad, A.; Valentine Okoro, O.V.; Shavandi, A.; Denayer, J.F.M.; Sadeghi, M.; Karimi, K.</t>
  </si>
  <si>
    <t>Starch biocomposites preparation by incorporating organosolv lignins from potato crop residues</t>
  </si>
  <si>
    <t>10.1016/j.ijbiomac.2023.129140</t>
  </si>
  <si>
    <t>Montalvo-Paquini, C.; Piñeiro-García, A.; Palou, E.; Mani-López, E.; López-Malo, A.; Hernández-Figueroa, R.H.</t>
  </si>
  <si>
    <t>pH-Drive on the Design and Properties of Legume Protein-Based Films</t>
  </si>
  <si>
    <t>10.1021/acsapm.5c03228</t>
  </si>
  <si>
    <t>Yes</t>
  </si>
  <si>
    <t>Broad bean protein concentrate (pH 7)</t>
  </si>
  <si>
    <t>Plant protein</t>
  </si>
  <si>
    <t>Protein</t>
  </si>
  <si>
    <t>Glycerol</t>
  </si>
  <si>
    <t>Casting</t>
  </si>
  <si>
    <t>g·mm·m⁻²·h⁻¹·kPa⁻¹</t>
  </si>
  <si>
    <t>ASTM E96</t>
  </si>
  <si>
    <t>Adjusting pH during film formation significantly reduces WVP of legume protein films.</t>
  </si>
  <si>
    <t>WVP values estimated with automeris.io</t>
  </si>
  <si>
    <t>Broad bean protein concentrate (pH 8.5)</t>
  </si>
  <si>
    <t>Broad bean protein concentrate (pH 10)</t>
  </si>
  <si>
    <t>Lentil protein concentrate (pH 7)</t>
  </si>
  <si>
    <t>Lentil protein concentrate (pH 8.5)</t>
  </si>
  <si>
    <t>Lentil protein concentrate (pH 10)</t>
  </si>
  <si>
    <t>Peruvian bean protein concentrate (pH 7)</t>
  </si>
  <si>
    <t>Peruvian bean protein concentrate (pH 8.5)</t>
  </si>
  <si>
    <t>Peruvian bean protein concentrate (pH 10)</t>
  </si>
  <si>
    <t>LDPE</t>
  </si>
  <si>
    <t>Polyolefin</t>
  </si>
  <si>
    <t>mL·m·m⁻²·d⁻¹·Pa⁻¹</t>
  </si>
  <si>
    <t>g·m·m⁻²·s⁻¹·Pa⁻¹</t>
  </si>
  <si>
    <t>Literature benchmark</t>
  </si>
  <si>
    <t>Reference values retrieved from Bastarrachea, L., Dhawan, S. &amp; Sablani, S.S. Engineering Properties of Polymeric-Based Antimicrobial Films for Food Packaging: A Review. Food Eng Rev 3, 79–93 (2011). https://doi.org/10.1007/s12393-011-9034-8 (Bastarrachea et al.,2011)</t>
  </si>
  <si>
    <t>HDPE</t>
  </si>
  <si>
    <t>PP</t>
  </si>
  <si>
    <t>PET</t>
  </si>
  <si>
    <t>Aromatic polyester</t>
  </si>
  <si>
    <t>PS</t>
  </si>
  <si>
    <t>Polystyrene</t>
  </si>
  <si>
    <t>PVOH</t>
  </si>
  <si>
    <t>Vinyl polymer</t>
  </si>
  <si>
    <t>EVA</t>
  </si>
  <si>
    <t>PVC</t>
  </si>
  <si>
    <t>PVDC</t>
  </si>
  <si>
    <t>PA</t>
  </si>
  <si>
    <t>Polyamide</t>
  </si>
  <si>
    <t>Ncube, L.K.; Ude, A.U.; Ogunmuyiwa, E.N.; Beas, I.N.</t>
  </si>
  <si>
    <t>Development and characterisation of Polylactic acid / Bambara groundnut (Vigna subterranea (L.) Verdc) shells biocomposite for food packaging application</t>
  </si>
  <si>
    <t>Scientific African</t>
  </si>
  <si>
    <t>10.1016/j.sciaf.2025.e03090</t>
  </si>
  <si>
    <t>PLA</t>
  </si>
  <si>
    <t>Aliphatic biopolyester</t>
  </si>
  <si>
    <t>Low BGS content improves water vapor barrier properties: Adding 1–5 wt% BGS to PLA reduces WVP compared to neat PLA. High BGS content worsens WVP due to morpholigical changes.</t>
  </si>
  <si>
    <t>PE</t>
  </si>
  <si>
    <t>cm³·mm·m⁻²·d⁻¹·atm⁻¹</t>
  </si>
  <si>
    <t>g·mm·m⁻²·d⁻¹</t>
  </si>
  <si>
    <t>Reference values retrieved from Lange, Jakob &amp; Wyser, Yves. (2003). Recent Innovations in Barrier Technologies for Plastic Packaging - A Review. Packaging Technology and Science. 16. 149-158. 10.1002/pts.621. (Lange et al., 2003)</t>
  </si>
  <si>
    <t>PEN</t>
  </si>
  <si>
    <t>PVA</t>
  </si>
  <si>
    <t>EVOH</t>
  </si>
  <si>
    <t>Macieja, S.; Mizielińska, M.; El Fray, M.; Bartkowiak, A.</t>
  </si>
  <si>
    <t>Novel Poly(butylene succinate-dilinoleic succinate) Films in Packaging Systems for Fresh Cut Chicory</t>
  </si>
  <si>
    <t>10.3390/coatings15091095</t>
  </si>
  <si>
    <t>OPP</t>
  </si>
  <si>
    <t>g·m⁻²·d⁻¹</t>
  </si>
  <si>
    <t>Direct in same study</t>
  </si>
  <si>
    <t>OPP is far less permeable than PBS, but DLS reduces WVTR</t>
  </si>
  <si>
    <t>PBS</t>
  </si>
  <si>
    <t>PBS-DLS</t>
  </si>
  <si>
    <t>Sepúlveda-Carter, J.; Faba, S.; Rodríguez, M.S.; Arrieta, M.P.</t>
  </si>
  <si>
    <t>Reprocessing of Simulated Industrial PLA Waste for Food Contact Applications</t>
  </si>
  <si>
    <t>10.3390/polym17182439</t>
  </si>
  <si>
    <t>Compression molding</t>
  </si>
  <si>
    <t>cm³·mm·m⁻²·d⁻¹·bar⁻¹</t>
  </si>
  <si>
    <t>UNE 53097</t>
  </si>
  <si>
    <t>In particular, the minimal increase in WVTR observed in PLA-RP suggests that the reprocessing cycle does not produce a high amount of shorter polymer chains able to increase the polymer chain mobility and facilitate the diffusion of moisture throughout the film, thus preserving the water barrier’s functional integrity</t>
  </si>
  <si>
    <t>Reprocessed PLA</t>
  </si>
  <si>
    <t>Carboxymethylcellulose</t>
  </si>
  <si>
    <t>Cellulose derivative</t>
  </si>
  <si>
    <t>Polysaccharide</t>
  </si>
  <si>
    <t>g·m·m⁻²·h⁻¹·Pa⁻¹</t>
  </si>
  <si>
    <t>CMC is hydrophillic, CS has lower WVP due to crystallinity, CA crosslinking densified network up to 18%.</t>
  </si>
  <si>
    <t>Chitosan</t>
  </si>
  <si>
    <t>Pullulan</t>
  </si>
  <si>
    <t>The barrier performance of pullulan films was strongly governed by plasticizer type and concentration. Low plasticizer levels (5 % w/w) induced an antiplasticization effect, resulting in denser polymer networks and significantly reduced water vapour and oxygen permeability, with fructose-plasticized films showing the best barrier properties. Increasing plasticizer concentration (10 % w/w) led to higher WVP and O₂P due to increased chain mobility, free volume, and film thickness</t>
  </si>
  <si>
    <t>Sorbitol</t>
  </si>
  <si>
    <t>Fructose</t>
  </si>
  <si>
    <t>Gil-Guillén, I.; Gonçalves, I.; Ferreira, P.; González Martínez, C.; Chiralt, A.</t>
  </si>
  <si>
    <t>Biodegradable Antioxidant Composites with Almond Skin Powder</t>
  </si>
  <si>
    <t>10.3390/polym17162201</t>
  </si>
  <si>
    <t>Almond skin powder acts as an effective oxygen barrier enhancer in both PLA and PVA films, while its impact on water vapor permeability is matrix-dependent, worsening water barrier properties in PLA but slightly improving them in PVA at low filler levels.</t>
  </si>
  <si>
    <t>Vinyl biopolymer</t>
  </si>
  <si>
    <t>Gelatin</t>
  </si>
  <si>
    <t>g·m⁻²·s⁻¹</t>
  </si>
  <si>
    <t>Pectin-based films showed the best water vapor barrier performance, while protein-containing films—especially lentil protein–pectin composites—had significantly poorer water vapor barrier properties.</t>
  </si>
  <si>
    <t>Pectin</t>
  </si>
  <si>
    <t>Reference values retrieved from Shellhammer, T. H., &amp; Krochta, J. M. (1997). Water vapor barrier and rheological properties of simulated and industrial milkfat fractions. Transactions of the ASAE, 40(4), 1119-1127</t>
  </si>
  <si>
    <t>Ocampo-Gómez, Y.A.; Rico-Rodriguez, F.; González-Cuello, R.; Hernández-Fernández, J.; Ortega-Toro, R.</t>
  </si>
  <si>
    <t>Effect of the Addition of Banana Stem Lignin (Musa acumiNaNta ssp. balbisiaNaN var. Dominico-Harton) on the Physicochemical Properties of Biodegradable Composites Based on Methylhydroxyethylcellulose</t>
  </si>
  <si>
    <t>journal of Composites Science</t>
  </si>
  <si>
    <t>10.3390/jcs9050244</t>
  </si>
  <si>
    <t>Methyl Hydroxyethyl Cellulose</t>
  </si>
  <si>
    <t>Incorporation of lignin increases film thickness and water vapour permeability, indicating a deterioration of the water vapour barrier compared to lignin-free (MHEC-based) control films.</t>
  </si>
  <si>
    <t>de Lima Silva, I.D.; Caetano, V.F.; de Andrade, M.F.; de Moraes Filho, L.E.P.T.; de Almeida, Y.M.B.; Simões, A.; Brito, A.M.S.S.; Vinhas, G.M.</t>
  </si>
  <si>
    <t>Evaluation of the physical–chemical properties of the blend of arrowroot starch and cactus mucilage</t>
  </si>
  <si>
    <t>Polymer Engineering and Science</t>
  </si>
  <si>
    <t>10.1002/pen.27124</t>
  </si>
  <si>
    <t>Starch</t>
  </si>
  <si>
    <t>Incorporating mucilage in starch films increases WVP</t>
  </si>
  <si>
    <t>Manfroni, M.; Coatti, A.; Soccio, M.; Siracusa, V.; Boanini, E.; Salatelli, E.; Lotti, N.</t>
  </si>
  <si>
    <t>Eco-design of biobased poly(butylene succinate-b-pentamethylene 2,5-furanoate) copolymers with optimized mechanical, thermal and barrier properties for flexible food-packaging</t>
  </si>
  <si>
    <t>European Polymer journal</t>
  </si>
  <si>
    <t>10.1016/j.eurpolymj.2025.113728</t>
  </si>
  <si>
    <t>cm³·cm·m⁻²·d⁻¹·atm⁻¹</t>
  </si>
  <si>
    <t>ASTM D1434</t>
  </si>
  <si>
    <t>PBS has moderate barrier properties, better than common polyolefins, but much worse than PPeF.</t>
  </si>
  <si>
    <t>Reference values estimated with automeris.io, OTR calculated by OTR=PO2⋅Δp​/l; Δp=1 bar</t>
  </si>
  <si>
    <t>PPeF</t>
  </si>
  <si>
    <t>Furanoate polyester</t>
  </si>
  <si>
    <t>Aromatic biopolyester</t>
  </si>
  <si>
    <t>Reference values estimated with automeris.io; Retrieved from: Giuseppe Mensitieri, Ernesto Di Maio, Giovanna G. Buonocore, Irma Nedi, Maria Oliviero, Lucia Sansone, Salvatore Iannace,
Processing and shelf life issues of selected food packaging materials and structures from renewable resources,
Trends in Food Science &amp; Technology,
Volume 22, Issues 2–3,
2011,
Pages 72-80,
ISSN 0924-2244,
https://doi.org/10.1016/j.tifs.2010.10.001.
(https://www.sciencedirect.com/science/article/pii/S0924224410002190)
Abstract: Use of polymers from renewable sources for food packaging applications is steadily growing. However, as compared to thermoplastic synthetic polymers, they present problems when processed with traditional technologies and show inferior performances in terms of functional and structural properties. This review paper focuses, in its first part, on current issues related to processing, such as thermoplasticization of starch and proteins, extrusion of films and foams. In the second part, the strategies for the technological advancements aimed to improve barrier properties, to promote active antimicrobial functionality and to apply these materials also in demanding high pressure processing of packaged foodstuff are discussed.</t>
  </si>
  <si>
    <t>Abdalrazeq, M.; Aref, D.; Mariniello, L.; Giosafatto, C.V.L.</t>
  </si>
  <si>
    <t>Microbial TransglutamiNaNse-Mediated Modification of Heat-Denatured Whey Proteins for the Preparation of Bio-Based Materials</t>
  </si>
  <si>
    <t>10.3390/coatings15010066</t>
  </si>
  <si>
    <t>Whey</t>
  </si>
  <si>
    <t>cm³·mm·m⁻²·d⁻¹·kPa⁻¹</t>
  </si>
  <si>
    <t>ASTM D3985</t>
  </si>
  <si>
    <t>ASTM F2476</t>
  </si>
  <si>
    <t>ASTM F1249</t>
  </si>
  <si>
    <t>PCO2 &gt; PO2 attributed to higher solubility of CO2 in protein; High WVP due to hydrophilic polar groups in protein; mTG crosslinking significantly improved O₂ and CO₂ barrier properties of WP films, while water vapor permeability was unaffected due to the hydrophilic protein matrix</t>
  </si>
  <si>
    <t>Pech-Cohuo, S.C.; Dzul-Cervantes, M.A.D.A.; Pérez-Pacheco, E.; Rosado, J.A.C.; Chim-Chi, Y.A.; Ríos-Soberanis, C.R.; Cuevas-Carballo, Z.B.; Uc-Cayetano, E.G.; Can-Herrera, L.A.; Ortiz-Fernández, A.; Collí-Pacheco, J.P.; Mina-Hernández, J.H.; Pérez‑Padilla, Y.</t>
  </si>
  <si>
    <t>Effect of clays incorporation on properties of thermoplastic starch/clay composite bio-based polymer blends</t>
  </si>
  <si>
    <t>10.1038/s41598-024-69092-1</t>
  </si>
  <si>
    <t>Incorporating bentonite clay into starch-based bioplastics significantly reduces water vapor permeability by creating a denser matrix that acts as a physical barrier, thereby enhancing the material’s moisture barrier properties</t>
  </si>
  <si>
    <t>Samaniego-Aguilar, K.; Sánchez-Safont, E.; Pisa-Ripoll, I.; Torres-Giner, S.; Flores, Y.; Lagaron, J.M.; Cabedo, L.; Gamez-Perez, J.</t>
  </si>
  <si>
    <t>Performance Enhancement of Biopolyester Blends by Reactive Compatibilization with Maleic Anhydride-Grafted Poly(butylene succinate-co-adipate)</t>
  </si>
  <si>
    <t>10.3390/polym16162325</t>
  </si>
  <si>
    <t>PHBV</t>
  </si>
  <si>
    <t>Extrusion</t>
  </si>
  <si>
    <t>m³·m·m⁻²·s⁻¹·Pa⁻¹</t>
  </si>
  <si>
    <t>kg·m·m⁻²·s⁻¹·Pa⁻¹</t>
  </si>
  <si>
    <t>PHBV showed the best barrier (lowest WVP and OP), PBSA the worst; PHBV/PBSA blends had intermediate permeability that increased with PBSA content, while compatibilization with PBSA-g-MAH reduced water vapor, aroma, and oxygen permeability (best performance at 85:15 blend).</t>
  </si>
  <si>
    <t>PBSA</t>
  </si>
  <si>
    <t>cm³·cm·cm⁻²·s⁻¹·atm⁻¹</t>
  </si>
  <si>
    <t>EVOH (44% ethylene)</t>
  </si>
  <si>
    <t>EVOH (32% ethylene)</t>
  </si>
  <si>
    <t>NYLON 6</t>
  </si>
  <si>
    <t>Guidotti, G.; Palumbo, A.; Soccio, M.; Gazzano, M.; Salatelli, E.; Siracusa, V.; Lotti, N.</t>
  </si>
  <si>
    <t>Fully Bio-Based Blends of Poly (Pentamethylene Furanoate) and Poly (Hexamethylene Furanoate) for Sustainable and Flexible Packaging</t>
  </si>
  <si>
    <t>10.3390/polym16162342</t>
  </si>
  <si>
    <t>PHF</t>
  </si>
  <si>
    <t>PPeF showed the lowest O₂ and CO₂ GTR (best gas barrier), PHF the highest (worst), while PHF/PPeF blends had GTR similar to PHF; all materials exhibited gas barrier comparable to or better than PET and polyolefins.</t>
  </si>
  <si>
    <t>Mwita, C.S.; Muhammad, R.; Nettey-Oppong, E.E.; Enkhbayar, D.; Ali, A.; Ahn, J.; Kim, S.-W.; Seok, Y.-S.; Choi, S.H.</t>
  </si>
  <si>
    <t>Chitosan Extracted from the Biomass of Tenebrio molitor Larvae as a Sustainable Packaging Film</t>
  </si>
  <si>
    <t>Materials</t>
  </si>
  <si>
    <t>10.3390/ma17153670</t>
  </si>
  <si>
    <t>Citric acid crosslinked mealworm chitosan</t>
  </si>
  <si>
    <t>CAMC films reduced WVP (−28.7%) and WVTR (−10.2%) compared to MC, indicating improved moisture barrier and higher surface hydrophobicity.</t>
  </si>
  <si>
    <t>Sutay, D.; Yaĝci, S.; Yurtdaş, E.; Toptaş, M.</t>
  </si>
  <si>
    <t>Multiproduct biorefinery from defatted olive mill waste: preparation of hemicellulose-based biodegradable films and instant controlled pressure drop (DIC)-assisted isolation of value-added products</t>
  </si>
  <si>
    <t>Biomass Conversion and Biorefinery</t>
  </si>
  <si>
    <t>10.1007/s13399-023-03739-3</t>
  </si>
  <si>
    <t>Hemicellulose</t>
  </si>
  <si>
    <t>Glycerol (HC-Gly) reduced FWS but increased WVP the most (+62.5%), Sorbitol and Xylitol slightly increased WVP (+16–17%); HC-Xyl showed the highest tensile strength, correlating with its lower WVP</t>
  </si>
  <si>
    <t>Xylitol</t>
  </si>
  <si>
    <t>Petaloti, A.-I.; Achilias, D.S.</t>
  </si>
  <si>
    <t>The Development of Sustainable Biocomposite Materials Based on Poly(lactic acid) and Silverskin, a Coffee Industry By-Product, for Food Packaging Applications</t>
  </si>
  <si>
    <t>10.3390/su16125075</t>
  </si>
  <si>
    <t>cm³·m⁻²·d⁻¹·(0.1 MPa)⁻¹</t>
  </si>
  <si>
    <t>g·m·m⁻²·d⁻¹·Pa⁻¹</t>
  </si>
  <si>
    <t>Not specified</t>
  </si>
  <si>
    <t>Incorporation of untreated particles reduced WVTR by up to 15.4%, while modified particles increased WVTR at higher concentrations; oxygen permeability was largely unaffected by any filler.</t>
  </si>
  <si>
    <t>Kim, M.; Kang, J.-H.</t>
  </si>
  <si>
    <t>Effects of benzalkonium chloride as a cationic surfactant on the physicochemical properties of adlay millet starch films</t>
  </si>
  <si>
    <t>Food Science and Biotechnology</t>
  </si>
  <si>
    <t>10.1007/s10068-023-01383-1</t>
  </si>
  <si>
    <t>Increasing BC concentration (0–0.75%) in AS films slightly reduced MC, WS, and WVP, improving water resistance due to enhanced hydrophobic interactions and hydrogen bonding with starch.</t>
  </si>
  <si>
    <t>Sorbitol; Benzalkonium chloride</t>
  </si>
  <si>
    <t>40; 0.23%</t>
  </si>
  <si>
    <t>40; 0.5%</t>
  </si>
  <si>
    <t>40; 0.75%</t>
  </si>
  <si>
    <t>barrier_property</t>
  </si>
  <si>
    <t>from_unit</t>
  </si>
  <si>
    <t>target_unit</t>
  </si>
  <si>
    <t>mass/volume_from_unit</t>
  </si>
  <si>
    <t>mass/volume_target_unit</t>
  </si>
  <si>
    <t>mass/volume_factor</t>
  </si>
  <si>
    <t>thickness_from_unit</t>
  </si>
  <si>
    <t>thickness_target_unit</t>
  </si>
  <si>
    <t>thickness_factor</t>
  </si>
  <si>
    <t>area_from_unit</t>
  </si>
  <si>
    <t>area_target_unit</t>
  </si>
  <si>
    <t>area_factor</t>
  </si>
  <si>
    <t>time_from_unit</t>
  </si>
  <si>
    <t>time_target_unit</t>
  </si>
  <si>
    <t>time_factor</t>
  </si>
  <si>
    <t>pressure_from_unit</t>
  </si>
  <si>
    <t>pressure_target_unit</t>
  </si>
  <si>
    <t>pressure_factor</t>
  </si>
  <si>
    <t>final_factor</t>
  </si>
  <si>
    <t>Property</t>
  </si>
  <si>
    <t>from</t>
  </si>
  <si>
    <t>to</t>
  </si>
  <si>
    <t>factor</t>
  </si>
  <si>
    <t>WVP</t>
  </si>
  <si>
    <t>g·µm·m⁻²·d⁻¹·bar⁻¹</t>
  </si>
  <si>
    <t>g</t>
  </si>
  <si>
    <t>m</t>
  </si>
  <si>
    <t>µm</t>
  </si>
  <si>
    <t>m⁻²</t>
  </si>
  <si>
    <t>d⁻¹</t>
  </si>
  <si>
    <t>Pa⁻¹</t>
  </si>
  <si>
    <t>bar⁻¹</t>
  </si>
  <si>
    <t>cm³</t>
  </si>
  <si>
    <t>mm</t>
  </si>
  <si>
    <t>kPa⁻¹</t>
  </si>
  <si>
    <t>h⁻¹</t>
  </si>
  <si>
    <t>s⁻¹</t>
  </si>
  <si>
    <t>g·µm·m⁻²·d⁻¹·bar⁻</t>
  </si>
  <si>
    <t>NA, at 23°C &amp; 85% RH</t>
  </si>
  <si>
    <t>kg</t>
  </si>
  <si>
    <t>m³</t>
  </si>
  <si>
    <t>WVTR</t>
  </si>
  <si>
    <t>NA</t>
  </si>
  <si>
    <t>PO₂</t>
  </si>
  <si>
    <t>cm³·µm·m⁻²·d⁻¹·bar⁻¹</t>
  </si>
  <si>
    <t>cm</t>
  </si>
  <si>
    <t>cm⁻²</t>
  </si>
  <si>
    <t>atm⁻¹</t>
  </si>
  <si>
    <t>cm³·µm·m⁻²·d⁻¹·bar⁻138</t>
  </si>
  <si>
    <t>cm³·µm·m⁻²·d⁻¹·bar⁻139</t>
  </si>
  <si>
    <t>mL</t>
  </si>
  <si>
    <t>OTR</t>
  </si>
  <si>
    <t>cm³·m⁻²·d⁻¹·bar⁻¹</t>
  </si>
  <si>
    <t>0.1mPa⁻¹</t>
  </si>
  <si>
    <t>PCO₂</t>
  </si>
  <si>
    <t>Journal</t>
  </si>
  <si>
    <t>Material group</t>
  </si>
  <si>
    <t>1. Are the aim and research questions clear?</t>
  </si>
  <si>
    <t>Comment_1</t>
  </si>
  <si>
    <t>2. Are the materials and film preparation sufficiently described?</t>
  </si>
  <si>
    <t>Comment_2</t>
  </si>
  <si>
    <t>3. Are barrier measurements conducted using validated and standardized methods?</t>
  </si>
  <si>
    <t>Comment_3</t>
  </si>
  <si>
    <t>4. Are appropriate controls or reference materials included?</t>
  </si>
  <si>
    <t>Comment_4</t>
  </si>
  <si>
    <t>5. Are barrier properties validated through replicates?</t>
  </si>
  <si>
    <t>Comment_5</t>
  </si>
  <si>
    <t>6. Are data reported fully and transparently in a suitable form?</t>
  </si>
  <si>
    <t>Comment_6</t>
  </si>
  <si>
    <t>7. Are explanations and conclusions appropriate and supported by the data and contextualized appropriately?</t>
  </si>
  <si>
    <t>Comment_7</t>
  </si>
  <si>
    <t>QS</t>
  </si>
  <si>
    <t>Included_after_QA</t>
  </si>
  <si>
    <t>Protein concentrate</t>
  </si>
  <si>
    <t>Considering previous studies, the present work investigates how pH influences the physicochemical characteristics of legume protein-based films. Specifically, the effect of three pH levels (7.0, 8.5, and 10.0) was evaluated in films prepared from broad beans, Peruvian beans, and lentils. By isolating pH as the primary variable, this study enables a controlled assessment of its impact on key functional and structural properties, including thickness, mechanical behavior, solubility, barrier capacity, and thermal stability. The outcomes aim to advance understanding of pH-driven modifications in legume protein matrices and support the development of more effective and sustainable biobased films for food packaging applications.</t>
  </si>
  <si>
    <t>All comparisons are internal. pH=7 is the baseline comparison.</t>
  </si>
  <si>
    <t>&gt;3 for barrier properties, and 10 different locations per film for thickness</t>
  </si>
  <si>
    <t>Vlues are shown in bar chart without complete values</t>
  </si>
  <si>
    <t>Conclusions supported, limitations acknowledged, and comparability discussed</t>
  </si>
  <si>
    <t>In this study, the preliminary focus is on fabricating improved packaging to meet fundamental requirements of packaging through investigating the biocomposites for mechanical, barrier and thermal properties.</t>
  </si>
  <si>
    <t>PLA without bambara groundnuts as control</t>
  </si>
  <si>
    <t>&gt;3 replicates for barrier properties, thickness not specified</t>
  </si>
  <si>
    <t>In text, including standard deviations</t>
  </si>
  <si>
    <t xml:space="preserve">Conclusions supported by literature, comparability discussed. </t>
  </si>
  <si>
    <t>International Journal of Biological Macromolecules</t>
  </si>
  <si>
    <t>The main objective of this work is to modify citrus pectin with stearic acid using commercially available lipase in a biphasic reaction medium. Moreover, this study aims to develop MCP-based packaging films.</t>
  </si>
  <si>
    <t xml:space="preserve">How thickness is measured is missing. The environmental conditions differ for barrier properties between the methods and the results. </t>
  </si>
  <si>
    <t>Unmodified pectin films as control.</t>
  </si>
  <si>
    <t>Table including standard deviations</t>
  </si>
  <si>
    <t>Conclusions supported but limitations or comparability not discussed</t>
  </si>
  <si>
    <t>Aim and research questions are not explicitly mentioned.</t>
  </si>
  <si>
    <t>Overall parameters are well described, but how thickness is measured is missing.</t>
  </si>
  <si>
    <t>Neat PLLA is the control</t>
  </si>
  <si>
    <t xml:space="preserve">Limited support by literature, also comparability not discussed. </t>
  </si>
  <si>
    <t>OPP and neat PBS are used as control</t>
  </si>
  <si>
    <t>Replicates for Physicochemical tests and thickness are &gt;3 and clearly stated</t>
  </si>
  <si>
    <t>Limited discussion.</t>
  </si>
  <si>
    <t>The main goal of this research is to study the possibility to reintroduce PLA from the industrial trimming process (discarded defective PLA parts and/or plastics edges, burrs and scraps produced during manufacturing) into the food packaging sector.</t>
  </si>
  <si>
    <t>Neat PLA as control</t>
  </si>
  <si>
    <t>(1) to synthesize environmentally friendly and stable CMC–CA–CS composite hydrogel films using varying weight percentages of citric acid; (2) determine the influence of citric acid on the crosslinking density; (3) investigate the effect of crosslinking density on water stability and hydrophobicity using WVP, contact angle, solubility, and swelling analyses, as well as mechanical properties evaluation; and (4) select an optimized formulation and perform additional characterization (XRD, DSC, TGA) to comprehensively evaluate the properties of the resulting hydrogel film.</t>
  </si>
  <si>
    <t>Neat Chitosan, neat cellulose and commercial PP for food storage tests</t>
  </si>
  <si>
    <t>Barrier properties are measured 5 times, thickness is measured 5 times per film at different spots</t>
  </si>
  <si>
    <t>Graph with values, but SD not readable</t>
  </si>
  <si>
    <t>Conclusions supported by literature, comparability not discussed</t>
  </si>
  <si>
    <t xml:space="preserve"> In view of this, this study aimed to assess the effect of glycerol, sorbitol and fructose at different concentrations on pullulan films’ physico-mechanical characteristics. This study aimed to evaluate the effect of plasticizer type (glycerol, sorbitol and fructose) and concentration (5, 7.5 and 10 % w/w) on pullulan films’ thickness, moisture content (MC), tensile strength (TS), elongation at break (EAB), folding endurance (FE), water vapor permeability (WVP), oxygen permeability (O2P), oil resistance (OiR), ultra violet and visible light transmittance (Tr280 and Tr660), disintegration time (DT), weight loss (WL), microstructure and thermal properties</t>
  </si>
  <si>
    <t>No ASTM or ISO mentioned</t>
  </si>
  <si>
    <t>Unplastisized pullulan films</t>
  </si>
  <si>
    <t>&gt;3 for barrier properties, and 3 different locations per film for thickness</t>
  </si>
  <si>
    <t>The aim of this study was to produce PVA and PLA composite films with defatted almond skin (AS) powder to lower the cost of food packaging materials while providing the films with antioxidant capacity. The biocomposite films were obtained by melt blending and compression moulding with different ratios of AS (0, 5%, 10%, and 15%) and characterised as to their functional (mechanical, barrier, and optical) properties as packaging materials as well as to their microstructure and thermal behaviour. Likewise, their antioxidant capacity and their ability to prevent the oxidation of sunflower oil (as an unsaturated fat model) were analysed.</t>
  </si>
  <si>
    <t>PLA and PVA as control</t>
  </si>
  <si>
    <t>Τhe objective of the present study is to evaluate the potential of fish and pulse tissues to . be used as alternative raw materials for food packaging.This study investigates the isolation process of biopolymers from legumes (lentil) products and fish (gilthead seabream) waste, with the aim of producing composite films.</t>
  </si>
  <si>
    <t>Neat pectin and gelatin as control</t>
  </si>
  <si>
    <t>Effect of the Addition of Banana Stem Lignin (Musa acuminata ssp. balbisiana var. Dominico-Harton) on the Physicochemical Properties of Biodegradable Composites Based on Methylhydroxyethylcellulose</t>
  </si>
  <si>
    <t>Journal of Composites Science</t>
  </si>
  <si>
    <t>Therefore, the main objective is to study the effect of the addition of lignin from banana (Musa Aab S. var Dominico-Harton) on the physicochemical properties of biodegradable MHEC films</t>
  </si>
  <si>
    <t>Methyl Hydroxyethyl Cellulose with glycerol as control</t>
  </si>
  <si>
    <t>Conclusions supported,  but limitations or comparability not discussed</t>
  </si>
  <si>
    <t>The aim of this study was to create a novel biopolymer blend with enhanced properties for potential use in food packaging.</t>
  </si>
  <si>
    <t>Overall parameters are well described, except for some instruments and how thickness is measured is missing.</t>
  </si>
  <si>
    <t>100% arrowroot starch (ST/MU—100/0) and 100% mucilage (ST/MU—0/100) serve as neat controls</t>
  </si>
  <si>
    <t>European Polymer Journal</t>
  </si>
  <si>
    <t>In this research, we explored the combination of the favourable thermo-mechanical properties of PBS with the excellent barrier properties and elastic behavior of PPeF, both polymers being fully biobased, to create a single-layer material suitable for use in flexible food packaging</t>
  </si>
  <si>
    <t>Well described, thickness is not measured, because of compression moulding</t>
  </si>
  <si>
    <t>Neat PBS and PPeF as controls</t>
  </si>
  <si>
    <t>&gt;3 replicates for barrier properties, thickness not measured because of compression moulding</t>
  </si>
  <si>
    <t>Table including standard deviations, but not for thickness</t>
  </si>
  <si>
    <t>Microbial Transglutaminase-Mediated Modification of Heat-Denatured Whey Proteins for the Preparation of Bio-Based Materials</t>
  </si>
  <si>
    <t>Whey protein</t>
  </si>
  <si>
    <t>Therefore, this study, for the first time, investigated the effect of the crosslinking mediated by mTG on WPs-based hydrocolloid materials prepared via the casting method under pH 12, since by treating the solutions under these conditions, more transparent, flexible, and homogeneous films could be obtained</t>
  </si>
  <si>
    <t>Non modified whey protein is used as control</t>
  </si>
  <si>
    <t>Limited explanations by literature, limited comparison to literature</t>
  </si>
  <si>
    <t>Mechanical properties, gas permeability and biodegradation mechanism of biobased poly(ester amide)s from 2,5-furandicarboxylic acid and amido diols for sustainable food packaging</t>
  </si>
  <si>
    <t>FDCA derivative</t>
  </si>
  <si>
    <t>Aim vaguely mentioned in introduction, more specific in abstract. The aim of this work was to evaluate the functional properties of a family of poly(ester amide)s (PEAs) for flexible food packaging applications.</t>
  </si>
  <si>
    <t>Unmodified PDF als control</t>
  </si>
  <si>
    <t xml:space="preserve">Not specified for barrier properties and thickness not measured because of compression molding </t>
  </si>
  <si>
    <t>Conclusions supported, limitations acknowledged, and comparability discussed, but barrier property experiment has been interrupted and gthe results are extrapolated</t>
  </si>
  <si>
    <t>In this study, thermoplastic starch bioplastics were developed using starch isolated from huaya seeds and reinforced with bentonite clays extracted and purified from Tepakán, Calkiní, Campeche, Mexico. These bioplastics were characterized to evaluate their mechanical, thermal, and barrier properties, aiming to explore their potential application in food packaging.</t>
  </si>
  <si>
    <t>Starch without clay</t>
  </si>
  <si>
    <t>&gt;3 for barrier properties, and 5 different locations per film for thickness</t>
  </si>
  <si>
    <t>Poly(alkylene 2,4-furanoate)s: The potential of structural isomerism for outstanding sustainable food packaging and unexpected evidence of self-healing microstructure</t>
  </si>
  <si>
    <t>Therefore, the purpose of the present work was to use the dimethyl ester of 2,4-FDCA to synthesize, compression mold and characterize poly(propylene 2,4-furanoate) (2,4-PPF) from 1,3-propanediol, poly(pentamethylene 2,4-furanoate) (2,4-PPeF) from 1,5-pentanediol and poly(hexamethylene 2,4-furanoate) (2,4-PHF) from 1,6-hexanediol.</t>
  </si>
  <si>
    <t>Well described, but hard to read and thickness is not measured, because of compression moulding</t>
  </si>
  <si>
    <t>Comparator unclear</t>
  </si>
  <si>
    <t>Table, but without standard deviation</t>
  </si>
  <si>
    <t>East African Journal of Science, Technology and Innovation</t>
  </si>
  <si>
    <t>The present study aimed at developing and testing bio-based films that can preserve the quality of food products, reduce their contamination during storage, and increase their marketability and attractiveness. --&gt; Not very clear or focused</t>
  </si>
  <si>
    <t>Aluminium is used as control, which is not a polymer</t>
  </si>
  <si>
    <t>Text and graph, but no standard deviation</t>
  </si>
  <si>
    <t>The objective of the study was to improve the mechanical properties, specifically toughness, and barrier properties against water, limonene vapors, and oxygen of PHBV/PBSA blends through reactive extrusion (REx) using PBSA grafted with maleic anhydride (PBSA-g-MAH)</t>
  </si>
  <si>
    <t>Well described,  thickness is not measured, because of extrusion</t>
  </si>
  <si>
    <t>Neat PHBV and PBSA</t>
  </si>
  <si>
    <t xml:space="preserve">the aim of the present study is the realization of bio-based polymeric blends, characterized by suitable mechanical and gas barrier properties for food packaging application. Not sharply formulated, broad. </t>
  </si>
  <si>
    <t>Neat PHF and PPeF</t>
  </si>
  <si>
    <t>Bar chart without values</t>
  </si>
  <si>
    <t>This study explores the influence of incorporating glycerol for plasticization and citric acid for cross-linking on the performance of chitosan-based films fabricated for use as food packaging material to enhance the shelf life of bananas. The specific aims of this study are to introduce new means of food packaging and to demonstrate that citric acid-incorporated chitosan films are a sustainable alternative for food packaging in terms of improved water resistance, enhanced barrier properties, and extended shelf life of bananas.</t>
  </si>
  <si>
    <t>Neat chitosan</t>
  </si>
  <si>
    <t>In this work, cellulose bioplastics prepared from TFA:TFAA solutions have been plasticized by the incorporation of glycerol in a broad range of concentrations. Not explixit, broad.</t>
  </si>
  <si>
    <t>Cellulose without glycerol</t>
  </si>
  <si>
    <t>Graph without values</t>
  </si>
  <si>
    <t>Journal of Polymers and the Environment</t>
  </si>
  <si>
    <t>PCL</t>
  </si>
  <si>
    <t>Therefore, the overall objective of this research was to prepare and ascertain the performance of compostable films based on PCL blended with 30 wt. % and 50 wt. % of thermoplastic gliadins</t>
  </si>
  <si>
    <t>Neat PCL</t>
  </si>
  <si>
    <t>Not specified for barrier properties and thickness not measured because of extrusion</t>
  </si>
  <si>
    <t>For oxygen graph without values. wvp table with standard deviation</t>
  </si>
  <si>
    <t>The main objective of this work was to valorize OMW as a biomass feedstock for the production of value-added bioproducts</t>
  </si>
  <si>
    <t>Neat hemicellulose without additive</t>
  </si>
  <si>
    <t>The aim of this study was to investigate how the inclusion of coffee silverskin (ss) as an additive/reinforcement affects the characteristics of PLA-based composite films.</t>
  </si>
  <si>
    <t>Neat PLA</t>
  </si>
  <si>
    <t>barrier properties not specified, 6 locations for thickness measurements</t>
  </si>
  <si>
    <t>Table without standard deviations</t>
  </si>
  <si>
    <t>Limited discussion and comparison to literature</t>
  </si>
  <si>
    <t>Arabinoxylan</t>
  </si>
  <si>
    <t>The aims of this study were to use AX extraction to produce biodegradable film materials, to establish how the AX films interact with water and soil (aerobic biodegradation), and to evaluate if these properties are associated with the AX characteristics.</t>
  </si>
  <si>
    <t>unmodified arabinoxylan</t>
  </si>
  <si>
    <t>Laksanawati, T.A.; Khirzin, M.H.; Amaniyah, M.; Meidayanti, K.; Deva, B.D.</t>
  </si>
  <si>
    <t xml:space="preserve"> In this research, the effect of adding gelatin from duck bone waste to taro starch film on color, oxygen permeability, heavy metal content (Pb and Cd), and film biodegradability in compost and barren soils was studied</t>
  </si>
  <si>
    <t>neat starch</t>
  </si>
  <si>
    <t>not specified</t>
  </si>
  <si>
    <t>Therefore, the aims of the present study were to develop starch films using AS validated as a good source for film-forming material in a previous study (Kang and Song, 2019) with BC and to examine the effects of BC as a cationic surfactant on the changes in the physicochemical properties of AS-BC films.</t>
  </si>
  <si>
    <t>Lookup</t>
  </si>
  <si>
    <t>Value</t>
  </si>
  <si>
    <t>O2P_unit</t>
  </si>
  <si>
    <t>O2P_standard</t>
  </si>
  <si>
    <t>CO2P_unit</t>
  </si>
  <si>
    <t>CO2P_standard</t>
  </si>
  <si>
    <t>10⁻⁷·g·m·m⁻²·d⁻¹·Pa⁻¹</t>
  </si>
  <si>
    <t>10⁻⁸·g·m·m⁻²·s⁻¹·Pa⁻¹</t>
  </si>
  <si>
    <t>Reference_O2P_unit</t>
  </si>
  <si>
    <t>Reference_CO2P_unit</t>
  </si>
  <si>
    <t>index</t>
  </si>
  <si>
    <t>code</t>
  </si>
  <si>
    <t>used</t>
  </si>
  <si>
    <t>meaning</t>
  </si>
  <si>
    <t>represents</t>
  </si>
  <si>
    <t>Data (column)</t>
  </si>
  <si>
    <t>Article identifier</t>
  </si>
  <si>
    <t>Unique numeric ID assigned to each screened article</t>
  </si>
  <si>
    <t>Author(s) of the article</t>
  </si>
  <si>
    <t>Last name and initials of all authors as listed in the publication</t>
  </si>
  <si>
    <t>Title of the article</t>
  </si>
  <si>
    <t>Full title of the publication</t>
  </si>
  <si>
    <t>Publication year</t>
  </si>
  <si>
    <t>Year the article was published</t>
  </si>
  <si>
    <t>Journal name</t>
  </si>
  <si>
    <t>Name of the journal in which the article was published</t>
  </si>
  <si>
    <t>Digital Object Identifier</t>
  </si>
  <si>
    <t>Unique DOI of the publication; can be used to retrieve the article</t>
  </si>
  <si>
    <t>Data (column) # LookUps</t>
  </si>
  <si>
    <t>Inclusion status after title/abstract screening</t>
  </si>
  <si>
    <t>Yes = included for full-text review # No = excluded; see Exclusion_reason</t>
  </si>
  <si>
    <t>Quality appraisal score</t>
  </si>
  <si>
    <t>Score between 0 and 1 based on the critical appraisal criteria (see CriticalAppraisal sheet); studies with QS &lt; 0.8 are excluded</t>
  </si>
  <si>
    <t>Reason for exclusion after screening</t>
  </si>
  <si>
    <t>Multilayer, composite or active packaging material # Not a polymeric material # QS &lt; 0.8 # Test conditions (T, RH, thickness) for barrier properties not recorded</t>
  </si>
  <si>
    <t>Name of the polymer</t>
  </si>
  <si>
    <t>Specific polymer or material name as reported in the study; see LookUps sheet for controlled vocabulary</t>
  </si>
  <si>
    <t>Type/class of the polymer</t>
  </si>
  <si>
    <t>Broader polymer type classification; see LookUps sheet for controlled vocabulary</t>
  </si>
  <si>
    <t>Material family</t>
  </si>
  <si>
    <t>Aliphatic biopolyester # Aromatic biopolyester # Polysaccharide # Protein # Vinyl biopolymer</t>
  </si>
  <si>
    <t>Whether the polymer is biobased</t>
  </si>
  <si>
    <t>Yes # No</t>
  </si>
  <si>
    <t>Whether the polymer is biodegradable</t>
  </si>
  <si>
    <t>Additives present in the film</t>
  </si>
  <si>
    <t>Name(s) of plasticisers or other additives included in the film formulation; see LookUps sheet for controlled vocabulary</t>
  </si>
  <si>
    <t>Concentration of additives</t>
  </si>
  <si>
    <t>Additive concentration expressed in weight percent (wt%)</t>
  </si>
  <si>
    <t>Film processing method</t>
  </si>
  <si>
    <t>Casting # Compression molding # Extrusion</t>
  </si>
  <si>
    <t>Film thickness</t>
  </si>
  <si>
    <t>Mean film thickness in micrometres (µm)</t>
  </si>
  <si>
    <t>Standard deviation of film thickness</t>
  </si>
  <si>
    <t>Standard deviation of film thickness in micrometres (µm)</t>
  </si>
  <si>
    <t>Number of replicates for film thickness</t>
  </si>
  <si>
    <t>Number of replicate measurements used to determine film thickness</t>
  </si>
  <si>
    <t>Oxygen permeability value</t>
  </si>
  <si>
    <t>Oxygen permeability (PO2) as reported in the study in the original unit</t>
  </si>
  <si>
    <t>Standard deviation of PO2</t>
  </si>
  <si>
    <t>Standard deviation of PO2 in the original unit</t>
  </si>
  <si>
    <t>Unit of PO2 as reported</t>
  </si>
  <si>
    <t>Original measurement unit of PO2 as reported in the study; see LookUps sheet for controlled vocabulary</t>
  </si>
  <si>
    <t>Conversion factor for PO2</t>
  </si>
  <si>
    <t>Factor used to convert PO2 from original unit to standardised unit (cm³·µm·m⁻²·d⁻¹·bar⁻¹); retrieved via INDEX/MATCH from ConversionFactors sheet</t>
  </si>
  <si>
    <t>PO2_cm³·µm·m⁻²·d⁻¹·bar⁻¹</t>
  </si>
  <si>
    <t>Standardised PO2 value</t>
  </si>
  <si>
    <t>Oxygen permeability converted to standardised unit cm³·µm·m⁻²·d⁻¹·bar⁻¹; calculated as PO2_value * PO2_conversion_factor</t>
  </si>
  <si>
    <t>PO2_SD_cm³·µm·m⁻²·d⁻¹·bar⁻¹</t>
  </si>
  <si>
    <t>Standardised SD of PO2</t>
  </si>
  <si>
    <t>Standard deviation of PO2 in standardised unit cm³·µm·m⁻²·d⁻¹·bar⁻¹</t>
  </si>
  <si>
    <t>Measurement standard used for PO2</t>
  </si>
  <si>
    <t>ASTM D1434 # ASTM D3985</t>
  </si>
  <si>
    <t>Temperature during PO2 measurement</t>
  </si>
  <si>
    <t>Temperature in degrees Celsius at which PO2 was measured</t>
  </si>
  <si>
    <t>Relative humidity during PO2 measurement</t>
  </si>
  <si>
    <t>Relative humidity in % at which PO2 was measured</t>
  </si>
  <si>
    <t>Oxygen transmission rate value</t>
  </si>
  <si>
    <t>OTR as reported in the study in the original unit</t>
  </si>
  <si>
    <t>Standard deviation of OTR</t>
  </si>
  <si>
    <t>Standard deviation of OTR in the original unit</t>
  </si>
  <si>
    <t>Unit of OTR as reported</t>
  </si>
  <si>
    <t>Original measurement unit of OTR; see LookUps sheet for controlled vocabulary</t>
  </si>
  <si>
    <t>Conversion factor for OTR</t>
  </si>
  <si>
    <t>Factor used to convert OTR to standardised unit (cm³·m⁻²·d⁻¹·bar⁻¹)</t>
  </si>
  <si>
    <t>Standardised OTR at 100 µm thickness</t>
  </si>
  <si>
    <t>OTR normalised to 100 µm film thickness in cm³·m⁻²·d⁻¹·bar⁻¹; calculated as OTR_value * OTR_conversion_factor * Film_thickness_µm / 100</t>
  </si>
  <si>
    <t>Standard deviation of standardised OTR</t>
  </si>
  <si>
    <t>Standard deviation of OTR100 in cm³·m⁻²·d⁻¹·bar⁻¹</t>
  </si>
  <si>
    <t>Measurement standard used for OTR</t>
  </si>
  <si>
    <t>Temperature during OTR measurement</t>
  </si>
  <si>
    <t>Temperature in degrees Celsius at which OTR was measured</t>
  </si>
  <si>
    <t>Relative humidity during OTR measurement</t>
  </si>
  <si>
    <t>Relative humidity in % at which OTR was measured</t>
  </si>
  <si>
    <t>CO2 permeability value</t>
  </si>
  <si>
    <t>CO2 permeability (PCO2) as reported in the study in the original unit</t>
  </si>
  <si>
    <t>Standard deviation of PCO2</t>
  </si>
  <si>
    <t>Standard deviation of PCO2 in the original unit</t>
  </si>
  <si>
    <t>Unit of PCO2 as reported</t>
  </si>
  <si>
    <t>Original measurement unit of PCO2; see LookUps sheet for controlled vocabulary</t>
  </si>
  <si>
    <t>Conversion factor for PCO2</t>
  </si>
  <si>
    <t>Factor used to convert PCO2 to standardised unit (cm³·µm·m⁻²·d⁻¹·bar⁻¹)</t>
  </si>
  <si>
    <t>PCO2_cm³·µm·m⁻²·d⁻¹·bar⁻¹</t>
  </si>
  <si>
    <t>Standardised PCO2 value</t>
  </si>
  <si>
    <t>CO2 permeability in standardised unit cm³·µm·m⁻²·d⁻¹·bar⁻¹</t>
  </si>
  <si>
    <t>PCO2_SD_cm³·µm·m⁻²·d⁻¹·bar⁻¹</t>
  </si>
  <si>
    <t>Standardised SD of PCO2</t>
  </si>
  <si>
    <t>Standard deviation of PCO2 in standardised unit</t>
  </si>
  <si>
    <t>Measurement standard used for PCO2</t>
  </si>
  <si>
    <t>ASTM D1434 # ASTM F2476</t>
  </si>
  <si>
    <t>Temperature during PCO2 measurement</t>
  </si>
  <si>
    <t>Temperature in degrees Celsius at which PCO2 was measured</t>
  </si>
  <si>
    <t>Relative humidity during PCO2 measurement</t>
  </si>
  <si>
    <t>Relative humidity in % at which PCO2 was measured</t>
  </si>
  <si>
    <t>Standardised CO2 transmission rate</t>
  </si>
  <si>
    <t>CO2 transmission rate normalised to 100 µm in cm³·m⁻²·d⁻¹·bar⁻¹</t>
  </si>
  <si>
    <t>Standard deviation of CO2TR100</t>
  </si>
  <si>
    <t>Standard deviation of CO2TR100 in cm³·m⁻²·d⁻¹·bar⁻¹</t>
  </si>
  <si>
    <t>Measurement standard used for CO2TR</t>
  </si>
  <si>
    <t>Temperature during CO2TR measurement</t>
  </si>
  <si>
    <t>Temperature in degrees Celsius at which CO2TR was measured</t>
  </si>
  <si>
    <t>Relative humidity during CO2TR measurement</t>
  </si>
  <si>
    <t>Relative humidity in % at which CO2TR was measured</t>
  </si>
  <si>
    <t>Water vapour permeability value</t>
  </si>
  <si>
    <t>WVP as reported in the study in the original unit</t>
  </si>
  <si>
    <t>Standard deviation of WVP</t>
  </si>
  <si>
    <t>Standard deviation of WVP in the original unit</t>
  </si>
  <si>
    <t>Unit of WVP as reported</t>
  </si>
  <si>
    <t>Original measurement unit of WVP; see LookUps sheet for controlled vocabulary</t>
  </si>
  <si>
    <t>Conversion factor for WVP</t>
  </si>
  <si>
    <t>Factor used to convert WVP to standardised unit (g·µm·m⁻²·d⁻¹·bar⁻¹)</t>
  </si>
  <si>
    <t>Standardised WVP value</t>
  </si>
  <si>
    <t>Water vapour permeability in standardised unit g·µm·m⁻²·d⁻¹·bar⁻¹; calculated as WVP_value * WVP_conversion_factor</t>
  </si>
  <si>
    <t>WVP_SD_g·µm·m-2·d-1</t>
  </si>
  <si>
    <t>Standardised SD of WVP</t>
  </si>
  <si>
    <t>Standard deviation of WVP in standardised unit</t>
  </si>
  <si>
    <t>Measurement standard used for WVP</t>
  </si>
  <si>
    <t>ASTM E96 # ASTM F1249</t>
  </si>
  <si>
    <t>Temperature during WVP measurement</t>
  </si>
  <si>
    <t>Temperature in degrees Celsius at which WVP was measured</t>
  </si>
  <si>
    <t>Relative humidity during WVP measurement</t>
  </si>
  <si>
    <t>Relative humidity in % at which WVP was measured</t>
  </si>
  <si>
    <t>Saturated vapour pressure</t>
  </si>
  <si>
    <t>Saturation vapour pressure in bar at the measurement temperature; calculated using the Antoine equation</t>
  </si>
  <si>
    <t>Water vapour pressure difference</t>
  </si>
  <si>
    <t>Water vapour pressure difference in bar across the film; calculated as WVP_RH_% / 100 * WVP_psat_bar</t>
  </si>
  <si>
    <t>Water vapour transmission rate value</t>
  </si>
  <si>
    <t>WVTR as reported in the study in the original unit</t>
  </si>
  <si>
    <t>Standard deviation of WVTR</t>
  </si>
  <si>
    <t>Standard deviation of WVTR in the original unit</t>
  </si>
  <si>
    <t>Unit of WVTR as reported</t>
  </si>
  <si>
    <t>Original measurement unit of WVTR; see LookUps sheet for controlled vocabulary</t>
  </si>
  <si>
    <t>Conversion factor for WVTR</t>
  </si>
  <si>
    <t>Factor used to convert WVTR to standardised unit (g·m⁻²·d⁻¹)</t>
  </si>
  <si>
    <t>WVTR100_g·m-2·d-1</t>
  </si>
  <si>
    <t>Standardised WVTR at 100 µm thickness</t>
  </si>
  <si>
    <t>WVTR normalised to 100 µm and standardised pressure difference in g·m⁻²·d⁻¹; calculated as WVTR_standardised * WVP_Δp_bar / 100</t>
  </si>
  <si>
    <t>WVTR100µm_SD_g·m-2·d-1</t>
  </si>
  <si>
    <t>Standard deviation of WVTR100</t>
  </si>
  <si>
    <t>Standard deviation of WVTR100 in g·m⁻²·d⁻¹</t>
  </si>
  <si>
    <t>Measurement standard used for WVTR</t>
  </si>
  <si>
    <t>ASTM E96 # ASTM F1249 # UNE 53097</t>
  </si>
  <si>
    <t>Temperature during WVTR measurement</t>
  </si>
  <si>
    <t>Temperature in degrees Celsius at which WVTR was measured</t>
  </si>
  <si>
    <t>Relative humidity during WVTR measurement</t>
  </si>
  <si>
    <t>Relative humidity in % at which WVTR was measured</t>
  </si>
  <si>
    <t>Number of measurement replicates</t>
  </si>
  <si>
    <t>Number of replicate measurements reported for barrier property values</t>
  </si>
  <si>
    <t>Reference/benchmark polymer</t>
  </si>
  <si>
    <t>Conventional fossil-based or well-known polymer used as benchmark for comparison; see LookUps sheet for controlled vocabulary</t>
  </si>
  <si>
    <t>Material family of the reference polymer</t>
  </si>
  <si>
    <t>Aromatic polyester # Polyamide # Polyolefin # Polystyrene # Vinyl polymer</t>
  </si>
  <si>
    <t>Thickness of reference polymer film</t>
  </si>
  <si>
    <t>Film thickness of the reference polymer in micrometres (µm)</t>
  </si>
  <si>
    <t>PO2 of reference polymer</t>
  </si>
  <si>
    <t>Oxygen permeability of the reference polymer in the original unit</t>
  </si>
  <si>
    <t>Unit of reference PO2</t>
  </si>
  <si>
    <t>Original measurement unit of reference PO2; see LookUps sheet for controlled vocabulary</t>
  </si>
  <si>
    <t>Conversion factor for reference PO2</t>
  </si>
  <si>
    <t>Factor used to convert reference PO2 to standardised unit</t>
  </si>
  <si>
    <t>Reference_PO2_cm³·µm·m⁻²·d⁻¹·bar⁻¹</t>
  </si>
  <si>
    <t>Standardised reference PO2</t>
  </si>
  <si>
    <t>Reference polymer PO2 in standardised unit cm³·µm·m⁻²·d⁻¹·bar⁻¹</t>
  </si>
  <si>
    <t>Temperature for reference PO2</t>
  </si>
  <si>
    <t>Temperature in degrees Celsius at which reference PO2 was measured or reported</t>
  </si>
  <si>
    <t>Relative humidity for reference PO2</t>
  </si>
  <si>
    <t>Relative humidity in % for reference PO2 measurement</t>
  </si>
  <si>
    <t>Reference_OTR100_cm³·m⁻²·d⁻¹·bar⁻¹</t>
  </si>
  <si>
    <t>Standardised reference OTR</t>
  </si>
  <si>
    <t>Reference polymer OTR normalised to 100 µm in cm³·m⁻²·d⁻¹·bar⁻¹</t>
  </si>
  <si>
    <t>Temperature for reference OTR</t>
  </si>
  <si>
    <t>Temperature in degrees Celsius for reference OTR</t>
  </si>
  <si>
    <t>Relative humidity for reference OTR</t>
  </si>
  <si>
    <t>Relative humidity in % for reference OTR</t>
  </si>
  <si>
    <t>PCO2 of reference polymer</t>
  </si>
  <si>
    <t>CO2 permeability of the reference polymer in the original unit</t>
  </si>
  <si>
    <t>Unit of reference PCO2</t>
  </si>
  <si>
    <t>Original measurement unit of reference PCO2; see LookUps sheet for controlled vocabulary</t>
  </si>
  <si>
    <t>Conversion factor for reference PCO2</t>
  </si>
  <si>
    <t>Factor used to convert reference PCO2 to standardised unit</t>
  </si>
  <si>
    <t>Reference_PCO2_cm³·µm·m⁻²·d⁻¹·bar⁻¹</t>
  </si>
  <si>
    <t>Standardised reference PCO2</t>
  </si>
  <si>
    <t>Reference polymer PCO2 in standardised unit cm³·µm·m⁻²·d⁻¹·bar⁻¹</t>
  </si>
  <si>
    <t>Temperature for reference PCO2</t>
  </si>
  <si>
    <t>Temperature in degrees Celsius for reference PCO2</t>
  </si>
  <si>
    <t>Relative humidity for reference PCO2</t>
  </si>
  <si>
    <t>Relative humidity in % for reference PCO2</t>
  </si>
  <si>
    <t>Reference_COTR100_cm³·m⁻²·d⁻¹·bar⁻¹</t>
  </si>
  <si>
    <t>Standardised reference CO2TR</t>
  </si>
  <si>
    <t>Reference polymer CO2TR normalised to 100 µm in cm³·m⁻²·d⁻¹·bar⁻¹</t>
  </si>
  <si>
    <t>Temperature for reference CO2TR</t>
  </si>
  <si>
    <t>Temperature in degrees Celsius for reference CO2TR</t>
  </si>
  <si>
    <t>Relative humidity for reference CO2TR</t>
  </si>
  <si>
    <t>Relative humidity in % for reference CO2TR</t>
  </si>
  <si>
    <t>WVP of reference polymer</t>
  </si>
  <si>
    <t>Water vapour permeability of the reference polymer in the original unit</t>
  </si>
  <si>
    <t>Unit of reference WVP</t>
  </si>
  <si>
    <t>Original measurement unit of reference WVP; see LookUps sheet for controlled vocabulary</t>
  </si>
  <si>
    <t>Conversion factor for reference WVP</t>
  </si>
  <si>
    <t>Factor used to convert reference WVP to standardised unit</t>
  </si>
  <si>
    <t>Reference_WVP_g·µm·m-2·d-1</t>
  </si>
  <si>
    <t>Standardised reference WVP</t>
  </si>
  <si>
    <t>Reference polymer WVP in standardised unit g·µm·m⁻²·d⁻¹·bar⁻¹</t>
  </si>
  <si>
    <t>Temperature for reference WVP</t>
  </si>
  <si>
    <t>Temperature in degrees Celsius for reference WVP</t>
  </si>
  <si>
    <t>Relative humidity for reference WVP</t>
  </si>
  <si>
    <t>Relative humidity in % for reference WVP</t>
  </si>
  <si>
    <t>Saturated vapour pressure for reference WVP</t>
  </si>
  <si>
    <t>Saturation vapour pressure in bar for the reference WVP measurement temperature</t>
  </si>
  <si>
    <t>Pressure difference for reference WVP</t>
  </si>
  <si>
    <t>Water vapour pressure difference in bar for reference WVP</t>
  </si>
  <si>
    <t>WVTR of reference polymer</t>
  </si>
  <si>
    <t>Water vapour transmission rate of the reference polymer in the original unit</t>
  </si>
  <si>
    <t>Unit of reference WVTR</t>
  </si>
  <si>
    <t>Original measurement unit of reference WVTR; see LookUps sheet for controlled vocabulary</t>
  </si>
  <si>
    <t>Conversion factor for reference WVTR</t>
  </si>
  <si>
    <t>Factor used to convert reference WVTR to standardised unit</t>
  </si>
  <si>
    <t>Reference_WVTR100_g·m-2·d-1</t>
  </si>
  <si>
    <t>Standardised reference WVTR</t>
  </si>
  <si>
    <t>Reference polymer WVTR normalised to 100 µm in g·m⁻²·d⁻¹</t>
  </si>
  <si>
    <t>Temperature for reference WVTR</t>
  </si>
  <si>
    <t>Temperature in degrees Celsius for reference WVTR</t>
  </si>
  <si>
    <t>Relative humidity for reference WVTR</t>
  </si>
  <si>
    <t>Relative humidity in % for reference WVTR</t>
  </si>
  <si>
    <t>Type of benchmark comparison</t>
  </si>
  <si>
    <t>Direct in same study = reference polymer tested in same study # Literature benchmark = reference values taken from literature</t>
  </si>
  <si>
    <t>Whether food contact was tested</t>
  </si>
  <si>
    <t>Key barrier property finding</t>
  </si>
  <si>
    <t>Brief summary of the main barrier property finding reported in the study</t>
  </si>
  <si>
    <t>Notes by the reviewer</t>
  </si>
  <si>
    <t>Additional notes or observations made by the reviewer during data extraction</t>
  </si>
  <si>
    <t>PO2</t>
  </si>
  <si>
    <t>Data (column names)</t>
  </si>
  <si>
    <t>Oxygen permeability</t>
  </si>
  <si>
    <t>Permeability of a film to oxygen gas</t>
  </si>
  <si>
    <t>Oxygen transmission rate</t>
  </si>
  <si>
    <t>Rate of oxygen transmission through a film of given thickness per unit area</t>
  </si>
  <si>
    <t>PCO2</t>
  </si>
  <si>
    <t>CO2 permeability</t>
  </si>
  <si>
    <t>Permeability of a film to carbon dioxide gas</t>
  </si>
  <si>
    <t>CO2TR</t>
  </si>
  <si>
    <t>CO2 transmission rate</t>
  </si>
  <si>
    <t>Rate of CO2 transmission through a film of given thickness per unit area</t>
  </si>
  <si>
    <t>Water vapour permeability</t>
  </si>
  <si>
    <t>Permeability of a film to water vapour</t>
  </si>
  <si>
    <t>Water vapour transmission rate</t>
  </si>
  <si>
    <t>Rate of water vapour transmission through a film per unit area</t>
  </si>
  <si>
    <t>SD</t>
  </si>
  <si>
    <t>Standard deviation</t>
  </si>
  <si>
    <t>Standard deviation of the reported measurement</t>
  </si>
  <si>
    <t>RH</t>
  </si>
  <si>
    <t>Relative humidity</t>
  </si>
  <si>
    <t>Relative humidity expressed as a percentage (%)</t>
  </si>
  <si>
    <t>Quality score</t>
  </si>
  <si>
    <t>Quality appraisal score between 0 and 1 based on critical appraisal criteria</t>
  </si>
  <si>
    <t>T</t>
  </si>
  <si>
    <t>Temperature</t>
  </si>
  <si>
    <t>Measurement temperature in degrees Celsius (°C)</t>
  </si>
  <si>
    <t>Data (column names) # LookUps</t>
  </si>
  <si>
    <t>Poly(butylene succinate)</t>
  </si>
  <si>
    <t>Biodegradable biopolyester</t>
  </si>
  <si>
    <t>Poly(butylene succinate-dilinoleic succinate)</t>
  </si>
  <si>
    <t>Biodegradable biopolyester copolymer</t>
  </si>
  <si>
    <t>Poly(butylene succinate-co-adipate)</t>
  </si>
  <si>
    <t>Poly(3-hydroxybutyrate-co-3-hydroxyvalerate)</t>
  </si>
  <si>
    <t>Poly(hexamethylene furanoate)</t>
  </si>
  <si>
    <t>Biobased FDCA-derived polyester</t>
  </si>
  <si>
    <t>Polylactic acid</t>
  </si>
  <si>
    <t>Biobased and biodegradable biopolyester</t>
  </si>
  <si>
    <t>Poly(pentamethylene 2,5-furanoate)</t>
  </si>
  <si>
    <t>Polyvinyl alcohol</t>
  </si>
  <si>
    <t>Water-soluble synthetic polymer</t>
  </si>
  <si>
    <t>Ethylene-vinyl acetate</t>
  </si>
  <si>
    <t>Fossil-based reference polymer</t>
  </si>
  <si>
    <t>Ethylene vinyl alcohol</t>
  </si>
  <si>
    <t>High-density polyethylene</t>
  </si>
  <si>
    <t>Low-density polyethylene</t>
  </si>
  <si>
    <t>Oriented polypropylene</t>
  </si>
  <si>
    <t>Polyethylene</t>
  </si>
  <si>
    <t>Polyethylene naphthalate</t>
  </si>
  <si>
    <t>Polyethylene terephthalate</t>
  </si>
  <si>
    <t>Polypropylene</t>
  </si>
  <si>
    <t>Polyvinyl chloride</t>
  </si>
  <si>
    <t>Polyvinylidene chloride</t>
  </si>
  <si>
    <t>Material family grouping PLA, PBS, PBSA, PHBV</t>
  </si>
  <si>
    <t>Material family grouping furanoate-based polyesters (e.g. PEF, PHF, PPeF)</t>
  </si>
  <si>
    <t>Material family grouping biobased vinyl polymers (e.g. PVA)</t>
  </si>
  <si>
    <t>Reference polymer family grouping LDPE, HDPE, PP, PE, OPP</t>
  </si>
  <si>
    <t>Reference polymer family grouping PET, PEN</t>
  </si>
  <si>
    <t>Reference polymer family grouping PVC, PVDC, EVOH, PVOH/PVA, EVA</t>
  </si>
  <si>
    <t>Reference polymer family grouping PA, Nylon 6</t>
  </si>
  <si>
    <t>Reference polymer family grouping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</si>
</sst>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9">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rgb="FFFFFFFF"/>
        <bgColor indexed="64"/>
      </patternFill>
    </fill>
    <fill>
      <patternFill patternType="solid">
        <fgColor rgb="FFD8D8D8"/>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s>
  <cellStyleXfs count="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cellStyleXfs>
  <cellXfs count="52">
    <xf numFmtId="0" fontId="0" fillId="0" borderId="0" xfId="0"/>
    <xf numFmtId="0" fontId="0" fillId="0" borderId="0" xfId="0" applyAlignment="1">
      <alignment wrapText="1"/>
    </xf>
    <xf numFmtId="0" fontId="1" fillId="0" borderId="0" xfId="0" applyFont="1"/>
    <xf numFmtId="11" fontId="0" fillId="0" borderId="0" xfId="0" applyNumberFormat="1"/>
    <xf numFmtId="0" fontId="3" fillId="2" borderId="0" xfId="1"/>
    <xf numFmtId="11" fontId="3" fillId="2" borderId="0" xfId="1" applyNumberFormat="1"/>
    <xf numFmtId="0" fontId="3" fillId="3" borderId="0" xfId="2"/>
    <xf numFmtId="11" fontId="3" fillId="3" borderId="0" xfId="2" applyNumberFormat="1"/>
    <xf numFmtId="0" fontId="3" fillId="4" borderId="0" xfId="3"/>
    <xf numFmtId="11" fontId="3" fillId="4" borderId="0" xfId="3" applyNumberFormat="1"/>
    <xf numFmtId="0" fontId="3" fillId="5" borderId="0" xfId="4"/>
    <xf numFmtId="11" fontId="3" fillId="5" borderId="0" xfId="4" applyNumberFormat="1"/>
    <xf numFmtId="0" fontId="0" fillId="0" borderId="1" xfId="0" applyBorder="1"/>
    <xf numFmtId="0" fontId="0" fillId="0" borderId="2" xfId="0" applyBorder="1"/>
    <xf numFmtId="0" fontId="0" fillId="0" borderId="3" xfId="0" applyBorder="1"/>
    <xf numFmtId="0" fontId="3" fillId="2" borderId="4" xfId="1" applyBorder="1"/>
    <xf numFmtId="0" fontId="3" fillId="2" borderId="0" xfId="1" applyBorder="1"/>
    <xf numFmtId="0" fontId="3" fillId="2" borderId="5" xfId="1" applyBorder="1"/>
    <xf numFmtId="0" fontId="3" fillId="3" borderId="4" xfId="2" applyBorder="1"/>
    <xf numFmtId="0" fontId="3" fillId="3" borderId="0" xfId="2" applyBorder="1"/>
    <xf numFmtId="0" fontId="3" fillId="3" borderId="5" xfId="2" applyBorder="1"/>
    <xf numFmtId="0" fontId="3" fillId="4" borderId="4" xfId="3" applyBorder="1"/>
    <xf numFmtId="0" fontId="3" fillId="4" borderId="0" xfId="3" applyBorder="1"/>
    <xf numFmtId="0" fontId="3" fillId="4" borderId="5" xfId="3" applyBorder="1"/>
    <xf numFmtId="0" fontId="3" fillId="5" borderId="4" xfId="4" applyBorder="1"/>
    <xf numFmtId="0" fontId="3" fillId="5" borderId="0" xfId="4" applyBorder="1"/>
    <xf numFmtId="0" fontId="3" fillId="5" borderId="5" xfId="4" applyBorder="1"/>
    <xf numFmtId="0" fontId="0" fillId="0" borderId="0" xfId="0" applyAlignment="1">
      <alignment vertical="center"/>
    </xf>
    <xf numFmtId="0" fontId="3" fillId="4" borderId="0" xfId="3" applyNumberFormat="1" applyBorder="1"/>
    <xf numFmtId="0" fontId="3" fillId="4" borderId="0" xfId="3" applyBorder="1" applyAlignment="1">
      <alignment vertical="center" wrapText="1"/>
    </xf>
    <xf numFmtId="0" fontId="3" fillId="4" borderId="5" xfId="3" applyNumberFormat="1" applyBorder="1"/>
    <xf numFmtId="0" fontId="3" fillId="4" borderId="4" xfId="3" applyNumberFormat="1" applyBorder="1"/>
    <xf numFmtId="0" fontId="3" fillId="4" borderId="0" xfId="3" applyNumberFormat="1" applyBorder="1" applyAlignment="1">
      <alignment vertical="center" wrapText="1"/>
    </xf>
    <xf numFmtId="0" fontId="3" fillId="6" borderId="0" xfId="5"/>
    <xf numFmtId="0" fontId="3" fillId="6" borderId="4" xfId="5" applyBorder="1"/>
    <xf numFmtId="0" fontId="3" fillId="6" borderId="0" xfId="5" applyBorder="1"/>
    <xf numFmtId="0" fontId="3" fillId="6" borderId="5" xfId="5" applyBorder="1"/>
    <xf numFmtId="11" fontId="3" fillId="6" borderId="0" xfId="5" applyNumberFormat="1"/>
    <xf numFmtId="0" fontId="0" fillId="0" borderId="6" xfId="0" applyBorder="1" applyAlignment="1">
      <alignment wrapText="1"/>
    </xf>
    <xf numFmtId="0" fontId="1" fillId="0" borderId="0" xfId="0" applyFont="1" applyAlignment="1">
      <alignment wrapText="1"/>
    </xf>
    <xf numFmtId="0" fontId="0" fillId="7" borderId="6" xfId="0" applyFill="1" applyBorder="1" applyAlignment="1">
      <alignment wrapText="1"/>
    </xf>
    <xf numFmtId="0" fontId="0" fillId="8" borderId="6" xfId="0" applyFill="1" applyBorder="1" applyAlignment="1">
      <alignment wrapText="1"/>
    </xf>
    <xf numFmtId="0" fontId="0" fillId="7" borderId="6" xfId="0" applyFill="1" applyBorder="1" applyAlignment="1">
      <alignment horizontal="right" wrapText="1"/>
    </xf>
    <xf numFmtId="0" fontId="0" fillId="8" borderId="6" xfId="0" applyFill="1" applyBorder="1" applyAlignment="1">
      <alignment horizontal="right" wrapText="1"/>
    </xf>
    <xf numFmtId="0" fontId="0" fillId="7" borderId="0" xfId="0" applyFill="1" applyAlignment="1">
      <alignment wrapText="1"/>
    </xf>
    <xf numFmtId="0" fontId="0" fillId="8" borderId="0" xfId="0" applyFill="1" applyAlignment="1">
      <alignment wrapText="1"/>
    </xf>
    <xf numFmtId="0" fontId="0" fillId="8" borderId="0" xfId="0" applyFill="1" applyAlignment="1">
      <alignment vertical="center" wrapText="1"/>
    </xf>
    <xf numFmtId="0" fontId="0" fillId="7" borderId="0" xfId="0" applyFill="1" applyAlignment="1">
      <alignment vertical="center"/>
    </xf>
    <xf numFmtId="0" fontId="0" fillId="7" borderId="0" xfId="0" applyFill="1" applyAlignment="1">
      <alignment vertical="center" wrapText="1"/>
    </xf>
    <xf numFmtId="0" fontId="0" fillId="8" borderId="6" xfId="0" applyFill="1" applyBorder="1" applyAlignment="1">
      <alignment vertical="center"/>
    </xf>
    <xf numFmtId="0" fontId="0" fillId="0" borderId="6" xfId="0" applyBorder="1" applyAlignment="1">
      <alignment horizontal="right" wrapText="1"/>
    </xf>
    <xf numFmtId="0" fontId="0" fillId="0" borderId="6" xfId="0" applyBorder="1" applyAlignment="1">
      <alignment vertical="center"/>
    </xf>
  </cellXfs>
  <cellStyles count="6">
    <cellStyle name="20% - Accent1" xfId="1" builtinId="30"/>
    <cellStyle name="20% - Accent3" xfId="3" builtinId="38"/>
    <cellStyle name="20% - Accent4" xfId="5" builtinId="42"/>
    <cellStyle name="40% - Accent1" xfId="2" builtinId="31"/>
    <cellStyle name="40% - Accent3" xfId="4" builtinId="39"/>
    <cellStyle name="Standaard" xfId="0" builtinId="0"/>
  </cellStyles>
  <dxfs count="49">
    <dxf>
      <alignment horizontal="left" vertical="top" textRotation="0" wrapText="1" indent="0" justifyLastLine="0" shrinkToFit="0" readingOrder="0"/>
    </dxf>
    <dxf>
      <numFmt numFmtId="2" formatCode="0.00"/>
      <fill>
        <patternFill patternType="solid">
          <fgColor theme="6" tint="0.59999389629810485"/>
          <bgColor theme="6" tint="0.59999389629810485"/>
        </patternFill>
      </fill>
      <alignment horizontal="left" vertical="top" textRotation="0" wrapText="1" indent="0" justifyLastLine="0" shrinkToFit="0" readingOrder="0"/>
      <border diagonalUp="0" diagonalDown="0" outlin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fill>
        <patternFill patternType="solid">
          <fgColor theme="6" tint="0.79998168889431442"/>
          <bgColor theme="6" tint="0.79998168889431442"/>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bottom style="thin">
          <color rgb="FFD9D9D9"/>
        </bottom>
      </border>
    </dxf>
    <dxf>
      <border outline="0">
        <top style="thin">
          <color rgb="FFD9D9D9"/>
        </top>
        <bottom style="thin">
          <color theme="0"/>
        </bottom>
      </border>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numFmt numFmtId="0" formatCode="General"/>
      <border diagonalUp="0" diagonalDown="0">
        <left/>
        <right style="thin">
          <color indexed="64"/>
        </right>
        <top/>
        <bottom/>
        <vertical/>
        <horizontal/>
      </border>
    </dxf>
    <dxf>
      <numFmt numFmtId="0" formatCode="General"/>
    </dxf>
    <dxf>
      <numFmt numFmtId="0" formatCode="General"/>
      <border diagonalUp="0" diagonalDown="0">
        <left style="thin">
          <color indexed="64"/>
        </left>
        <right/>
        <top/>
        <bottom/>
        <vertical/>
        <horizontal/>
      </border>
    </dxf>
    <dxf>
      <numFmt numFmtId="0" formatCode="General"/>
    </dxf>
    <dxf>
      <font>
        <b val="0"/>
        <i val="0"/>
        <strike val="0"/>
        <condense val="0"/>
        <extend val="0"/>
        <outline val="0"/>
        <shadow val="0"/>
        <u val="none"/>
        <vertAlign val="baseline"/>
        <sz val="12"/>
        <color theme="1"/>
        <name val="Times New Roman"/>
        <family val="1"/>
        <charset val="1"/>
        <scheme val="none"/>
      </font>
      <numFmt numFmtId="0" formatCode="General"/>
      <border diagonalUp="0" diagonalDown="0">
        <left style="thin">
          <color indexed="64"/>
        </left>
        <right style="thin">
          <color indexed="64"/>
        </right>
        <top/>
        <bottom style="thin">
          <color indexed="64"/>
        </bottom>
        <vertical/>
        <horizontal/>
      </border>
    </dxf>
    <dxf>
      <numFmt numFmtId="0" formatCode="General"/>
    </dxf>
    <dxf>
      <numFmt numFmtId="0" formatCode="General"/>
    </dxf>
    <dxf>
      <numFmt numFmtId="0" formatCode="General"/>
    </dxf>
    <dxf>
      <alignment horizontal="general"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0CD37C-2736-4724-B7A3-91E08FEACBFB}" name="Table7" displayName="Table7" ref="A1:DH222" totalsRowShown="0" headerRowDxfId="48">
  <autoFilter ref="A1:DH222" xr:uid="{8B0CD37C-2736-4724-B7A3-91E08FEACB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autoFilter>
  <tableColumns count="112">
    <tableColumn id="1" xr3:uid="{1E94C1D6-4D4A-4FB2-B73B-549A06C84C92}" name="Article_ID"/>
    <tableColumn id="2" xr3:uid="{F3653E9F-95BD-4A98-8093-D9396884A171}" name="Authors"/>
    <tableColumn id="3" xr3:uid="{CF131076-1C6C-4C07-B944-83BDD62E1FE2}" name="Title"/>
    <tableColumn id="4" xr3:uid="{FBAD49BC-59F1-4507-BF92-4D7ED2E76E14}" name="Year"/>
    <tableColumn id="5" xr3:uid="{EF8F6846-B0D2-4413-8EEC-9CE404227CA8}" name="journal"/>
    <tableColumn id="6" xr3:uid="{DFFF0A7E-2277-4010-BA02-7F0689EA129B}" name="DOI"/>
    <tableColumn id="7" xr3:uid="{BB65D980-D01D-49E6-AC30-C0E0256BC36A}" name="Included_after_screening"/>
    <tableColumn id="8" xr3:uid="{F65C5CBC-8261-434E-90D1-423BBA2A1A5E}" name="Quality_score"/>
    <tableColumn id="9" xr3:uid="{1E2962A8-1A2C-49BE-AC08-01255CD0D90C}" name="Exclusion_reason"/>
    <tableColumn id="10" xr3:uid="{2458EE0E-69FB-45DC-9324-127B3FF93AF9}" name="Polymer_name"/>
    <tableColumn id="11" xr3:uid="{AC33BD97-6450-41BA-97BF-A8D2C4613C94}" name="Polymer_type"/>
    <tableColumn id="12" xr3:uid="{DB275544-0131-41E1-8DBF-42C0AF36A02F}" name="Material_family"/>
    <tableColumn id="13" xr3:uid="{5ED3071D-4F26-4101-9D50-604ACE481E56}" name="Biobased"/>
    <tableColumn id="14" xr3:uid="{36D4B09D-0F8B-4AD4-A063-980D9385986E}" name="Biodegradable"/>
    <tableColumn id="15" xr3:uid="{89DDC084-CC77-48C0-9C38-6CE6415ADC08}" name="Additives_present"/>
    <tableColumn id="16" xr3:uid="{D03EECB6-9E73-4360-9DDC-8F00A1E87F5B}" name="Additives_concentration_wt%"/>
    <tableColumn id="17" xr3:uid="{75EAE3F1-4EFE-43C6-9447-463D020A80F6}" name="Processing_method"/>
    <tableColumn id="18" xr3:uid="{C3C76C38-FE06-4AB2-9984-F7A398CF4826}" name="Film_thickness_µm"/>
    <tableColumn id="19" xr3:uid="{A1C6EF53-F7E8-4B77-8515-EAED2CBEE696}" name="Film_thickness_SD_µm"/>
    <tableColumn id="20" xr3:uid="{C8559294-85AE-4454-84FA-CD8F5946F0FF}" name="Film_thickness_replicates"/>
    <tableColumn id="21" xr3:uid="{5C4C3ACE-A2D7-470D-AB0E-AC48BA23B926}" name="PO2_value"/>
    <tableColumn id="22" xr3:uid="{B791AB16-4954-4934-9FE7-75EE90D08717}" name="PO2_SD"/>
    <tableColumn id="23" xr3:uid="{EE05BFEB-744E-4AA3-B49F-3179BDB84B79}" name="PO2_unit"/>
    <tableColumn id="24" xr3:uid="{78E09A73-8650-4D9A-9FC9-F593A8300280}" name="PO2_conversion_factor"/>
    <tableColumn id="25" xr3:uid="{9EEA8DE1-481A-4A78-AE9E-9531167F0C31}" name="PO2_cm³·µm·m⁻²·d⁻¹·bar⁻¹ "/>
    <tableColumn id="26" xr3:uid="{5B8DE451-232C-45C1-B3DC-67D0919E8512}" name="PO2_SD_cm³·µm·m⁻²·d⁻¹·bar⁻¹ "/>
    <tableColumn id="27" xr3:uid="{FE8EE207-5D3B-4FDC-8BD4-24DD042AB35F}" name="PO2_standard"/>
    <tableColumn id="28" xr3:uid="{519940EB-0D2C-4B6F-91D0-61763A6123F8}" name="PO2_temperature_°C"/>
    <tableColumn id="29" xr3:uid="{C41BB596-C0D5-4744-B046-8F6DC6F84C34}" name="PO2_RH_%"/>
    <tableColumn id="30" xr3:uid="{C85F8813-4E91-4774-A404-7E3BE71055A6}" name="OTR_value"/>
    <tableColumn id="31" xr3:uid="{29E9EA64-9B0A-4076-83CF-7EBCE7F70544}" name="OTR_SD"/>
    <tableColumn id="32" xr3:uid="{62FA36B6-474A-4B1A-9C93-5B55137A9ABF}" name="OTR_unit"/>
    <tableColumn id="33" xr3:uid="{CCFA747A-A0C4-4311-A6B6-B1680C1E806F}" name="OTR_conversion_factor"/>
    <tableColumn id="34" xr3:uid="{CC0F8AAA-267E-489E-A0D4-FDA386EF7059}" name="OTR100_cm3·m-2·d-1·bar-1"/>
    <tableColumn id="35" xr3:uid="{FFF4407C-153D-48D0-8A1E-619F5B9B21A8}" name="OTR100_SD_cm3·m-2·d-1·bar-1"/>
    <tableColumn id="36" xr3:uid="{481CE838-593F-429A-9A31-F1BD78C134F4}" name="OTR_standard"/>
    <tableColumn id="37" xr3:uid="{9239A6D9-352A-4DA1-AD39-7923EFCDADE4}" name="OTR_temperature_°C"/>
    <tableColumn id="38" xr3:uid="{80D78CD9-AE11-4B81-9D9B-F41C566B7427}" name="OTR_RH_%"/>
    <tableColumn id="39" xr3:uid="{7253B0F9-1664-44C2-AC06-2D7A0B24B672}" name="PCO2_value"/>
    <tableColumn id="40" xr3:uid="{735A9490-340C-4C1B-80E6-6AF615A6A772}" name="PCO2_SD"/>
    <tableColumn id="41" xr3:uid="{22DBD24B-60E9-442A-9A59-BE5B0F829B51}" name="PCO2_unit"/>
    <tableColumn id="42" xr3:uid="{D862E16D-34A5-4594-9344-70913133E6D7}" name="PCO2_conversion_factor"/>
    <tableColumn id="43" xr3:uid="{AD0E4B02-76D3-40FF-BB4F-8D00EC6192BF}" name="PCO2_cm³·µm·m⁻²·d⁻¹·bar⁻¹ "/>
    <tableColumn id="44" xr3:uid="{6A9A3973-CC0B-4F13-8CC4-64CEC0DAB1EE}" name="PCO2_SD_cm³·µm·m⁻²·d⁻¹·bar⁻¹ "/>
    <tableColumn id="45" xr3:uid="{A3302380-79EF-47DA-A974-E1B96A230E20}" name="PCO2_standard"/>
    <tableColumn id="46" xr3:uid="{7B2E3703-4F9D-4719-89A7-970F2784D087}" name="PCO2_temperature_°C"/>
    <tableColumn id="47" xr3:uid="{F1B8E19C-C5BB-4C39-8CA3-50D0FD547E8C}" name="PCO2_RH_%"/>
    <tableColumn id="48" xr3:uid="{1A3C4A5C-E10D-4D74-98CC-8F816CBF0FCB}" name="CO2TR100_cm3·m-2·d-1·bar-1"/>
    <tableColumn id="49" xr3:uid="{A345F733-C49B-4942-BB9E-CF3DED907785}" name="CO2TR100_SD_cm3·m-2·d-1·bar-1"/>
    <tableColumn id="50" xr3:uid="{7C31E02E-6CC8-4227-AFDE-09486A07B1AF}" name="CO2TR_standard"/>
    <tableColumn id="51" xr3:uid="{50CAA93F-60DA-43EA-8B51-BB929A8886C5}" name="CO2TR_temperature_°C"/>
    <tableColumn id="52" xr3:uid="{09516C65-8F74-4628-86E2-D53C48EB7586}" name="CO2TR_RH_%"/>
    <tableColumn id="53" xr3:uid="{6E578BA0-8BC6-431C-876E-F07BF7941C45}" name="WVP_value"/>
    <tableColumn id="54" xr3:uid="{546F5989-DB6F-4041-A519-520F568278AF}" name="WVP_SD"/>
    <tableColumn id="55" xr3:uid="{802AA38C-01ED-4D94-A7AA-074193BBDC22}" name="WVP_unit"/>
    <tableColumn id="56" xr3:uid="{DEE66023-9E71-40EA-BD8F-01D8F014F47A}" name="WVP_conversion_factor"/>
    <tableColumn id="57" xr3:uid="{458F5DFE-4E41-432D-B84A-F64D86BDFB06}" name="WVP_g·µm·m-2·d-1·bar-1"/>
    <tableColumn id="58" xr3:uid="{87B83FF3-BDB2-4186-B61C-EBF219A98ED8}" name="WVP_SD_g·µm·m-2·d-1 "/>
    <tableColumn id="59" xr3:uid="{A7DEB7AC-99F2-4C14-B292-C53CAF607243}" name="WVP_standard"/>
    <tableColumn id="60" xr3:uid="{CFA0F974-2388-4C26-9225-F24979447953}" name="WVP_temperature_°C"/>
    <tableColumn id="61" xr3:uid="{5923D88D-0A39-4B2A-A967-7F81818F1DEF}" name="WVP_RH_%"/>
    <tableColumn id="62" xr3:uid="{E30B8394-AD48-4CD1-AA27-9DA80FB0D103}" name="WVP_psat_bar"/>
    <tableColumn id="63" xr3:uid="{475A49F6-728E-4025-BED7-24A520345047}" name="WVP_Δp_bar"/>
    <tableColumn id="64" xr3:uid="{02959DBC-F561-4B0C-8762-0B7D400F6341}" name="WVTR_value"/>
    <tableColumn id="65" xr3:uid="{31ADD17E-AEBB-407A-90CE-5F2AF5E35BDE}" name="WVTR_SD"/>
    <tableColumn id="66" xr3:uid="{00184CCA-C041-4D1F-9153-55AF493B2414}" name="WVTR_unit"/>
    <tableColumn id="67" xr3:uid="{581702DC-10DA-4585-BDD6-5F70B4F43FD1}" name="WVTR_conversion_factor"/>
    <tableColumn id="68" xr3:uid="{3A5E68EF-0645-4F59-99F5-86661F6A818A}" name="WVTR100_g·m-2·d-1 "/>
    <tableColumn id="69" xr3:uid="{153D41C0-C210-4347-9337-CB1BE9170864}" name="WVTR100µm_SD_g·m-2·d-1 "/>
    <tableColumn id="70" xr3:uid="{E99A7570-A525-4304-8837-73E0827D7683}" name="WVTR_standard"/>
    <tableColumn id="71" xr3:uid="{F2FD2499-B097-4449-A431-E0D0B79FD793}" name="WVTR_temperature_°C"/>
    <tableColumn id="72" xr3:uid="{2D846B5B-37D8-4F92-9004-8F14ED3E8A57}" name="WVTR_RH_%"/>
    <tableColumn id="73" xr3:uid="{18571EEF-A241-4981-B935-6423F7FBF951}" name="Replicates"/>
    <tableColumn id="74" xr3:uid="{A69EF94F-66E3-4115-BC7F-73311F92CF61}" name="Reference_polymer"/>
    <tableColumn id="141" xr3:uid="{762D0FC1-DE27-46FE-868B-C32CC5B2372C}" name="Reference_polymer_family"/>
    <tableColumn id="75" xr3:uid="{67BC48DA-441C-4143-B9ED-15E318F7B148}" name="Reference_thickness_µm"/>
    <tableColumn id="76" xr3:uid="{56768C50-D269-41AC-A59E-0F11E16B6323}" name="Reference_PO2_value"/>
    <tableColumn id="77" xr3:uid="{ED060A06-BCEE-4D03-8F17-6BA045F46CE8}" name="Reference_PO2_unit"/>
    <tableColumn id="78" xr3:uid="{144F2BEC-0A3E-4BBD-8CEC-510CD770DE2C}" name="Reference_PO2_conversion_factor"/>
    <tableColumn id="79" xr3:uid="{F25CA026-2A25-4A5A-AC02-FAAE6CB81868}" name="Reference_PO2_cm³·µm·m⁻²·d⁻¹·bar⁻¹ "/>
    <tableColumn id="80" xr3:uid="{B8D42EEE-C0A9-4F34-BD78-CE0A5083D96B}" name="Reference_PO2_T_°C"/>
    <tableColumn id="81" xr3:uid="{75745E87-59FD-4C3A-BF02-C19726117AEC}" name="Reference_PO2_RH_%"/>
    <tableColumn id="112" xr3:uid="{6121D99C-2410-47A9-BEF3-95B9E51B1CDC}" name="Reference_OTR100_cm³·m⁻²·d⁻¹·bar⁻¹ "/>
    <tableColumn id="113" xr3:uid="{67DA25F9-950A-4E24-9770-05A56AF87B82}" name="Reference_OTR_temperature°C"/>
    <tableColumn id="114" xr3:uid="{82837D84-A046-4F82-A955-C18EEAF745B1}" name="Reference_OTR_RH_%"/>
    <tableColumn id="105" xr3:uid="{AED6323C-C33D-4C5F-9274-DBDA925F1515}" name="Reference_PCO2_value"/>
    <tableColumn id="106" xr3:uid="{A2B2EC5D-2E48-4508-B1DA-7558B7042CB9}" name="Reference_PCO2_unit"/>
    <tableColumn id="107" xr3:uid="{5C549F55-B64F-4211-A74B-248E20F67EEA}" name="Reference_PCO2_conversion_factor"/>
    <tableColumn id="108" xr3:uid="{FF7904CF-5567-4588-BCEA-49F8DAD6D461}" name="Reference_PCO2_cm³·µm·m⁻²·d⁻¹·bar⁻¹ "/>
    <tableColumn id="109" xr3:uid="{B6ABBD0E-CD8B-4607-866E-5D1549282157}" name="Reference_PCO2_T_°C"/>
    <tableColumn id="110" xr3:uid="{5230061C-116A-401B-8E91-685A360E9E76}" name="Reference_PCO2_RH_%"/>
    <tableColumn id="115" xr3:uid="{E700D1C4-91E9-4F9D-AA4F-2B32F1AC3792}" name="Reference_COTR100_cm³·m⁻²·d⁻¹·bar⁻¹ "/>
    <tableColumn id="116" xr3:uid="{FDAAD847-1130-429E-9830-23B46B92E6F4}" name="Reference_COTR_temperature°C"/>
    <tableColumn id="117" xr3:uid="{16D2DBEA-EF08-43D3-B9DF-E567FEE26646}" name="Reference_COTR_RH_%"/>
    <tableColumn id="86" xr3:uid="{64849AA5-973D-444F-B269-39BE6427ED41}" name="Reference_WVP_value"/>
    <tableColumn id="87" xr3:uid="{5A21CC2B-F285-4044-A32C-2908E333BE70}" name="Reference_WVP_unit"/>
    <tableColumn id="88" xr3:uid="{0E8A822B-A6AB-4038-B83A-DDB743497E37}" name="Reference_WVP_conversion_factor"/>
    <tableColumn id="89" xr3:uid="{6840FC62-46E0-4104-9461-7FBB36E18E3B}" name="Reference_WVP_g·µm·m-2·d-1 "/>
    <tableColumn id="90" xr3:uid="{3265E6A7-181D-45BA-958B-A5637840A4EC}" name="Reference_WVP_temperature°C"/>
    <tableColumn id="91" xr3:uid="{88E2FD57-742C-4CD1-BDC2-32A55625679E}" name="Reference_WVP_RH_%"/>
    <tableColumn id="99" xr3:uid="{BFCBF6AE-373C-468C-8E1A-4580CED74B3C}" name="Reference_WVP_psat_bar"/>
    <tableColumn id="100" xr3:uid="{35B4A6FB-3FEE-46E0-A191-4A2F9091EA55}" name="Reference_WVP_Δp_bar"/>
    <tableColumn id="92" xr3:uid="{E7159A5D-5FF6-428C-A4F1-AF39D83850B3}" name="Reference_WVTR_value"/>
    <tableColumn id="93" xr3:uid="{A245509A-96BB-4EEA-8083-B032CD90B625}" name="Reference_WVTR_unit"/>
    <tableColumn id="101" xr3:uid="{B4964E1F-C845-4DCF-9A68-8741DAEA3420}" name="Reference_WVTR_conversion_factor"/>
    <tableColumn id="102" xr3:uid="{2DA60F5D-4AAB-4C0E-803E-8F0332DF3493}" name="Reference_WVTR100_g·m-2·d-1 "/>
    <tableColumn id="104" xr3:uid="{392BD3D8-E751-4FDA-90A9-B5F5C85EA16D}" name="Reference_WVTR_T_°C"/>
    <tableColumn id="103" xr3:uid="{C78D410F-81CA-4DE4-8870-8BD699379579}" name="Reference_WVTR_RH_%"/>
    <tableColumn id="94" xr3:uid="{67A5F1D5-F5EB-4068-A048-907694835AC2}" name="Comparison_type"/>
    <tableColumn id="96" xr3:uid="{7ACCF9DD-97CF-4D48-9F4F-8E76CB7F9339}" name="Food_contact_tested"/>
    <tableColumn id="97" xr3:uid="{9A2847EE-E461-4620-8775-A088A149D1ED}" name="Key_barrier_finding"/>
    <tableColumn id="98" xr3:uid="{A26CBC08-8A27-4C13-A62E-087F9F031AE3}" name="Reviewer_notes"/>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4987F-F2B0-4212-B506-FFE325314F89}" name="Tabel5" displayName="Tabel5" ref="A1:S23" totalsRowShown="0" headerRowDxfId="47" dataDxfId="46">
  <autoFilter ref="A1:S23" xr:uid="{ABD4987F-F2B0-4212-B506-FFE325314F89}"/>
  <sortState xmlns:xlrd2="http://schemas.microsoft.com/office/spreadsheetml/2017/richdata2" ref="A2:S23">
    <sortCondition ref="A2:A23" customList="Property,WVP,WVTR,PO₂,OTR,PCO₂"/>
    <sortCondition ref="B2:B23"/>
  </sortState>
  <tableColumns count="19">
    <tableColumn id="1" xr3:uid="{0BD9401D-3731-472D-B11E-5C2052F37921}" name="barrier_property" dataDxfId="45"/>
    <tableColumn id="2" xr3:uid="{3BCC37F3-35C4-4463-BEF1-72B2F148F310}" name="from_unit" dataDxfId="44"/>
    <tableColumn id="3" xr3:uid="{141263A0-B647-4BF0-A0C8-5C448AD72ACF}" name="target_unit" dataDxfId="43"/>
    <tableColumn id="4" xr3:uid="{5FAEEC8C-30BD-419B-B0E3-B9135D010FA5}" name="mass/volume_from_unit" dataDxfId="42"/>
    <tableColumn id="5" xr3:uid="{0805F3DB-5104-4B62-A3C1-E585E1F66A2E}" name="mass/volume_target_unit" dataDxfId="41"/>
    <tableColumn id="6" xr3:uid="{893F7AD8-8F55-4697-9C58-52B9AD69F1E0}" name="mass/volume_factor" dataDxfId="40"/>
    <tableColumn id="7" xr3:uid="{3C1708F3-9842-4E31-8ADD-888D445E78BF}" name="thickness_from_unit" dataDxfId="39"/>
    <tableColumn id="8" xr3:uid="{BA008D2B-E88F-45D6-9E48-65295175727A}" name="thickness_target_unit" dataDxfId="38"/>
    <tableColumn id="9" xr3:uid="{E72AC6E8-5F4D-4DD0-8363-7B5BD82E6C7E}" name="thickness_factor" dataDxfId="37"/>
    <tableColumn id="10" xr3:uid="{662C3732-924C-48D1-8C61-EF8C6BCD3A8F}" name="area_from_unit" dataDxfId="36"/>
    <tableColumn id="11" xr3:uid="{AEB20574-381A-43EC-BB02-90CDAF6FBFB6}" name="area_target_unit" dataDxfId="35"/>
    <tableColumn id="12" xr3:uid="{B965FDB5-3F9F-4442-81DF-DE04ED390D6F}" name="area_factor" dataDxfId="34"/>
    <tableColumn id="13" xr3:uid="{F480A51C-E6B8-470D-9A2F-478B43F66821}" name="time_from_unit" dataDxfId="33"/>
    <tableColumn id="14" xr3:uid="{00B2BD25-B91A-4CAD-B030-C044B50EEDD0}" name="time_target_unit" dataDxfId="32"/>
    <tableColumn id="15" xr3:uid="{FBB060C9-D26A-4991-8633-65E5E593F57C}" name="time_factor" dataDxfId="31"/>
    <tableColumn id="16" xr3:uid="{C9CE5D25-A6F2-418D-81EF-B5B85CB0A1D2}" name="pressure_from_unit" dataDxfId="30"/>
    <tableColumn id="17" xr3:uid="{2C986487-AFCA-47DA-9EAE-3457D1B95C2C}" name="pressure_target_unit" dataDxfId="29"/>
    <tableColumn id="18" xr3:uid="{6C725AE4-BFF2-43A1-9B0A-9B0539386523}" name="pressure_factor" dataDxfId="28"/>
    <tableColumn id="22" xr3:uid="{C27C62B7-19D0-464A-B4E4-8EFBE24415D3}" name="final_factor" dataDxfId="2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D4BF58-E617-4715-B2C1-1010E76B5476}" name="Table3" displayName="Table3" ref="A1:W29" totalsRowShown="0" headerRowDxfId="26" dataDxfId="25" headerRowBorderDxfId="23" tableBorderDxfId="24">
  <autoFilter ref="A1:W29" xr:uid="{56D4BF58-E617-4715-B2C1-1010E76B5476}"/>
  <tableColumns count="23">
    <tableColumn id="1" xr3:uid="{65EF1BDC-A79E-4C3F-B8CB-18B6F25A7B6E}" name="Article_ID" dataDxfId="22"/>
    <tableColumn id="2" xr3:uid="{E7CEF2EA-4EA7-4FB1-8DA5-D065C75F75B0}" name="Authors" dataDxfId="21"/>
    <tableColumn id="3" xr3:uid="{5DCBBA6D-78C0-4568-93EC-EDD117851A82}" name="Title" dataDxfId="20"/>
    <tableColumn id="4" xr3:uid="{2A9BA3A1-B82E-494C-BE8E-310D67FEFEF9}" name="Year" dataDxfId="19"/>
    <tableColumn id="5" xr3:uid="{8C0957B1-542F-4491-9571-BB8B7B4C3C24}" name="Journal" dataDxfId="18"/>
    <tableColumn id="6" xr3:uid="{5D86FA63-2EBB-4581-953A-E3942EAF2228}" name="DOI" dataDxfId="17"/>
    <tableColumn id="24" xr3:uid="{447F0298-6731-4E69-8A78-D46DFB6B2E17}" name="Material group" dataDxfId="16"/>
    <tableColumn id="7" xr3:uid="{9135C57F-BD4A-415C-A426-1DF6FB18C98A}" name="1. Are the aim and research questions clear?" dataDxfId="15"/>
    <tableColumn id="8" xr3:uid="{2B6EF749-CF6B-4D9A-8369-B84870355FE5}" name="Comment_1" dataDxfId="14"/>
    <tableColumn id="9" xr3:uid="{0E522DE6-215F-4918-AD47-DB7EAE7B624D}" name="2. Are the materials and film preparation sufficiently described?" dataDxfId="13"/>
    <tableColumn id="10" xr3:uid="{D99551AD-416F-435E-B604-6DE74F04203F}" name="Comment_2" dataDxfId="12"/>
    <tableColumn id="11" xr3:uid="{13D7A3C0-2D10-416E-833E-0814485D4F66}" name="3. Are barrier measurements conducted using validated and standardized methods?" dataDxfId="11"/>
    <tableColumn id="12" xr3:uid="{27BB9350-2F62-4E75-8FFF-054D1E03B347}" name="Comment_3" dataDxfId="10"/>
    <tableColumn id="13" xr3:uid="{2DECAED8-9096-49BF-A1FC-DCDC21DC2BBE}" name="4. Are appropriate controls or reference materials included?" dataDxfId="9"/>
    <tableColumn id="14" xr3:uid="{E8CE2180-EBFA-4F4A-A337-0676F4E94C15}" name="Comment_4" dataDxfId="8"/>
    <tableColumn id="15" xr3:uid="{0DBA8FE4-9644-4A7B-A0E1-1A1F2FD132DC}" name="5. Are barrier properties validated through replicates?" dataDxfId="7"/>
    <tableColumn id="16" xr3:uid="{DBB6C669-5657-44C5-A3F9-65EB05F39F1C}" name="Comment_5" dataDxfId="6"/>
    <tableColumn id="17" xr3:uid="{A0DF9C12-4914-4A22-BEDE-684ACEC5D370}" name="6. Are data reported fully and transparently in a suitable form?" dataDxfId="5"/>
    <tableColumn id="18" xr3:uid="{BE655C7E-1EB7-4EFA-B752-AECA5B34127E}" name="Comment_6" dataDxfId="4"/>
    <tableColumn id="19" xr3:uid="{9A9430AC-1AF7-4130-B31B-E66FAFEE1C33}" name="7. Are explanations and conclusions appropriate and supported by the data and contextualized appropriately?" dataDxfId="3"/>
    <tableColumn id="20" xr3:uid="{C49B4660-3B41-40A2-9662-2E5D624CF4AF}" name="Comment_7" dataDxfId="2"/>
    <tableColumn id="21" xr3:uid="{78737728-0DAE-4AFF-BA8E-2E6E866D0D27}" name="QS" dataDxfId="1">
      <calculatedColumnFormula>SUM(H2,J2,L2,N2,P2,R2,T2)/7</calculatedColumnFormula>
    </tableColumn>
    <tableColumn id="22" xr3:uid="{20EA0FB8-500C-4398-9155-70D70E72ADA5}" name="Included_after_QA" dataDxfId="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B5F73D-E8F8-46E1-9DBC-44EB58FEAC2B}" name="Table1" displayName="Table1" ref="A1:B131" totalsRowShown="0">
  <autoFilter ref="A1:B131" xr:uid="{7CB5F73D-E8F8-46E1-9DBC-44EB58FEAC2B}"/>
  <tableColumns count="2">
    <tableColumn id="1" xr3:uid="{7D24E39D-C004-40A5-9E07-E2279D3F9991}" name="Lookup"/>
    <tableColumn id="2" xr3:uid="{E5E9544C-3F57-4E8A-994B-7623BC9C798D}" name="Valu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C55171-32F0-4782-87B5-A0196E27E5F5}" name="Table2" displayName="Table2" ref="A1:E153" totalsRowShown="0">
  <autoFilter ref="A1:E153" xr:uid="{F0C55171-32F0-4782-87B5-A0196E27E5F5}"/>
  <tableColumns count="5">
    <tableColumn id="1" xr3:uid="{175F46D9-9DB3-4887-978B-1CE3C6AB5C15}" name="index"/>
    <tableColumn id="2" xr3:uid="{23EE4D4D-4E5F-4FAE-81EC-A8C254916169}" name="code"/>
    <tableColumn id="3" xr3:uid="{DC19F80F-7098-4379-941C-F6886E405447}" name="used"/>
    <tableColumn id="4" xr3:uid="{B1025B8E-D5E1-43D4-9AD0-9023CA37F55C}" name="meaning"/>
    <tableColumn id="5" xr3:uid="{267EFADB-73A1-4632-8230-A7739F5D9E02}" name="represents"/>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66" zoomScale="70" zoomScaleNormal="70" workbookViewId="0">
      <selection activeCell="A76" sqref="A76"/>
    </sheetView>
  </sheetViews>
  <sheetFormatPr defaultRowHeight="14.45"/>
  <cols>
    <col min="1" max="1" width="149.28515625" customWidth="1"/>
  </cols>
  <sheetData>
    <row r="1" spans="1:26">
      <c r="A1" s="39" t="s">
        <v>0</v>
      </c>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27" t="s">
        <v>1</v>
      </c>
      <c r="B3" s="1"/>
      <c r="C3" s="1"/>
      <c r="D3" s="1"/>
      <c r="E3" s="1"/>
      <c r="F3" s="1"/>
      <c r="G3" s="1"/>
      <c r="H3" s="1"/>
      <c r="I3" s="1"/>
      <c r="J3" s="1"/>
      <c r="K3" s="1"/>
      <c r="L3" s="1"/>
      <c r="M3" s="1"/>
      <c r="N3" s="1"/>
      <c r="O3" s="1"/>
      <c r="P3" s="1"/>
      <c r="Q3" s="1"/>
      <c r="R3" s="1"/>
      <c r="S3" s="1"/>
      <c r="T3" s="1"/>
      <c r="U3" s="1"/>
      <c r="V3" s="1"/>
      <c r="W3" s="1"/>
      <c r="X3" s="1"/>
      <c r="Y3" s="1"/>
      <c r="Z3" s="1"/>
    </row>
    <row r="4" spans="1:26">
      <c r="A4" s="39" t="s">
        <v>2</v>
      </c>
      <c r="B4" s="1"/>
      <c r="C4" s="1"/>
      <c r="D4" s="1"/>
      <c r="E4" s="1"/>
      <c r="F4" s="1"/>
      <c r="G4" s="1"/>
      <c r="H4" s="1"/>
      <c r="I4" s="1"/>
      <c r="J4" s="1"/>
      <c r="K4" s="1"/>
      <c r="L4" s="1"/>
      <c r="M4" s="1"/>
      <c r="N4" s="1"/>
      <c r="O4" s="1"/>
      <c r="P4" s="1"/>
      <c r="Q4" s="1"/>
      <c r="R4" s="1"/>
      <c r="S4" s="1"/>
      <c r="T4" s="1"/>
      <c r="U4" s="1"/>
      <c r="V4" s="1"/>
      <c r="W4" s="1"/>
      <c r="X4" s="1"/>
      <c r="Y4" s="1"/>
      <c r="Z4" s="1"/>
    </row>
    <row r="5" spans="1:26">
      <c r="A5" s="1" t="s">
        <v>3</v>
      </c>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39" t="s">
        <v>4</v>
      </c>
      <c r="B7" s="1"/>
      <c r="C7" s="1"/>
      <c r="D7" s="1"/>
      <c r="E7" s="1"/>
      <c r="F7" s="1"/>
      <c r="G7" s="1"/>
      <c r="H7" s="1"/>
      <c r="I7" s="1"/>
      <c r="J7" s="1"/>
      <c r="K7" s="1"/>
      <c r="L7" s="1"/>
      <c r="M7" s="1"/>
      <c r="N7" s="1"/>
      <c r="O7" s="1"/>
      <c r="P7" s="1"/>
      <c r="Q7" s="1"/>
      <c r="R7" s="1"/>
      <c r="S7" s="1"/>
      <c r="T7" s="1"/>
      <c r="U7" s="1"/>
      <c r="V7" s="1"/>
      <c r="W7" s="1"/>
      <c r="X7" s="1"/>
      <c r="Y7" s="1"/>
      <c r="Z7" s="1"/>
    </row>
    <row r="8" spans="1:26">
      <c r="A8" s="1" t="s">
        <v>5</v>
      </c>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39" t="s">
        <v>6</v>
      </c>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t="s">
        <v>7</v>
      </c>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39" t="s">
        <v>8</v>
      </c>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39" t="s">
        <v>10</v>
      </c>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t="s">
        <v>11</v>
      </c>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39" t="s">
        <v>12</v>
      </c>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t="s">
        <v>13</v>
      </c>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39" t="s">
        <v>14</v>
      </c>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t="s">
        <v>15</v>
      </c>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39" t="s">
        <v>16</v>
      </c>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t="s">
        <v>17</v>
      </c>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39" t="s">
        <v>18</v>
      </c>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t="s">
        <v>19</v>
      </c>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39" t="s">
        <v>20</v>
      </c>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27" t="s">
        <v>21</v>
      </c>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39" t="s">
        <v>22</v>
      </c>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t="s">
        <v>23</v>
      </c>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39" t="s">
        <v>24</v>
      </c>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t="s">
        <v>25</v>
      </c>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39" t="s">
        <v>26</v>
      </c>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27" t="s">
        <v>27</v>
      </c>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39" t="s">
        <v>28</v>
      </c>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t="s">
        <v>29</v>
      </c>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39" t="s">
        <v>30</v>
      </c>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t="s">
        <v>31</v>
      </c>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39" t="s">
        <v>32</v>
      </c>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t="s">
        <v>33</v>
      </c>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t="s">
        <v>34</v>
      </c>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39" t="s">
        <v>35</v>
      </c>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39" t="s">
        <v>36</v>
      </c>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t="s">
        <v>37</v>
      </c>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39" t="s">
        <v>38</v>
      </c>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27" t="s">
        <v>39</v>
      </c>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39" t="s">
        <v>40</v>
      </c>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27" t="s">
        <v>41</v>
      </c>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39" t="s">
        <v>42</v>
      </c>
      <c r="B65" s="1"/>
      <c r="C65" s="1"/>
      <c r="D65" s="1"/>
      <c r="E65" s="1"/>
      <c r="F65" s="1"/>
      <c r="G65" s="1"/>
      <c r="H65" s="1"/>
      <c r="I65" s="1"/>
      <c r="J65" s="1"/>
      <c r="K65" s="1"/>
      <c r="L65" s="1"/>
      <c r="M65" s="1"/>
      <c r="N65" s="1"/>
      <c r="O65" s="1"/>
      <c r="P65" s="1"/>
      <c r="Q65" s="1"/>
      <c r="R65" s="1"/>
      <c r="S65" s="1"/>
      <c r="T65" s="1"/>
      <c r="U65" s="1"/>
      <c r="V65" s="1"/>
      <c r="W65" s="1"/>
      <c r="X65" s="1"/>
      <c r="Y65" s="1"/>
      <c r="Z65" s="1"/>
    </row>
    <row r="66" spans="1:26" ht="86.45">
      <c r="A66" s="1" t="s">
        <v>43</v>
      </c>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39" t="s">
        <v>44</v>
      </c>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t="s">
        <v>45</v>
      </c>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t="s">
        <v>46</v>
      </c>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t="s">
        <v>47</v>
      </c>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t="s">
        <v>48</v>
      </c>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39" t="s">
        <v>49</v>
      </c>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t="s">
        <v>50</v>
      </c>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t="s">
        <v>51</v>
      </c>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t="s">
        <v>52</v>
      </c>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t="s">
        <v>53</v>
      </c>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t="s">
        <v>54</v>
      </c>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t="s">
        <v>55</v>
      </c>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BF8B-40C3-4AE3-8387-55DF51BD4B9C}">
  <dimension ref="A1:DH626"/>
  <sheetViews>
    <sheetView tabSelected="1" topLeftCell="A25" zoomScale="60" zoomScaleNormal="60" workbookViewId="0">
      <selection activeCell="B1" sqref="A1:DH222"/>
    </sheetView>
  </sheetViews>
  <sheetFormatPr defaultColWidth="8.85546875" defaultRowHeight="14.45"/>
  <cols>
    <col min="1" max="1" width="16.42578125" bestFit="1" customWidth="1"/>
    <col min="2" max="2" width="255.7109375" bestFit="1" customWidth="1"/>
    <col min="3" max="3" width="213.28515625" bestFit="1" customWidth="1"/>
    <col min="4" max="4" width="10.42578125" bestFit="1" customWidth="1"/>
    <col min="5" max="5" width="62.7109375" bestFit="1" customWidth="1"/>
    <col min="6" max="6" width="37.85546875" bestFit="1" customWidth="1"/>
    <col min="7" max="7" width="35.140625" bestFit="1" customWidth="1"/>
    <col min="8" max="8" width="21" bestFit="1" customWidth="1"/>
    <col min="9" max="9" width="69" bestFit="1" customWidth="1"/>
    <col min="10" max="10" width="43.7109375" bestFit="1" customWidth="1"/>
    <col min="11" max="11" width="20.85546875" bestFit="1" customWidth="1"/>
    <col min="12" max="12" width="22.85546875" bestFit="1" customWidth="1"/>
    <col min="13" max="13" width="15.85546875" bestFit="1" customWidth="1"/>
    <col min="14" max="14" width="22" bestFit="1" customWidth="1"/>
    <col min="15" max="15" width="32.7109375" bestFit="1" customWidth="1"/>
    <col min="16" max="16" width="39.28515625" bestFit="1" customWidth="1"/>
    <col min="17" max="17" width="28.28515625" bestFit="1" customWidth="1"/>
    <col min="18" max="18" width="27.28515625" bestFit="1" customWidth="1"/>
    <col min="19" max="19" width="32.140625" bestFit="1" customWidth="1"/>
    <col min="20" max="20" width="35.7109375" bestFit="1" customWidth="1"/>
    <col min="21" max="21" width="17.5703125" bestFit="1" customWidth="1"/>
    <col min="22" max="22" width="14.7109375" bestFit="1" customWidth="1"/>
    <col min="23" max="23" width="22" bestFit="1" customWidth="1"/>
    <col min="24" max="24" width="32.140625" bestFit="1" customWidth="1"/>
    <col min="25" max="25" width="34.7109375" bestFit="1" customWidth="1"/>
    <col min="26" max="26" width="39.5703125" bestFit="1" customWidth="1"/>
    <col min="27" max="27" width="21.5703125" bestFit="1" customWidth="1"/>
    <col min="28" max="28" width="29.28515625" bestFit="1" customWidth="1"/>
    <col min="29" max="29" width="18.140625" bestFit="1" customWidth="1"/>
    <col min="30" max="30" width="17.85546875" bestFit="1" customWidth="1"/>
    <col min="31" max="31" width="15.140625" bestFit="1" customWidth="1"/>
    <col min="32" max="32" width="22.85546875" bestFit="1" customWidth="1"/>
    <col min="33" max="33" width="32.7109375" bestFit="1" customWidth="1"/>
    <col min="34" max="34" width="35.85546875" bestFit="1" customWidth="1"/>
    <col min="35" max="35" width="40.7109375" bestFit="1" customWidth="1"/>
    <col min="36" max="36" width="22" bestFit="1" customWidth="1"/>
    <col min="37" max="37" width="29.5703125" bestFit="1" customWidth="1"/>
    <col min="38" max="38" width="18.7109375" bestFit="1" customWidth="1"/>
    <col min="39" max="39" width="19.28515625" bestFit="1" customWidth="1"/>
    <col min="40" max="40" width="16.42578125" bestFit="1" customWidth="1"/>
    <col min="41" max="41" width="22" bestFit="1" customWidth="1"/>
    <col min="42" max="42" width="34" bestFit="1" customWidth="1"/>
    <col min="43" max="43" width="36.42578125" bestFit="1" customWidth="1"/>
    <col min="44" max="44" width="41.28515625" bestFit="1" customWidth="1"/>
    <col min="45" max="45" width="23.42578125" bestFit="1" customWidth="1"/>
    <col min="46" max="46" width="30.85546875" bestFit="1" customWidth="1"/>
    <col min="47" max="47" width="19.85546875" bestFit="1" customWidth="1"/>
    <col min="48" max="48" width="39" bestFit="1" customWidth="1"/>
    <col min="49" max="49" width="43.7109375" bestFit="1" customWidth="1"/>
    <col min="50" max="50" width="25.140625" bestFit="1" customWidth="1"/>
    <col min="51" max="51" width="32.7109375" bestFit="1" customWidth="1"/>
    <col min="52" max="52" width="21.5703125" bestFit="1" customWidth="1"/>
    <col min="53" max="53" width="18.7109375" bestFit="1" customWidth="1"/>
    <col min="54" max="54" width="15.7109375" bestFit="1" customWidth="1"/>
    <col min="55" max="55" width="22" bestFit="1" customWidth="1"/>
    <col min="56" max="56" width="33.28515625" bestFit="1" customWidth="1"/>
    <col min="57" max="57" width="33.7109375" bestFit="1" customWidth="1"/>
    <col min="58" max="58" width="32" bestFit="1" customWidth="1"/>
    <col min="59" max="59" width="22.5703125" bestFit="1" customWidth="1"/>
    <col min="60" max="60" width="30.140625" bestFit="1" customWidth="1"/>
    <col min="61" max="61" width="19.28515625" bestFit="1" customWidth="1"/>
    <col min="62" max="62" width="22.28515625" bestFit="1" customWidth="1"/>
    <col min="63" max="63" width="19.85546875" bestFit="1" customWidth="1"/>
    <col min="64" max="64" width="20.28515625" bestFit="1" customWidth="1"/>
    <col min="65" max="65" width="17.28515625" bestFit="1" customWidth="1"/>
    <col min="66" max="66" width="18.7109375" bestFit="1" customWidth="1"/>
    <col min="67" max="67" width="34.85546875" bestFit="1" customWidth="1"/>
    <col min="68" max="68" width="28.42578125" bestFit="1" customWidth="1"/>
    <col min="69" max="69" width="33.28515625" bestFit="1" customWidth="1"/>
    <col min="70" max="70" width="24.28515625" bestFit="1" customWidth="1"/>
    <col min="71" max="71" width="31.7109375" bestFit="1" customWidth="1"/>
    <col min="72" max="72" width="20.85546875" bestFit="1" customWidth="1"/>
    <col min="73" max="73" width="34.28515625" bestFit="1" customWidth="1"/>
    <col min="74" max="74" width="30.85546875" bestFit="1" customWidth="1"/>
    <col min="75" max="75" width="29.28515625" bestFit="1" customWidth="1"/>
    <col min="76" max="76" width="45.42578125" bestFit="1" customWidth="1"/>
    <col min="77" max="77" width="48.140625" bestFit="1" customWidth="1"/>
    <col min="78" max="78" width="30.140625" bestFit="1" customWidth="1"/>
    <col min="79" max="79" width="31.42578125" bestFit="1" customWidth="1"/>
    <col min="80" max="80" width="47.85546875" bestFit="1" customWidth="1"/>
    <col min="81" max="81" width="41.42578125" bestFit="1" customWidth="1"/>
    <col min="82" max="82" width="31.7109375" bestFit="1" customWidth="1"/>
    <col min="83" max="83" width="32.7109375" bestFit="1" customWidth="1"/>
    <col min="84" max="84" width="30.85546875" bestFit="1" customWidth="1"/>
    <col min="85" max="85" width="47.28515625" bestFit="1" customWidth="1"/>
    <col min="86" max="86" width="49.7109375" bestFit="1" customWidth="1"/>
    <col min="87" max="87" width="31.7109375" bestFit="1" customWidth="1"/>
    <col min="88" max="88" width="33.28515625" bestFit="1" customWidth="1"/>
    <col min="89" max="89" width="49.5703125" bestFit="1" customWidth="1"/>
    <col min="90" max="90" width="43.28515625" bestFit="1" customWidth="1"/>
    <col min="91" max="91" width="33.7109375" bestFit="1" customWidth="1"/>
    <col min="92" max="92" width="31.7109375" bestFit="1" customWidth="1"/>
    <col min="93" max="93" width="30.140625" bestFit="1" customWidth="1"/>
    <col min="94" max="94" width="46.5703125" bestFit="1" customWidth="1"/>
    <col min="95" max="95" width="40.42578125" bestFit="1" customWidth="1"/>
    <col min="96" max="96" width="42.140625" bestFit="1" customWidth="1"/>
    <col min="97" max="97" width="32.5703125" bestFit="1" customWidth="1"/>
    <col min="98" max="98" width="35.7109375" bestFit="1" customWidth="1"/>
    <col min="99" max="99" width="33.28515625" bestFit="1" customWidth="1"/>
    <col min="100" max="100" width="33.7109375" bestFit="1" customWidth="1"/>
    <col min="101" max="101" width="31.7109375" bestFit="1" customWidth="1"/>
    <col min="102" max="102" width="48.28515625" bestFit="1" customWidth="1"/>
    <col min="103" max="103" width="41.7109375" bestFit="1" customWidth="1"/>
    <col min="104" max="104" width="32.85546875" bestFit="1" customWidth="1"/>
    <col min="105" max="105" width="34.28515625" bestFit="1" customWidth="1"/>
    <col min="106" max="106" width="25.28515625" bestFit="1" customWidth="1"/>
    <col min="107" max="107" width="29" bestFit="1" customWidth="1"/>
    <col min="108" max="109" width="255.7109375" bestFit="1" customWidth="1"/>
  </cols>
  <sheetData>
    <row r="1" spans="1:112" ht="43.15">
      <c r="A1" s="1" t="s">
        <v>56</v>
      </c>
      <c r="B1" s="1" t="s">
        <v>57</v>
      </c>
      <c r="C1" s="1" t="s">
        <v>58</v>
      </c>
      <c r="D1" s="1" t="s">
        <v>59</v>
      </c>
      <c r="E1" s="1" t="s">
        <v>60</v>
      </c>
      <c r="F1" s="1" t="s">
        <v>61</v>
      </c>
      <c r="G1" s="1" t="s">
        <v>62</v>
      </c>
      <c r="H1" s="1" t="s">
        <v>63</v>
      </c>
      <c r="I1" s="1" t="s">
        <v>64</v>
      </c>
      <c r="J1" s="1" t="s">
        <v>65</v>
      </c>
      <c r="K1" s="1" t="s">
        <v>66</v>
      </c>
      <c r="L1" s="1" t="s">
        <v>67</v>
      </c>
      <c r="M1" s="1" t="s">
        <v>68</v>
      </c>
      <c r="N1" s="1" t="s">
        <v>69</v>
      </c>
      <c r="O1" s="1" t="s">
        <v>70</v>
      </c>
      <c r="P1" s="1" t="s">
        <v>71</v>
      </c>
      <c r="Q1" s="1" t="s">
        <v>72</v>
      </c>
      <c r="R1" s="1" t="s">
        <v>73</v>
      </c>
      <c r="S1" s="1" t="s">
        <v>74</v>
      </c>
      <c r="T1" s="1" t="s">
        <v>75</v>
      </c>
      <c r="U1" s="1" t="s">
        <v>76</v>
      </c>
      <c r="V1" s="1" t="s">
        <v>77</v>
      </c>
      <c r="W1" s="1" t="s">
        <v>78</v>
      </c>
      <c r="X1" s="1" t="s">
        <v>79</v>
      </c>
      <c r="Y1" s="1" t="s">
        <v>80</v>
      </c>
      <c r="Z1" s="1" t="s">
        <v>81</v>
      </c>
      <c r="AA1" s="1" t="s">
        <v>82</v>
      </c>
      <c r="AB1" s="1" t="s">
        <v>83</v>
      </c>
      <c r="AC1" s="1" t="s">
        <v>84</v>
      </c>
      <c r="AD1" s="1" t="s">
        <v>85</v>
      </c>
      <c r="AE1" s="1" t="s">
        <v>86</v>
      </c>
      <c r="AF1" s="1" t="s">
        <v>87</v>
      </c>
      <c r="AG1" s="1" t="s">
        <v>88</v>
      </c>
      <c r="AH1" s="1" t="s">
        <v>89</v>
      </c>
      <c r="AI1" s="1" t="s">
        <v>90</v>
      </c>
      <c r="AJ1" s="1" t="s">
        <v>91</v>
      </c>
      <c r="AK1" s="1" t="s">
        <v>92</v>
      </c>
      <c r="AL1" s="1" t="s">
        <v>93</v>
      </c>
      <c r="AM1" s="1" t="s">
        <v>94</v>
      </c>
      <c r="AN1" s="1" t="s">
        <v>95</v>
      </c>
      <c r="AO1" s="1" t="s">
        <v>96</v>
      </c>
      <c r="AP1" s="1" t="s">
        <v>97</v>
      </c>
      <c r="AQ1" s="1" t="s">
        <v>98</v>
      </c>
      <c r="AR1" s="1" t="s">
        <v>99</v>
      </c>
      <c r="AS1" s="1" t="s">
        <v>100</v>
      </c>
      <c r="AT1" s="1" t="s">
        <v>101</v>
      </c>
      <c r="AU1" s="1" t="s">
        <v>102</v>
      </c>
      <c r="AV1" s="1" t="s">
        <v>103</v>
      </c>
      <c r="AW1" s="1" t="s">
        <v>104</v>
      </c>
      <c r="AX1" s="1" t="s">
        <v>105</v>
      </c>
      <c r="AY1" s="1" t="s">
        <v>106</v>
      </c>
      <c r="AZ1" s="1" t="s">
        <v>107</v>
      </c>
      <c r="BA1" s="1" t="s">
        <v>108</v>
      </c>
      <c r="BB1" s="1" t="s">
        <v>109</v>
      </c>
      <c r="BC1" s="1" t="s">
        <v>110</v>
      </c>
      <c r="BD1" s="1" t="s">
        <v>111</v>
      </c>
      <c r="BE1" s="1" t="s">
        <v>112</v>
      </c>
      <c r="BF1" s="1" t="s">
        <v>113</v>
      </c>
      <c r="BG1" s="1" t="s">
        <v>114</v>
      </c>
      <c r="BH1" s="1" t="s">
        <v>115</v>
      </c>
      <c r="BI1" s="1" t="s">
        <v>116</v>
      </c>
      <c r="BJ1" s="1" t="s">
        <v>117</v>
      </c>
      <c r="BK1" s="1" t="s">
        <v>118</v>
      </c>
      <c r="BL1" s="1" t="s">
        <v>119</v>
      </c>
      <c r="BM1" s="1" t="s">
        <v>120</v>
      </c>
      <c r="BN1" s="1" t="s">
        <v>121</v>
      </c>
      <c r="BO1" s="1" t="s">
        <v>122</v>
      </c>
      <c r="BP1" s="1" t="s">
        <v>123</v>
      </c>
      <c r="BQ1" s="1" t="s">
        <v>124</v>
      </c>
      <c r="BR1" s="1" t="s">
        <v>125</v>
      </c>
      <c r="BS1" s="1" t="s">
        <v>126</v>
      </c>
      <c r="BT1" s="1" t="s">
        <v>127</v>
      </c>
      <c r="BU1" s="1" t="s">
        <v>128</v>
      </c>
      <c r="BV1" s="1" t="s">
        <v>129</v>
      </c>
      <c r="BW1" s="1" t="s">
        <v>130</v>
      </c>
      <c r="BX1" s="1" t="s">
        <v>131</v>
      </c>
      <c r="BY1" s="1" t="s">
        <v>132</v>
      </c>
      <c r="BZ1" s="1" t="s">
        <v>133</v>
      </c>
      <c r="CA1" s="1" t="s">
        <v>134</v>
      </c>
      <c r="CB1" s="1" t="s">
        <v>135</v>
      </c>
      <c r="CC1" s="1" t="s">
        <v>136</v>
      </c>
      <c r="CD1" s="1" t="s">
        <v>137</v>
      </c>
      <c r="CE1" s="1" t="s">
        <v>138</v>
      </c>
      <c r="CF1" s="1" t="s">
        <v>139</v>
      </c>
      <c r="CG1" s="1" t="s">
        <v>140</v>
      </c>
      <c r="CH1" s="1" t="s">
        <v>141</v>
      </c>
      <c r="CI1" s="1" t="s">
        <v>142</v>
      </c>
      <c r="CJ1" s="1" t="s">
        <v>143</v>
      </c>
      <c r="CK1" s="1" t="s">
        <v>144</v>
      </c>
      <c r="CL1" s="1" t="s">
        <v>145</v>
      </c>
      <c r="CM1" s="1" t="s">
        <v>146</v>
      </c>
      <c r="CN1" s="1" t="s">
        <v>147</v>
      </c>
      <c r="CO1" s="1" t="s">
        <v>148</v>
      </c>
      <c r="CP1" s="1" t="s">
        <v>149</v>
      </c>
      <c r="CQ1" s="1" t="s">
        <v>150</v>
      </c>
      <c r="CR1" s="1" t="s">
        <v>151</v>
      </c>
      <c r="CS1" s="1" t="s">
        <v>152</v>
      </c>
      <c r="CT1" s="1" t="s">
        <v>153</v>
      </c>
      <c r="CU1" s="1" t="s">
        <v>154</v>
      </c>
      <c r="CV1" s="1" t="s">
        <v>155</v>
      </c>
      <c r="CW1" s="1" t="s">
        <v>156</v>
      </c>
      <c r="CX1" s="1" t="s">
        <v>157</v>
      </c>
      <c r="CY1" s="1" t="s">
        <v>158</v>
      </c>
      <c r="CZ1" s="1" t="s">
        <v>159</v>
      </c>
      <c r="DA1" s="1" t="s">
        <v>160</v>
      </c>
      <c r="DB1" s="1" t="s">
        <v>161</v>
      </c>
      <c r="DC1" s="1" t="s">
        <v>162</v>
      </c>
      <c r="DD1" s="1" t="s">
        <v>163</v>
      </c>
      <c r="DE1" s="1" t="s">
        <v>164</v>
      </c>
      <c r="DF1" s="1" t="s">
        <v>165</v>
      </c>
      <c r="DG1" s="1" t="s">
        <v>166</v>
      </c>
      <c r="DH1" s="1" t="s">
        <v>167</v>
      </c>
    </row>
    <row r="2" spans="1:112">
      <c r="A2">
        <v>2</v>
      </c>
      <c r="B2" t="s">
        <v>168</v>
      </c>
      <c r="C2" t="s">
        <v>169</v>
      </c>
      <c r="D2">
        <v>2025</v>
      </c>
      <c r="E2" t="s">
        <v>170</v>
      </c>
      <c r="F2" t="s">
        <v>171</v>
      </c>
      <c r="G2" t="s">
        <v>172</v>
      </c>
      <c r="H2" t="s">
        <v>173</v>
      </c>
      <c r="I2" t="s">
        <v>174</v>
      </c>
      <c r="J2" t="s">
        <v>173</v>
      </c>
      <c r="K2" t="s">
        <v>173</v>
      </c>
      <c r="L2" t="s">
        <v>173</v>
      </c>
      <c r="M2" t="s">
        <v>173</v>
      </c>
      <c r="N2" t="s">
        <v>173</v>
      </c>
      <c r="O2" t="s">
        <v>173</v>
      </c>
      <c r="P2" t="s">
        <v>173</v>
      </c>
      <c r="Q2" t="s">
        <v>173</v>
      </c>
      <c r="R2" t="s">
        <v>173</v>
      </c>
      <c r="S2" t="s">
        <v>173</v>
      </c>
      <c r="T2" t="s">
        <v>173</v>
      </c>
      <c r="U2" t="s">
        <v>173</v>
      </c>
      <c r="V2" t="s">
        <v>173</v>
      </c>
      <c r="W2" t="s">
        <v>173</v>
      </c>
      <c r="X2" t="s">
        <v>173</v>
      </c>
      <c r="Y2" t="s">
        <v>173</v>
      </c>
      <c r="Z2" t="s">
        <v>173</v>
      </c>
      <c r="AA2" t="s">
        <v>173</v>
      </c>
      <c r="AB2" t="s">
        <v>173</v>
      </c>
      <c r="AC2" t="s">
        <v>173</v>
      </c>
      <c r="AD2" t="s">
        <v>173</v>
      </c>
      <c r="AE2" t="s">
        <v>173</v>
      </c>
      <c r="AF2" t="s">
        <v>173</v>
      </c>
      <c r="AG2" t="s">
        <v>173</v>
      </c>
      <c r="AH2" t="s">
        <v>173</v>
      </c>
      <c r="AI2" t="s">
        <v>173</v>
      </c>
      <c r="AJ2" t="s">
        <v>173</v>
      </c>
      <c r="AK2" t="s">
        <v>173</v>
      </c>
      <c r="AL2" t="s">
        <v>173</v>
      </c>
      <c r="AM2" t="s">
        <v>173</v>
      </c>
      <c r="AN2" t="s">
        <v>173</v>
      </c>
      <c r="AO2" t="s">
        <v>173</v>
      </c>
      <c r="AP2" t="s">
        <v>173</v>
      </c>
      <c r="AQ2" t="s">
        <v>173</v>
      </c>
      <c r="AR2" t="s">
        <v>173</v>
      </c>
      <c r="AS2" t="s">
        <v>173</v>
      </c>
      <c r="AT2" t="s">
        <v>173</v>
      </c>
      <c r="AU2" t="s">
        <v>173</v>
      </c>
      <c r="AV2" t="s">
        <v>173</v>
      </c>
      <c r="AW2" t="s">
        <v>173</v>
      </c>
      <c r="AX2" t="s">
        <v>173</v>
      </c>
      <c r="AY2" t="s">
        <v>173</v>
      </c>
      <c r="AZ2" t="s">
        <v>173</v>
      </c>
      <c r="BA2" t="s">
        <v>173</v>
      </c>
      <c r="BB2" t="s">
        <v>173</v>
      </c>
      <c r="BC2" t="s">
        <v>173</v>
      </c>
      <c r="BD2" t="s">
        <v>173</v>
      </c>
      <c r="BE2" t="s">
        <v>173</v>
      </c>
      <c r="BF2" t="s">
        <v>173</v>
      </c>
      <c r="BG2" t="s">
        <v>173</v>
      </c>
      <c r="BH2" t="s">
        <v>173</v>
      </c>
      <c r="BI2" t="s">
        <v>173</v>
      </c>
      <c r="BJ2" t="s">
        <v>173</v>
      </c>
      <c r="BK2" t="s">
        <v>173</v>
      </c>
      <c r="BL2" t="s">
        <v>173</v>
      </c>
      <c r="BM2" t="s">
        <v>173</v>
      </c>
      <c r="BN2" t="s">
        <v>173</v>
      </c>
      <c r="BO2" t="s">
        <v>173</v>
      </c>
      <c r="BP2" t="s">
        <v>173</v>
      </c>
      <c r="BQ2" t="s">
        <v>173</v>
      </c>
      <c r="BR2" t="s">
        <v>173</v>
      </c>
      <c r="BS2" t="s">
        <v>173</v>
      </c>
      <c r="BT2" t="s">
        <v>173</v>
      </c>
      <c r="BU2" t="s">
        <v>173</v>
      </c>
      <c r="BV2" t="s">
        <v>173</v>
      </c>
      <c r="BX2" t="s">
        <v>173</v>
      </c>
      <c r="BY2" t="s">
        <v>173</v>
      </c>
      <c r="BZ2" t="s">
        <v>173</v>
      </c>
      <c r="CA2" t="s">
        <v>173</v>
      </c>
      <c r="CB2" t="s">
        <v>173</v>
      </c>
      <c r="CC2" t="s">
        <v>173</v>
      </c>
      <c r="CD2" t="s">
        <v>173</v>
      </c>
      <c r="CE2" t="s">
        <v>173</v>
      </c>
      <c r="CF2" t="s">
        <v>173</v>
      </c>
      <c r="CG2" t="s">
        <v>173</v>
      </c>
      <c r="CH2" t="s">
        <v>173</v>
      </c>
      <c r="CI2" t="s">
        <v>173</v>
      </c>
      <c r="CJ2" t="s">
        <v>173</v>
      </c>
      <c r="CK2" t="s">
        <v>173</v>
      </c>
      <c r="CL2" t="s">
        <v>173</v>
      </c>
      <c r="CM2" t="s">
        <v>173</v>
      </c>
      <c r="CN2" t="s">
        <v>173</v>
      </c>
      <c r="CO2" t="s">
        <v>173</v>
      </c>
      <c r="CP2" t="s">
        <v>173</v>
      </c>
      <c r="CQ2" t="s">
        <v>173</v>
      </c>
      <c r="CR2" t="s">
        <v>173</v>
      </c>
      <c r="CS2" t="s">
        <v>173</v>
      </c>
      <c r="CT2" t="s">
        <v>173</v>
      </c>
      <c r="CU2" t="s">
        <v>173</v>
      </c>
      <c r="CV2" t="s">
        <v>173</v>
      </c>
      <c r="CW2" t="s">
        <v>173</v>
      </c>
      <c r="CX2" t="s">
        <v>173</v>
      </c>
      <c r="CY2" t="s">
        <v>173</v>
      </c>
      <c r="CZ2" t="s">
        <v>173</v>
      </c>
      <c r="DA2" t="s">
        <v>173</v>
      </c>
      <c r="DB2" t="s">
        <v>173</v>
      </c>
      <c r="DC2" t="s">
        <v>173</v>
      </c>
      <c r="DD2" t="s">
        <v>173</v>
      </c>
      <c r="DE2" t="s">
        <v>173</v>
      </c>
      <c r="DF2" t="s">
        <v>173</v>
      </c>
      <c r="DG2" t="s">
        <v>173</v>
      </c>
      <c r="DH2" t="s">
        <v>173</v>
      </c>
    </row>
    <row r="3" spans="1:112">
      <c r="A3">
        <v>3</v>
      </c>
      <c r="B3" t="s">
        <v>175</v>
      </c>
      <c r="C3" t="s">
        <v>176</v>
      </c>
      <c r="D3">
        <v>2025</v>
      </c>
      <c r="E3" t="s">
        <v>177</v>
      </c>
      <c r="F3" t="s">
        <v>178</v>
      </c>
      <c r="G3" t="s">
        <v>172</v>
      </c>
      <c r="H3" t="s">
        <v>173</v>
      </c>
      <c r="I3" t="s">
        <v>174</v>
      </c>
      <c r="J3" t="s">
        <v>173</v>
      </c>
      <c r="K3" t="s">
        <v>173</v>
      </c>
      <c r="L3" t="s">
        <v>173</v>
      </c>
      <c r="M3" t="s">
        <v>173</v>
      </c>
      <c r="N3" t="s">
        <v>173</v>
      </c>
      <c r="O3" t="s">
        <v>173</v>
      </c>
      <c r="P3" t="s">
        <v>173</v>
      </c>
      <c r="Q3" t="s">
        <v>173</v>
      </c>
      <c r="R3" t="s">
        <v>173</v>
      </c>
      <c r="S3" t="s">
        <v>173</v>
      </c>
      <c r="T3" t="s">
        <v>173</v>
      </c>
      <c r="U3" t="s">
        <v>173</v>
      </c>
      <c r="V3" t="s">
        <v>173</v>
      </c>
      <c r="W3" t="s">
        <v>173</v>
      </c>
      <c r="X3" t="s">
        <v>173</v>
      </c>
      <c r="Y3" t="s">
        <v>173</v>
      </c>
      <c r="Z3" t="s">
        <v>173</v>
      </c>
      <c r="AA3" t="s">
        <v>173</v>
      </c>
      <c r="AB3" t="s">
        <v>173</v>
      </c>
      <c r="AC3" t="s">
        <v>173</v>
      </c>
      <c r="AD3" t="s">
        <v>173</v>
      </c>
      <c r="AE3" t="s">
        <v>173</v>
      </c>
      <c r="AF3" t="s">
        <v>173</v>
      </c>
      <c r="AG3" t="s">
        <v>173</v>
      </c>
      <c r="AH3" t="s">
        <v>173</v>
      </c>
      <c r="AI3" t="s">
        <v>173</v>
      </c>
      <c r="AJ3" t="s">
        <v>173</v>
      </c>
      <c r="AK3" t="s">
        <v>173</v>
      </c>
      <c r="AL3" t="s">
        <v>173</v>
      </c>
      <c r="AM3" t="s">
        <v>173</v>
      </c>
      <c r="AN3" t="s">
        <v>173</v>
      </c>
      <c r="AO3" t="s">
        <v>173</v>
      </c>
      <c r="AP3" t="s">
        <v>173</v>
      </c>
      <c r="AQ3" t="s">
        <v>173</v>
      </c>
      <c r="AR3" t="s">
        <v>173</v>
      </c>
      <c r="AS3" t="s">
        <v>173</v>
      </c>
      <c r="AT3" t="s">
        <v>173</v>
      </c>
      <c r="AU3" t="s">
        <v>173</v>
      </c>
      <c r="AV3" t="s">
        <v>173</v>
      </c>
      <c r="AW3" t="s">
        <v>173</v>
      </c>
      <c r="AX3" t="s">
        <v>173</v>
      </c>
      <c r="AY3" t="s">
        <v>173</v>
      </c>
      <c r="AZ3" t="s">
        <v>173</v>
      </c>
      <c r="BA3" t="s">
        <v>173</v>
      </c>
      <c r="BB3" t="s">
        <v>173</v>
      </c>
      <c r="BC3" t="s">
        <v>173</v>
      </c>
      <c r="BD3" t="s">
        <v>173</v>
      </c>
      <c r="BE3" t="s">
        <v>173</v>
      </c>
      <c r="BF3" t="s">
        <v>173</v>
      </c>
      <c r="BG3" t="s">
        <v>173</v>
      </c>
      <c r="BH3" t="s">
        <v>173</v>
      </c>
      <c r="BI3" t="s">
        <v>173</v>
      </c>
      <c r="BJ3" t="s">
        <v>173</v>
      </c>
      <c r="BK3" t="s">
        <v>173</v>
      </c>
      <c r="BL3" t="s">
        <v>173</v>
      </c>
      <c r="BM3" t="s">
        <v>173</v>
      </c>
      <c r="BN3" t="s">
        <v>173</v>
      </c>
      <c r="BO3" t="s">
        <v>173</v>
      </c>
      <c r="BP3" t="s">
        <v>173</v>
      </c>
      <c r="BQ3" t="s">
        <v>173</v>
      </c>
      <c r="BR3" t="s">
        <v>173</v>
      </c>
      <c r="BS3" t="s">
        <v>173</v>
      </c>
      <c r="BT3" t="s">
        <v>173</v>
      </c>
      <c r="BU3" t="s">
        <v>173</v>
      </c>
      <c r="BV3" t="s">
        <v>173</v>
      </c>
      <c r="BX3" t="s">
        <v>173</v>
      </c>
      <c r="BY3" t="s">
        <v>173</v>
      </c>
      <c r="BZ3" t="s">
        <v>173</v>
      </c>
      <c r="CA3" t="s">
        <v>173</v>
      </c>
      <c r="CB3" t="s">
        <v>173</v>
      </c>
      <c r="CC3" t="s">
        <v>173</v>
      </c>
      <c r="CD3" t="s">
        <v>173</v>
      </c>
      <c r="CE3" t="s">
        <v>173</v>
      </c>
      <c r="CF3" t="s">
        <v>173</v>
      </c>
      <c r="CG3" t="s">
        <v>173</v>
      </c>
      <c r="CH3" t="s">
        <v>173</v>
      </c>
      <c r="CI3" t="s">
        <v>173</v>
      </c>
      <c r="CJ3" t="s">
        <v>173</v>
      </c>
      <c r="CK3" t="s">
        <v>173</v>
      </c>
      <c r="CL3" t="s">
        <v>173</v>
      </c>
      <c r="CM3" t="s">
        <v>173</v>
      </c>
      <c r="CN3" t="s">
        <v>173</v>
      </c>
      <c r="CO3" t="s">
        <v>173</v>
      </c>
      <c r="CP3" t="s">
        <v>173</v>
      </c>
      <c r="CQ3" t="s">
        <v>173</v>
      </c>
      <c r="CR3" t="s">
        <v>173</v>
      </c>
      <c r="CS3" t="s">
        <v>173</v>
      </c>
      <c r="CT3" t="s">
        <v>173</v>
      </c>
      <c r="CU3" t="s">
        <v>173</v>
      </c>
      <c r="CV3" t="s">
        <v>173</v>
      </c>
      <c r="CW3" t="s">
        <v>173</v>
      </c>
      <c r="CX3" t="s">
        <v>173</v>
      </c>
      <c r="CY3" t="s">
        <v>173</v>
      </c>
      <c r="CZ3" t="s">
        <v>173</v>
      </c>
      <c r="DA3" t="s">
        <v>173</v>
      </c>
      <c r="DB3" t="s">
        <v>173</v>
      </c>
      <c r="DC3" t="s">
        <v>173</v>
      </c>
      <c r="DD3" t="s">
        <v>173</v>
      </c>
      <c r="DE3" t="s">
        <v>173</v>
      </c>
      <c r="DF3" t="s">
        <v>173</v>
      </c>
      <c r="DG3" t="s">
        <v>173</v>
      </c>
      <c r="DH3" t="s">
        <v>173</v>
      </c>
    </row>
    <row r="4" spans="1:112">
      <c r="A4">
        <v>4</v>
      </c>
      <c r="B4" t="s">
        <v>179</v>
      </c>
      <c r="C4" t="s">
        <v>180</v>
      </c>
      <c r="D4">
        <v>2025</v>
      </c>
      <c r="E4" t="s">
        <v>181</v>
      </c>
      <c r="F4" t="s">
        <v>182</v>
      </c>
      <c r="G4" t="s">
        <v>172</v>
      </c>
      <c r="H4" t="s">
        <v>173</v>
      </c>
      <c r="I4" t="s">
        <v>174</v>
      </c>
      <c r="J4" t="s">
        <v>173</v>
      </c>
      <c r="K4" t="s">
        <v>173</v>
      </c>
      <c r="L4" t="s">
        <v>173</v>
      </c>
      <c r="M4" t="s">
        <v>173</v>
      </c>
      <c r="N4" t="s">
        <v>173</v>
      </c>
      <c r="O4" t="s">
        <v>173</v>
      </c>
      <c r="P4" t="s">
        <v>173</v>
      </c>
      <c r="Q4" t="s">
        <v>173</v>
      </c>
      <c r="R4" t="s">
        <v>173</v>
      </c>
      <c r="S4" t="s">
        <v>173</v>
      </c>
      <c r="T4" t="s">
        <v>173</v>
      </c>
      <c r="U4" t="s">
        <v>173</v>
      </c>
      <c r="V4" t="s">
        <v>173</v>
      </c>
      <c r="W4" t="s">
        <v>173</v>
      </c>
      <c r="X4" t="s">
        <v>173</v>
      </c>
      <c r="Y4" t="s">
        <v>173</v>
      </c>
      <c r="Z4" t="s">
        <v>173</v>
      </c>
      <c r="AA4" t="s">
        <v>173</v>
      </c>
      <c r="AB4" t="s">
        <v>173</v>
      </c>
      <c r="AC4" t="s">
        <v>173</v>
      </c>
      <c r="AD4" t="s">
        <v>173</v>
      </c>
      <c r="AE4" t="s">
        <v>173</v>
      </c>
      <c r="AF4" t="s">
        <v>173</v>
      </c>
      <c r="AG4" t="s">
        <v>173</v>
      </c>
      <c r="AH4" t="s">
        <v>173</v>
      </c>
      <c r="AI4" t="s">
        <v>173</v>
      </c>
      <c r="AJ4" t="s">
        <v>173</v>
      </c>
      <c r="AK4" t="s">
        <v>173</v>
      </c>
      <c r="AL4" t="s">
        <v>173</v>
      </c>
      <c r="AM4" t="s">
        <v>173</v>
      </c>
      <c r="AN4" t="s">
        <v>173</v>
      </c>
      <c r="AO4" t="s">
        <v>173</v>
      </c>
      <c r="AP4" t="s">
        <v>173</v>
      </c>
      <c r="AQ4" t="s">
        <v>173</v>
      </c>
      <c r="AR4" t="s">
        <v>173</v>
      </c>
      <c r="AS4" t="s">
        <v>173</v>
      </c>
      <c r="AT4" t="s">
        <v>173</v>
      </c>
      <c r="AU4" t="s">
        <v>173</v>
      </c>
      <c r="AV4" t="s">
        <v>173</v>
      </c>
      <c r="AW4" t="s">
        <v>173</v>
      </c>
      <c r="AX4" t="s">
        <v>173</v>
      </c>
      <c r="AY4" t="s">
        <v>173</v>
      </c>
      <c r="AZ4" t="s">
        <v>173</v>
      </c>
      <c r="BA4" t="s">
        <v>173</v>
      </c>
      <c r="BB4" t="s">
        <v>173</v>
      </c>
      <c r="BC4" t="s">
        <v>173</v>
      </c>
      <c r="BD4" t="s">
        <v>173</v>
      </c>
      <c r="BE4" t="s">
        <v>173</v>
      </c>
      <c r="BF4" t="s">
        <v>173</v>
      </c>
      <c r="BG4" t="s">
        <v>173</v>
      </c>
      <c r="BH4" t="s">
        <v>173</v>
      </c>
      <c r="BI4" t="s">
        <v>173</v>
      </c>
      <c r="BJ4" t="s">
        <v>173</v>
      </c>
      <c r="BK4" t="s">
        <v>173</v>
      </c>
      <c r="BL4" t="s">
        <v>173</v>
      </c>
      <c r="BM4" t="s">
        <v>173</v>
      </c>
      <c r="BN4" t="s">
        <v>173</v>
      </c>
      <c r="BO4" t="s">
        <v>173</v>
      </c>
      <c r="BP4" t="s">
        <v>173</v>
      </c>
      <c r="BQ4" t="s">
        <v>173</v>
      </c>
      <c r="BR4" t="s">
        <v>173</v>
      </c>
      <c r="BS4" t="s">
        <v>173</v>
      </c>
      <c r="BT4" t="s">
        <v>173</v>
      </c>
      <c r="BU4" t="s">
        <v>173</v>
      </c>
      <c r="BV4" t="s">
        <v>173</v>
      </c>
      <c r="BX4" t="s">
        <v>173</v>
      </c>
      <c r="BY4" t="s">
        <v>173</v>
      </c>
      <c r="BZ4" t="s">
        <v>173</v>
      </c>
      <c r="CA4" t="s">
        <v>173</v>
      </c>
      <c r="CB4" t="s">
        <v>173</v>
      </c>
      <c r="CC4" t="s">
        <v>173</v>
      </c>
      <c r="CD4" t="s">
        <v>173</v>
      </c>
      <c r="CE4" t="s">
        <v>173</v>
      </c>
      <c r="CF4" t="s">
        <v>173</v>
      </c>
      <c r="CG4" t="s">
        <v>173</v>
      </c>
      <c r="CH4" t="s">
        <v>173</v>
      </c>
      <c r="CI4" t="s">
        <v>173</v>
      </c>
      <c r="CJ4" t="s">
        <v>173</v>
      </c>
      <c r="CK4" t="s">
        <v>173</v>
      </c>
      <c r="CL4" t="s">
        <v>173</v>
      </c>
      <c r="CM4" t="s">
        <v>173</v>
      </c>
      <c r="CN4" t="s">
        <v>173</v>
      </c>
      <c r="CO4" t="s">
        <v>173</v>
      </c>
      <c r="CP4" t="s">
        <v>173</v>
      </c>
      <c r="CQ4" t="s">
        <v>173</v>
      </c>
      <c r="CR4" t="s">
        <v>173</v>
      </c>
      <c r="CS4" t="s">
        <v>173</v>
      </c>
      <c r="CT4" t="s">
        <v>173</v>
      </c>
      <c r="CU4" t="s">
        <v>173</v>
      </c>
      <c r="CV4" t="s">
        <v>173</v>
      </c>
      <c r="CW4" t="s">
        <v>173</v>
      </c>
      <c r="CX4" t="s">
        <v>173</v>
      </c>
      <c r="CY4" t="s">
        <v>173</v>
      </c>
      <c r="CZ4" t="s">
        <v>173</v>
      </c>
      <c r="DA4" t="s">
        <v>173</v>
      </c>
      <c r="DB4" t="s">
        <v>173</v>
      </c>
      <c r="DC4" t="s">
        <v>173</v>
      </c>
      <c r="DD4" t="s">
        <v>173</v>
      </c>
      <c r="DE4" t="s">
        <v>173</v>
      </c>
      <c r="DF4" t="s">
        <v>173</v>
      </c>
      <c r="DG4" t="s">
        <v>173</v>
      </c>
      <c r="DH4" t="s">
        <v>173</v>
      </c>
    </row>
    <row r="5" spans="1:112">
      <c r="A5">
        <v>6</v>
      </c>
      <c r="B5" t="s">
        <v>183</v>
      </c>
      <c r="C5" t="s">
        <v>184</v>
      </c>
      <c r="D5">
        <v>2025</v>
      </c>
      <c r="E5" t="s">
        <v>185</v>
      </c>
      <c r="F5" t="s">
        <v>186</v>
      </c>
      <c r="G5" t="s">
        <v>172</v>
      </c>
      <c r="H5">
        <v>0.71</v>
      </c>
      <c r="I5" t="s">
        <v>187</v>
      </c>
      <c r="J5" t="s">
        <v>173</v>
      </c>
      <c r="K5" t="s">
        <v>173</v>
      </c>
      <c r="L5" t="s">
        <v>173</v>
      </c>
      <c r="M5" t="s">
        <v>173</v>
      </c>
      <c r="N5" t="s">
        <v>173</v>
      </c>
      <c r="O5" t="s">
        <v>173</v>
      </c>
      <c r="P5" t="s">
        <v>173</v>
      </c>
      <c r="Q5" t="s">
        <v>173</v>
      </c>
      <c r="R5" t="s">
        <v>173</v>
      </c>
      <c r="S5" t="s">
        <v>173</v>
      </c>
      <c r="T5" t="s">
        <v>173</v>
      </c>
      <c r="U5" t="s">
        <v>173</v>
      </c>
      <c r="V5" t="s">
        <v>173</v>
      </c>
      <c r="W5" t="s">
        <v>173</v>
      </c>
      <c r="X5" t="s">
        <v>173</v>
      </c>
      <c r="Y5" t="s">
        <v>173</v>
      </c>
      <c r="Z5" t="s">
        <v>173</v>
      </c>
      <c r="AA5" t="s">
        <v>173</v>
      </c>
      <c r="AB5" t="s">
        <v>173</v>
      </c>
      <c r="AC5" t="s">
        <v>173</v>
      </c>
      <c r="AD5" t="s">
        <v>173</v>
      </c>
      <c r="AE5" t="s">
        <v>173</v>
      </c>
      <c r="AF5" t="s">
        <v>173</v>
      </c>
      <c r="AG5" t="s">
        <v>173</v>
      </c>
      <c r="AH5" t="s">
        <v>173</v>
      </c>
      <c r="AI5" t="s">
        <v>173</v>
      </c>
      <c r="AJ5" t="s">
        <v>173</v>
      </c>
      <c r="AK5" t="s">
        <v>173</v>
      </c>
      <c r="AL5" t="s">
        <v>173</v>
      </c>
      <c r="AM5" t="s">
        <v>173</v>
      </c>
      <c r="AN5" t="s">
        <v>173</v>
      </c>
      <c r="AO5" t="s">
        <v>173</v>
      </c>
      <c r="AP5" t="s">
        <v>173</v>
      </c>
      <c r="AQ5" t="s">
        <v>173</v>
      </c>
      <c r="AR5" t="s">
        <v>173</v>
      </c>
      <c r="AS5" t="s">
        <v>173</v>
      </c>
      <c r="AT5" t="s">
        <v>173</v>
      </c>
      <c r="AU5" t="s">
        <v>173</v>
      </c>
      <c r="AV5" t="s">
        <v>173</v>
      </c>
      <c r="AW5" t="s">
        <v>173</v>
      </c>
      <c r="AX5" t="s">
        <v>173</v>
      </c>
      <c r="AY5" t="s">
        <v>173</v>
      </c>
      <c r="AZ5" t="s">
        <v>173</v>
      </c>
      <c r="BA5" t="s">
        <v>173</v>
      </c>
      <c r="BB5" t="s">
        <v>173</v>
      </c>
      <c r="BC5" t="s">
        <v>173</v>
      </c>
      <c r="BD5" t="s">
        <v>173</v>
      </c>
      <c r="BE5" t="s">
        <v>173</v>
      </c>
      <c r="BF5" t="s">
        <v>173</v>
      </c>
      <c r="BG5" t="s">
        <v>173</v>
      </c>
      <c r="BH5" t="s">
        <v>173</v>
      </c>
      <c r="BI5" t="s">
        <v>173</v>
      </c>
      <c r="BJ5" t="s">
        <v>173</v>
      </c>
      <c r="BK5" t="s">
        <v>173</v>
      </c>
      <c r="BL5" t="s">
        <v>173</v>
      </c>
      <c r="BM5" t="s">
        <v>173</v>
      </c>
      <c r="BN5" t="s">
        <v>173</v>
      </c>
      <c r="BO5" t="s">
        <v>173</v>
      </c>
      <c r="BP5" t="s">
        <v>173</v>
      </c>
      <c r="BQ5" t="s">
        <v>173</v>
      </c>
      <c r="BR5" t="s">
        <v>173</v>
      </c>
      <c r="BS5" t="s">
        <v>173</v>
      </c>
      <c r="BT5" t="s">
        <v>173</v>
      </c>
      <c r="BU5" t="s">
        <v>173</v>
      </c>
      <c r="BV5" t="s">
        <v>173</v>
      </c>
      <c r="BX5" t="s">
        <v>173</v>
      </c>
      <c r="BY5" t="s">
        <v>173</v>
      </c>
      <c r="BZ5" t="s">
        <v>173</v>
      </c>
      <c r="CA5" t="s">
        <v>173</v>
      </c>
      <c r="CB5" t="s">
        <v>173</v>
      </c>
      <c r="CC5" t="s">
        <v>173</v>
      </c>
      <c r="CD5" t="s">
        <v>173</v>
      </c>
      <c r="CE5" t="s">
        <v>173</v>
      </c>
      <c r="CF5" t="s">
        <v>173</v>
      </c>
      <c r="CG5" t="s">
        <v>173</v>
      </c>
      <c r="CH5" t="s">
        <v>173</v>
      </c>
      <c r="CI5" t="s">
        <v>173</v>
      </c>
      <c r="CJ5" t="s">
        <v>173</v>
      </c>
      <c r="CK5" t="s">
        <v>173</v>
      </c>
      <c r="CL5" t="s">
        <v>173</v>
      </c>
      <c r="CM5" t="s">
        <v>173</v>
      </c>
      <c r="CN5" t="s">
        <v>173</v>
      </c>
      <c r="CO5" t="s">
        <v>173</v>
      </c>
      <c r="CP5" t="s">
        <v>173</v>
      </c>
      <c r="CQ5" t="s">
        <v>173</v>
      </c>
      <c r="CR5" t="s">
        <v>173</v>
      </c>
      <c r="CS5" t="s">
        <v>173</v>
      </c>
      <c r="CT5" t="s">
        <v>173</v>
      </c>
      <c r="CU5" t="s">
        <v>173</v>
      </c>
      <c r="CV5" t="s">
        <v>173</v>
      </c>
      <c r="CW5" t="s">
        <v>173</v>
      </c>
      <c r="CX5" t="s">
        <v>173</v>
      </c>
      <c r="CY5" t="s">
        <v>173</v>
      </c>
      <c r="CZ5" t="s">
        <v>173</v>
      </c>
      <c r="DA5" t="s">
        <v>173</v>
      </c>
      <c r="DB5" t="s">
        <v>173</v>
      </c>
      <c r="DC5" t="s">
        <v>173</v>
      </c>
      <c r="DD5" t="s">
        <v>173</v>
      </c>
      <c r="DE5" t="s">
        <v>173</v>
      </c>
      <c r="DF5" t="s">
        <v>173</v>
      </c>
      <c r="DG5" t="s">
        <v>173</v>
      </c>
      <c r="DH5" t="s">
        <v>173</v>
      </c>
    </row>
    <row r="6" spans="1:112">
      <c r="A6">
        <v>6</v>
      </c>
      <c r="B6" t="s">
        <v>183</v>
      </c>
      <c r="C6" t="s">
        <v>184</v>
      </c>
      <c r="D6">
        <v>2025</v>
      </c>
      <c r="E6" t="s">
        <v>185</v>
      </c>
      <c r="F6" t="s">
        <v>186</v>
      </c>
      <c r="G6" t="s">
        <v>172</v>
      </c>
      <c r="H6">
        <v>0.71</v>
      </c>
      <c r="I6" t="s">
        <v>187</v>
      </c>
      <c r="J6" t="s">
        <v>173</v>
      </c>
      <c r="K6" t="s">
        <v>173</v>
      </c>
      <c r="L6" t="s">
        <v>173</v>
      </c>
      <c r="M6" t="s">
        <v>173</v>
      </c>
      <c r="N6" t="s">
        <v>173</v>
      </c>
      <c r="O6" t="s">
        <v>173</v>
      </c>
      <c r="P6" t="s">
        <v>173</v>
      </c>
      <c r="Q6" t="s">
        <v>173</v>
      </c>
      <c r="R6" t="s">
        <v>173</v>
      </c>
      <c r="S6" t="s">
        <v>173</v>
      </c>
      <c r="T6" t="s">
        <v>173</v>
      </c>
      <c r="U6" t="s">
        <v>173</v>
      </c>
      <c r="V6" t="s">
        <v>173</v>
      </c>
      <c r="W6" t="s">
        <v>173</v>
      </c>
      <c r="X6" t="s">
        <v>173</v>
      </c>
      <c r="Y6" t="s">
        <v>173</v>
      </c>
      <c r="Z6" t="s">
        <v>173</v>
      </c>
      <c r="AA6" t="s">
        <v>173</v>
      </c>
      <c r="AB6" t="s">
        <v>173</v>
      </c>
      <c r="AC6" t="s">
        <v>173</v>
      </c>
      <c r="AD6" t="s">
        <v>173</v>
      </c>
      <c r="AE6" t="s">
        <v>173</v>
      </c>
      <c r="AF6" t="s">
        <v>173</v>
      </c>
      <c r="AG6" t="s">
        <v>173</v>
      </c>
      <c r="AH6" t="s">
        <v>173</v>
      </c>
      <c r="AI6" t="s">
        <v>173</v>
      </c>
      <c r="AJ6" t="s">
        <v>173</v>
      </c>
      <c r="AK6" t="s">
        <v>173</v>
      </c>
      <c r="AL6" t="s">
        <v>173</v>
      </c>
      <c r="AM6" t="s">
        <v>173</v>
      </c>
      <c r="AN6" t="s">
        <v>173</v>
      </c>
      <c r="AO6" t="s">
        <v>173</v>
      </c>
      <c r="AP6" t="s">
        <v>173</v>
      </c>
      <c r="AQ6" t="s">
        <v>173</v>
      </c>
      <c r="AR6" t="s">
        <v>173</v>
      </c>
      <c r="AS6" t="s">
        <v>173</v>
      </c>
      <c r="AT6" t="s">
        <v>173</v>
      </c>
      <c r="AU6" t="s">
        <v>173</v>
      </c>
      <c r="AV6" t="s">
        <v>173</v>
      </c>
      <c r="AW6" t="s">
        <v>173</v>
      </c>
      <c r="AX6" t="s">
        <v>173</v>
      </c>
      <c r="AY6" t="s">
        <v>173</v>
      </c>
      <c r="AZ6" t="s">
        <v>173</v>
      </c>
      <c r="BA6" t="s">
        <v>173</v>
      </c>
      <c r="BB6" t="s">
        <v>173</v>
      </c>
      <c r="BC6" t="s">
        <v>173</v>
      </c>
      <c r="BD6" t="s">
        <v>173</v>
      </c>
      <c r="BE6" t="s">
        <v>173</v>
      </c>
      <c r="BF6" t="s">
        <v>173</v>
      </c>
      <c r="BG6" t="s">
        <v>173</v>
      </c>
      <c r="BH6" t="s">
        <v>173</v>
      </c>
      <c r="BI6" t="s">
        <v>173</v>
      </c>
      <c r="BJ6" t="s">
        <v>173</v>
      </c>
      <c r="BK6" t="s">
        <v>173</v>
      </c>
      <c r="BL6" t="s">
        <v>173</v>
      </c>
      <c r="BM6" t="s">
        <v>173</v>
      </c>
      <c r="BN6" t="s">
        <v>173</v>
      </c>
      <c r="BO6" t="s">
        <v>173</v>
      </c>
      <c r="BP6" t="s">
        <v>173</v>
      </c>
      <c r="BQ6" t="s">
        <v>173</v>
      </c>
      <c r="BR6" t="s">
        <v>173</v>
      </c>
      <c r="BS6" t="s">
        <v>173</v>
      </c>
      <c r="BT6" t="s">
        <v>173</v>
      </c>
      <c r="BU6" t="s">
        <v>173</v>
      </c>
      <c r="BV6" t="s">
        <v>173</v>
      </c>
      <c r="BX6" t="s">
        <v>173</v>
      </c>
      <c r="BY6" t="s">
        <v>173</v>
      </c>
      <c r="BZ6" t="s">
        <v>173</v>
      </c>
      <c r="CA6" t="s">
        <v>173</v>
      </c>
      <c r="CB6" t="s">
        <v>173</v>
      </c>
      <c r="CC6" t="s">
        <v>173</v>
      </c>
      <c r="CD6" t="s">
        <v>173</v>
      </c>
      <c r="CE6" t="s">
        <v>173</v>
      </c>
      <c r="CF6" t="s">
        <v>173</v>
      </c>
      <c r="CG6" t="s">
        <v>173</v>
      </c>
      <c r="CH6" t="s">
        <v>173</v>
      </c>
      <c r="CI6" t="s">
        <v>173</v>
      </c>
      <c r="CJ6" t="s">
        <v>173</v>
      </c>
      <c r="CK6" t="s">
        <v>173</v>
      </c>
      <c r="CL6" t="s">
        <v>173</v>
      </c>
      <c r="CM6" t="s">
        <v>173</v>
      </c>
      <c r="CN6" t="s">
        <v>173</v>
      </c>
      <c r="CO6" t="s">
        <v>173</v>
      </c>
      <c r="CP6" t="s">
        <v>173</v>
      </c>
      <c r="CQ6" t="s">
        <v>173</v>
      </c>
      <c r="CR6" t="s">
        <v>173</v>
      </c>
      <c r="CS6" t="s">
        <v>173</v>
      </c>
      <c r="CT6" t="s">
        <v>173</v>
      </c>
      <c r="CU6" t="s">
        <v>173</v>
      </c>
      <c r="CV6" t="s">
        <v>173</v>
      </c>
      <c r="CW6" t="s">
        <v>173</v>
      </c>
      <c r="CX6" t="s">
        <v>173</v>
      </c>
      <c r="CY6" t="s">
        <v>173</v>
      </c>
      <c r="CZ6" t="s">
        <v>173</v>
      </c>
      <c r="DA6" t="s">
        <v>173</v>
      </c>
      <c r="DB6" t="s">
        <v>173</v>
      </c>
      <c r="DC6" t="s">
        <v>173</v>
      </c>
      <c r="DD6" t="s">
        <v>173</v>
      </c>
      <c r="DE6" t="s">
        <v>173</v>
      </c>
      <c r="DF6" t="s">
        <v>173</v>
      </c>
      <c r="DG6" t="s">
        <v>173</v>
      </c>
      <c r="DH6" t="s">
        <v>173</v>
      </c>
    </row>
    <row r="7" spans="1:112">
      <c r="A7">
        <v>6</v>
      </c>
      <c r="B7" t="s">
        <v>183</v>
      </c>
      <c r="C7" t="s">
        <v>184</v>
      </c>
      <c r="D7">
        <v>2025</v>
      </c>
      <c r="E7" t="s">
        <v>185</v>
      </c>
      <c r="F7" t="s">
        <v>186</v>
      </c>
      <c r="G7" t="s">
        <v>172</v>
      </c>
      <c r="H7">
        <v>0.71</v>
      </c>
      <c r="I7" t="s">
        <v>187</v>
      </c>
      <c r="J7" t="s">
        <v>173</v>
      </c>
      <c r="K7" t="s">
        <v>173</v>
      </c>
      <c r="L7" t="s">
        <v>173</v>
      </c>
      <c r="M7" t="s">
        <v>173</v>
      </c>
      <c r="N7" t="s">
        <v>173</v>
      </c>
      <c r="O7" t="s">
        <v>173</v>
      </c>
      <c r="P7" t="s">
        <v>173</v>
      </c>
      <c r="Q7" t="s">
        <v>173</v>
      </c>
      <c r="R7" t="s">
        <v>173</v>
      </c>
      <c r="S7" t="s">
        <v>173</v>
      </c>
      <c r="T7" t="s">
        <v>173</v>
      </c>
      <c r="U7" t="s">
        <v>173</v>
      </c>
      <c r="V7" t="s">
        <v>173</v>
      </c>
      <c r="W7" t="s">
        <v>173</v>
      </c>
      <c r="X7" t="s">
        <v>173</v>
      </c>
      <c r="Y7" t="s">
        <v>173</v>
      </c>
      <c r="Z7" t="s">
        <v>173</v>
      </c>
      <c r="AA7" t="s">
        <v>173</v>
      </c>
      <c r="AB7" t="s">
        <v>173</v>
      </c>
      <c r="AC7" t="s">
        <v>173</v>
      </c>
      <c r="AD7" t="s">
        <v>173</v>
      </c>
      <c r="AE7" t="s">
        <v>173</v>
      </c>
      <c r="AF7" t="s">
        <v>173</v>
      </c>
      <c r="AG7" t="s">
        <v>173</v>
      </c>
      <c r="AH7" t="s">
        <v>173</v>
      </c>
      <c r="AI7" t="s">
        <v>173</v>
      </c>
      <c r="AJ7" t="s">
        <v>173</v>
      </c>
      <c r="AK7" t="s">
        <v>173</v>
      </c>
      <c r="AL7" t="s">
        <v>173</v>
      </c>
      <c r="AM7" t="s">
        <v>173</v>
      </c>
      <c r="AN7" t="s">
        <v>173</v>
      </c>
      <c r="AO7" t="s">
        <v>173</v>
      </c>
      <c r="AP7" t="s">
        <v>173</v>
      </c>
      <c r="AQ7" t="s">
        <v>173</v>
      </c>
      <c r="AR7" t="s">
        <v>173</v>
      </c>
      <c r="AS7" t="s">
        <v>173</v>
      </c>
      <c r="AT7" t="s">
        <v>173</v>
      </c>
      <c r="AU7" t="s">
        <v>173</v>
      </c>
      <c r="AV7" t="s">
        <v>173</v>
      </c>
      <c r="AW7" t="s">
        <v>173</v>
      </c>
      <c r="AX7" t="s">
        <v>173</v>
      </c>
      <c r="AY7" t="s">
        <v>173</v>
      </c>
      <c r="AZ7" t="s">
        <v>173</v>
      </c>
      <c r="BA7" t="s">
        <v>173</v>
      </c>
      <c r="BB7" t="s">
        <v>173</v>
      </c>
      <c r="BC7" t="s">
        <v>173</v>
      </c>
      <c r="BD7" t="s">
        <v>173</v>
      </c>
      <c r="BE7" t="s">
        <v>173</v>
      </c>
      <c r="BF7" t="s">
        <v>173</v>
      </c>
      <c r="BG7" t="s">
        <v>173</v>
      </c>
      <c r="BH7" t="s">
        <v>173</v>
      </c>
      <c r="BI7" t="s">
        <v>173</v>
      </c>
      <c r="BJ7" t="s">
        <v>173</v>
      </c>
      <c r="BK7" t="s">
        <v>173</v>
      </c>
      <c r="BL7" t="s">
        <v>173</v>
      </c>
      <c r="BM7" t="s">
        <v>173</v>
      </c>
      <c r="BN7" t="s">
        <v>173</v>
      </c>
      <c r="BO7" t="s">
        <v>173</v>
      </c>
      <c r="BP7" t="s">
        <v>173</v>
      </c>
      <c r="BQ7" t="s">
        <v>173</v>
      </c>
      <c r="BR7" t="s">
        <v>173</v>
      </c>
      <c r="BS7" t="s">
        <v>173</v>
      </c>
      <c r="BT7" t="s">
        <v>173</v>
      </c>
      <c r="BU7" t="s">
        <v>173</v>
      </c>
      <c r="BV7" t="s">
        <v>173</v>
      </c>
      <c r="BX7" t="s">
        <v>173</v>
      </c>
      <c r="BY7" t="s">
        <v>173</v>
      </c>
      <c r="BZ7" t="s">
        <v>173</v>
      </c>
      <c r="CA7" t="s">
        <v>173</v>
      </c>
      <c r="CB7" t="s">
        <v>173</v>
      </c>
      <c r="CC7" t="s">
        <v>173</v>
      </c>
      <c r="CD7" t="s">
        <v>173</v>
      </c>
      <c r="CE7" t="s">
        <v>173</v>
      </c>
      <c r="CF7" t="s">
        <v>173</v>
      </c>
      <c r="CG7" t="s">
        <v>173</v>
      </c>
      <c r="CH7" t="s">
        <v>173</v>
      </c>
      <c r="CI7" t="s">
        <v>173</v>
      </c>
      <c r="CJ7" t="s">
        <v>173</v>
      </c>
      <c r="CK7" t="s">
        <v>173</v>
      </c>
      <c r="CL7" t="s">
        <v>173</v>
      </c>
      <c r="CM7" t="s">
        <v>173</v>
      </c>
      <c r="CN7" t="s">
        <v>173</v>
      </c>
      <c r="CO7" t="s">
        <v>173</v>
      </c>
      <c r="CP7" t="s">
        <v>173</v>
      </c>
      <c r="CQ7" t="s">
        <v>173</v>
      </c>
      <c r="CR7" t="s">
        <v>173</v>
      </c>
      <c r="CS7" t="s">
        <v>173</v>
      </c>
      <c r="CT7" t="s">
        <v>173</v>
      </c>
      <c r="CU7" t="s">
        <v>173</v>
      </c>
      <c r="CV7" t="s">
        <v>173</v>
      </c>
      <c r="CW7" t="s">
        <v>173</v>
      </c>
      <c r="CX7" t="s">
        <v>173</v>
      </c>
      <c r="CY7" t="s">
        <v>173</v>
      </c>
      <c r="CZ7" t="s">
        <v>173</v>
      </c>
      <c r="DA7" t="s">
        <v>173</v>
      </c>
      <c r="DB7" t="s">
        <v>173</v>
      </c>
      <c r="DC7" t="s">
        <v>173</v>
      </c>
      <c r="DD7" t="s">
        <v>173</v>
      </c>
      <c r="DE7" t="s">
        <v>173</v>
      </c>
      <c r="DF7" t="s">
        <v>173</v>
      </c>
      <c r="DG7" t="s">
        <v>173</v>
      </c>
      <c r="DH7" t="s">
        <v>173</v>
      </c>
    </row>
    <row r="8" spans="1:112">
      <c r="A8">
        <v>6</v>
      </c>
      <c r="B8" t="s">
        <v>183</v>
      </c>
      <c r="C8" t="s">
        <v>184</v>
      </c>
      <c r="D8">
        <v>2025</v>
      </c>
      <c r="E8" t="s">
        <v>185</v>
      </c>
      <c r="F8" t="s">
        <v>186</v>
      </c>
      <c r="G8" t="s">
        <v>172</v>
      </c>
      <c r="H8">
        <v>0.71</v>
      </c>
      <c r="I8" t="s">
        <v>187</v>
      </c>
      <c r="J8" t="s">
        <v>173</v>
      </c>
      <c r="K8" t="s">
        <v>173</v>
      </c>
      <c r="L8" t="s">
        <v>173</v>
      </c>
      <c r="M8" t="s">
        <v>173</v>
      </c>
      <c r="N8" t="s">
        <v>173</v>
      </c>
      <c r="O8" t="s">
        <v>173</v>
      </c>
      <c r="P8" t="s">
        <v>173</v>
      </c>
      <c r="Q8" t="s">
        <v>173</v>
      </c>
      <c r="R8" t="s">
        <v>173</v>
      </c>
      <c r="S8" t="s">
        <v>173</v>
      </c>
      <c r="T8" t="s">
        <v>173</v>
      </c>
      <c r="U8" t="s">
        <v>173</v>
      </c>
      <c r="V8" t="s">
        <v>173</v>
      </c>
      <c r="W8" t="s">
        <v>173</v>
      </c>
      <c r="X8" t="s">
        <v>173</v>
      </c>
      <c r="Y8" t="s">
        <v>173</v>
      </c>
      <c r="Z8" t="s">
        <v>173</v>
      </c>
      <c r="AA8" t="s">
        <v>173</v>
      </c>
      <c r="AB8" t="s">
        <v>173</v>
      </c>
      <c r="AC8" t="s">
        <v>173</v>
      </c>
      <c r="AD8" t="s">
        <v>173</v>
      </c>
      <c r="AE8" t="s">
        <v>173</v>
      </c>
      <c r="AF8" t="s">
        <v>173</v>
      </c>
      <c r="AG8" t="s">
        <v>173</v>
      </c>
      <c r="AH8" t="s">
        <v>173</v>
      </c>
      <c r="AI8" t="s">
        <v>173</v>
      </c>
      <c r="AJ8" t="s">
        <v>173</v>
      </c>
      <c r="AK8" t="s">
        <v>173</v>
      </c>
      <c r="AL8" t="s">
        <v>173</v>
      </c>
      <c r="AM8" t="s">
        <v>173</v>
      </c>
      <c r="AN8" t="s">
        <v>173</v>
      </c>
      <c r="AO8" t="s">
        <v>173</v>
      </c>
      <c r="AP8" t="s">
        <v>173</v>
      </c>
      <c r="AQ8" t="s">
        <v>173</v>
      </c>
      <c r="AR8" t="s">
        <v>173</v>
      </c>
      <c r="AS8" t="s">
        <v>173</v>
      </c>
      <c r="AT8" t="s">
        <v>173</v>
      </c>
      <c r="AU8" t="s">
        <v>173</v>
      </c>
      <c r="AV8" t="s">
        <v>173</v>
      </c>
      <c r="AW8" t="s">
        <v>173</v>
      </c>
      <c r="AX8" t="s">
        <v>173</v>
      </c>
      <c r="AY8" t="s">
        <v>173</v>
      </c>
      <c r="AZ8" t="s">
        <v>173</v>
      </c>
      <c r="BA8" t="s">
        <v>173</v>
      </c>
      <c r="BB8" t="s">
        <v>173</v>
      </c>
      <c r="BC8" t="s">
        <v>173</v>
      </c>
      <c r="BD8" t="s">
        <v>173</v>
      </c>
      <c r="BE8" t="s">
        <v>173</v>
      </c>
      <c r="BF8" t="s">
        <v>173</v>
      </c>
      <c r="BG8" t="s">
        <v>173</v>
      </c>
      <c r="BH8" t="s">
        <v>173</v>
      </c>
      <c r="BI8" t="s">
        <v>173</v>
      </c>
      <c r="BJ8" t="s">
        <v>173</v>
      </c>
      <c r="BK8" t="s">
        <v>173</v>
      </c>
      <c r="BL8" t="s">
        <v>173</v>
      </c>
      <c r="BM8" t="s">
        <v>173</v>
      </c>
      <c r="BN8" t="s">
        <v>173</v>
      </c>
      <c r="BO8" t="s">
        <v>173</v>
      </c>
      <c r="BP8" t="s">
        <v>173</v>
      </c>
      <c r="BQ8" t="s">
        <v>173</v>
      </c>
      <c r="BR8" t="s">
        <v>173</v>
      </c>
      <c r="BS8" t="s">
        <v>173</v>
      </c>
      <c r="BT8" t="s">
        <v>173</v>
      </c>
      <c r="BU8" t="s">
        <v>173</v>
      </c>
      <c r="BV8" t="s">
        <v>173</v>
      </c>
      <c r="BX8" t="s">
        <v>173</v>
      </c>
      <c r="BY8" t="s">
        <v>173</v>
      </c>
      <c r="BZ8" t="s">
        <v>173</v>
      </c>
      <c r="CA8" t="s">
        <v>173</v>
      </c>
      <c r="CB8" t="s">
        <v>173</v>
      </c>
      <c r="CC8" t="s">
        <v>173</v>
      </c>
      <c r="CD8" t="s">
        <v>173</v>
      </c>
      <c r="CE8" t="s">
        <v>173</v>
      </c>
      <c r="CF8" t="s">
        <v>173</v>
      </c>
      <c r="CG8" t="s">
        <v>173</v>
      </c>
      <c r="CH8" t="s">
        <v>173</v>
      </c>
      <c r="CI8" t="s">
        <v>173</v>
      </c>
      <c r="CJ8" t="s">
        <v>173</v>
      </c>
      <c r="CK8" t="s">
        <v>173</v>
      </c>
      <c r="CL8" t="s">
        <v>173</v>
      </c>
      <c r="CM8" t="s">
        <v>173</v>
      </c>
      <c r="CN8" t="s">
        <v>173</v>
      </c>
      <c r="CO8" t="s">
        <v>173</v>
      </c>
      <c r="CP8" t="s">
        <v>173</v>
      </c>
      <c r="CQ8" t="s">
        <v>173</v>
      </c>
      <c r="CR8" t="s">
        <v>173</v>
      </c>
      <c r="CS8" t="s">
        <v>173</v>
      </c>
      <c r="CT8" t="s">
        <v>173</v>
      </c>
      <c r="CU8" t="s">
        <v>173</v>
      </c>
      <c r="CV8" t="s">
        <v>173</v>
      </c>
      <c r="CW8" t="s">
        <v>173</v>
      </c>
      <c r="CX8" t="s">
        <v>173</v>
      </c>
      <c r="CY8" t="s">
        <v>173</v>
      </c>
      <c r="CZ8" t="s">
        <v>173</v>
      </c>
      <c r="DA8" t="s">
        <v>173</v>
      </c>
      <c r="DB8" t="s">
        <v>173</v>
      </c>
      <c r="DC8" t="s">
        <v>173</v>
      </c>
      <c r="DD8" t="s">
        <v>173</v>
      </c>
      <c r="DE8" t="s">
        <v>173</v>
      </c>
      <c r="DF8" t="s">
        <v>173</v>
      </c>
      <c r="DG8" t="s">
        <v>173</v>
      </c>
      <c r="DH8" t="s">
        <v>173</v>
      </c>
    </row>
    <row r="9" spans="1:112">
      <c r="A9">
        <v>6</v>
      </c>
      <c r="B9" t="s">
        <v>183</v>
      </c>
      <c r="C9" t="s">
        <v>184</v>
      </c>
      <c r="D9">
        <v>2025</v>
      </c>
      <c r="E9" t="s">
        <v>185</v>
      </c>
      <c r="F9" t="s">
        <v>186</v>
      </c>
      <c r="G9" t="s">
        <v>172</v>
      </c>
      <c r="H9">
        <v>0.71</v>
      </c>
      <c r="I9" t="s">
        <v>187</v>
      </c>
      <c r="J9" t="s">
        <v>173</v>
      </c>
      <c r="K9" t="s">
        <v>173</v>
      </c>
      <c r="L9" t="s">
        <v>173</v>
      </c>
      <c r="M9" t="s">
        <v>173</v>
      </c>
      <c r="N9" t="s">
        <v>173</v>
      </c>
      <c r="O9" t="s">
        <v>173</v>
      </c>
      <c r="P9" t="s">
        <v>173</v>
      </c>
      <c r="Q9" t="s">
        <v>173</v>
      </c>
      <c r="R9" t="s">
        <v>173</v>
      </c>
      <c r="S9" t="s">
        <v>173</v>
      </c>
      <c r="T9" t="s">
        <v>173</v>
      </c>
      <c r="U9" t="s">
        <v>173</v>
      </c>
      <c r="V9" t="s">
        <v>173</v>
      </c>
      <c r="W9" t="s">
        <v>173</v>
      </c>
      <c r="X9" t="s">
        <v>173</v>
      </c>
      <c r="Y9" t="s">
        <v>173</v>
      </c>
      <c r="Z9" t="s">
        <v>173</v>
      </c>
      <c r="AA9" t="s">
        <v>173</v>
      </c>
      <c r="AB9" t="s">
        <v>173</v>
      </c>
      <c r="AC9" t="s">
        <v>173</v>
      </c>
      <c r="AD9" t="s">
        <v>173</v>
      </c>
      <c r="AE9" t="s">
        <v>173</v>
      </c>
      <c r="AF9" t="s">
        <v>173</v>
      </c>
      <c r="AG9" t="s">
        <v>173</v>
      </c>
      <c r="AH9" t="s">
        <v>173</v>
      </c>
      <c r="AI9" t="s">
        <v>173</v>
      </c>
      <c r="AJ9" t="s">
        <v>173</v>
      </c>
      <c r="AK9" t="s">
        <v>173</v>
      </c>
      <c r="AL9" t="s">
        <v>173</v>
      </c>
      <c r="AM9" t="s">
        <v>173</v>
      </c>
      <c r="AN9" t="s">
        <v>173</v>
      </c>
      <c r="AO9" t="s">
        <v>173</v>
      </c>
      <c r="AP9" t="s">
        <v>173</v>
      </c>
      <c r="AQ9" t="s">
        <v>173</v>
      </c>
      <c r="AR9" t="s">
        <v>173</v>
      </c>
      <c r="AS9" t="s">
        <v>173</v>
      </c>
      <c r="AT9" t="s">
        <v>173</v>
      </c>
      <c r="AU9" t="s">
        <v>173</v>
      </c>
      <c r="AV9" t="s">
        <v>173</v>
      </c>
      <c r="AW9" t="s">
        <v>173</v>
      </c>
      <c r="AX9" t="s">
        <v>173</v>
      </c>
      <c r="AY9" t="s">
        <v>173</v>
      </c>
      <c r="AZ9" t="s">
        <v>173</v>
      </c>
      <c r="BA9" t="s">
        <v>173</v>
      </c>
      <c r="BB9" t="s">
        <v>173</v>
      </c>
      <c r="BC9" t="s">
        <v>173</v>
      </c>
      <c r="BD9" t="s">
        <v>173</v>
      </c>
      <c r="BE9" t="s">
        <v>173</v>
      </c>
      <c r="BF9" t="s">
        <v>173</v>
      </c>
      <c r="BG9" t="s">
        <v>173</v>
      </c>
      <c r="BH9" t="s">
        <v>173</v>
      </c>
      <c r="BI9" t="s">
        <v>173</v>
      </c>
      <c r="BJ9" t="s">
        <v>173</v>
      </c>
      <c r="BK9" t="s">
        <v>173</v>
      </c>
      <c r="BL9" t="s">
        <v>173</v>
      </c>
      <c r="BM9" t="s">
        <v>173</v>
      </c>
      <c r="BN9" t="s">
        <v>173</v>
      </c>
      <c r="BO9" t="s">
        <v>173</v>
      </c>
      <c r="BP9" t="s">
        <v>173</v>
      </c>
      <c r="BQ9" t="s">
        <v>173</v>
      </c>
      <c r="BR9" t="s">
        <v>173</v>
      </c>
      <c r="BS9" t="s">
        <v>173</v>
      </c>
      <c r="BT9" t="s">
        <v>173</v>
      </c>
      <c r="BU9" t="s">
        <v>173</v>
      </c>
      <c r="BV9" t="s">
        <v>173</v>
      </c>
      <c r="BX9" t="s">
        <v>173</v>
      </c>
      <c r="BY9" t="s">
        <v>173</v>
      </c>
      <c r="BZ9" t="s">
        <v>173</v>
      </c>
      <c r="CA9" t="s">
        <v>173</v>
      </c>
      <c r="CB9" t="s">
        <v>173</v>
      </c>
      <c r="CC9" t="s">
        <v>173</v>
      </c>
      <c r="CD9" t="s">
        <v>173</v>
      </c>
      <c r="CE9" t="s">
        <v>173</v>
      </c>
      <c r="CF9" t="s">
        <v>173</v>
      </c>
      <c r="CG9" t="s">
        <v>173</v>
      </c>
      <c r="CH9" t="s">
        <v>173</v>
      </c>
      <c r="CI9" t="s">
        <v>173</v>
      </c>
      <c r="CJ9" t="s">
        <v>173</v>
      </c>
      <c r="CK9" t="s">
        <v>173</v>
      </c>
      <c r="CL9" t="s">
        <v>173</v>
      </c>
      <c r="CM9" t="s">
        <v>173</v>
      </c>
      <c r="CN9" t="s">
        <v>173</v>
      </c>
      <c r="CO9" t="s">
        <v>173</v>
      </c>
      <c r="CP9" t="s">
        <v>173</v>
      </c>
      <c r="CQ9" t="s">
        <v>173</v>
      </c>
      <c r="CR9" t="s">
        <v>173</v>
      </c>
      <c r="CS9" t="s">
        <v>173</v>
      </c>
      <c r="CT9" t="s">
        <v>173</v>
      </c>
      <c r="CU9" t="s">
        <v>173</v>
      </c>
      <c r="CV9" t="s">
        <v>173</v>
      </c>
      <c r="CW9" t="s">
        <v>173</v>
      </c>
      <c r="CX9" t="s">
        <v>173</v>
      </c>
      <c r="CY9" t="s">
        <v>173</v>
      </c>
      <c r="CZ9" t="s">
        <v>173</v>
      </c>
      <c r="DA9" t="s">
        <v>173</v>
      </c>
      <c r="DB9" t="s">
        <v>173</v>
      </c>
      <c r="DC9" t="s">
        <v>173</v>
      </c>
      <c r="DD9" t="s">
        <v>173</v>
      </c>
      <c r="DE9" t="s">
        <v>173</v>
      </c>
      <c r="DF9" t="s">
        <v>173</v>
      </c>
      <c r="DG9" t="s">
        <v>173</v>
      </c>
      <c r="DH9" t="s">
        <v>173</v>
      </c>
    </row>
    <row r="10" spans="1:112">
      <c r="A10">
        <v>6</v>
      </c>
      <c r="B10" t="s">
        <v>183</v>
      </c>
      <c r="C10" t="s">
        <v>184</v>
      </c>
      <c r="D10">
        <v>2025</v>
      </c>
      <c r="E10" t="s">
        <v>185</v>
      </c>
      <c r="F10" t="s">
        <v>186</v>
      </c>
      <c r="G10" t="s">
        <v>172</v>
      </c>
      <c r="H10">
        <v>0.71</v>
      </c>
      <c r="I10" t="s">
        <v>187</v>
      </c>
      <c r="J10" t="s">
        <v>173</v>
      </c>
      <c r="K10" t="s">
        <v>173</v>
      </c>
      <c r="L10" t="s">
        <v>173</v>
      </c>
      <c r="M10" t="s">
        <v>173</v>
      </c>
      <c r="N10" t="s">
        <v>173</v>
      </c>
      <c r="O10" t="s">
        <v>173</v>
      </c>
      <c r="P10" t="s">
        <v>173</v>
      </c>
      <c r="Q10" t="s">
        <v>173</v>
      </c>
      <c r="R10" t="s">
        <v>173</v>
      </c>
      <c r="S10" t="s">
        <v>173</v>
      </c>
      <c r="T10" t="s">
        <v>173</v>
      </c>
      <c r="U10" t="s">
        <v>173</v>
      </c>
      <c r="V10" t="s">
        <v>173</v>
      </c>
      <c r="W10" t="s">
        <v>173</v>
      </c>
      <c r="X10" t="s">
        <v>173</v>
      </c>
      <c r="Y10" t="s">
        <v>173</v>
      </c>
      <c r="Z10" t="s">
        <v>173</v>
      </c>
      <c r="AA10" t="s">
        <v>173</v>
      </c>
      <c r="AB10" t="s">
        <v>173</v>
      </c>
      <c r="AC10" t="s">
        <v>173</v>
      </c>
      <c r="AD10" t="s">
        <v>173</v>
      </c>
      <c r="AE10" t="s">
        <v>173</v>
      </c>
      <c r="AF10" t="s">
        <v>173</v>
      </c>
      <c r="AG10" t="s">
        <v>173</v>
      </c>
      <c r="AH10" t="s">
        <v>173</v>
      </c>
      <c r="AI10" t="s">
        <v>173</v>
      </c>
      <c r="AJ10" t="s">
        <v>173</v>
      </c>
      <c r="AK10" t="s">
        <v>173</v>
      </c>
      <c r="AL10" t="s">
        <v>173</v>
      </c>
      <c r="AM10" t="s">
        <v>173</v>
      </c>
      <c r="AN10" t="s">
        <v>173</v>
      </c>
      <c r="AO10" t="s">
        <v>173</v>
      </c>
      <c r="AP10" t="s">
        <v>173</v>
      </c>
      <c r="AQ10" t="s">
        <v>173</v>
      </c>
      <c r="AR10" t="s">
        <v>173</v>
      </c>
      <c r="AS10" t="s">
        <v>173</v>
      </c>
      <c r="AT10" t="s">
        <v>173</v>
      </c>
      <c r="AU10" t="s">
        <v>173</v>
      </c>
      <c r="AV10" t="s">
        <v>173</v>
      </c>
      <c r="AW10" t="s">
        <v>173</v>
      </c>
      <c r="AX10" t="s">
        <v>173</v>
      </c>
      <c r="AY10" t="s">
        <v>173</v>
      </c>
      <c r="AZ10" t="s">
        <v>173</v>
      </c>
      <c r="BA10" t="s">
        <v>173</v>
      </c>
      <c r="BB10" t="s">
        <v>173</v>
      </c>
      <c r="BC10" t="s">
        <v>173</v>
      </c>
      <c r="BD10" t="s">
        <v>173</v>
      </c>
      <c r="BE10" t="s">
        <v>173</v>
      </c>
      <c r="BF10" t="s">
        <v>173</v>
      </c>
      <c r="BG10" t="s">
        <v>173</v>
      </c>
      <c r="BH10" t="s">
        <v>173</v>
      </c>
      <c r="BI10" t="s">
        <v>173</v>
      </c>
      <c r="BJ10" t="s">
        <v>173</v>
      </c>
      <c r="BK10" t="s">
        <v>173</v>
      </c>
      <c r="BL10" t="s">
        <v>173</v>
      </c>
      <c r="BM10" t="s">
        <v>173</v>
      </c>
      <c r="BN10" t="s">
        <v>173</v>
      </c>
      <c r="BO10" t="s">
        <v>173</v>
      </c>
      <c r="BP10" t="s">
        <v>173</v>
      </c>
      <c r="BQ10" t="s">
        <v>173</v>
      </c>
      <c r="BR10" t="s">
        <v>173</v>
      </c>
      <c r="BS10" t="s">
        <v>173</v>
      </c>
      <c r="BT10" t="s">
        <v>173</v>
      </c>
      <c r="BU10" t="s">
        <v>173</v>
      </c>
      <c r="BV10" t="s">
        <v>173</v>
      </c>
      <c r="BX10" t="s">
        <v>173</v>
      </c>
      <c r="BY10" t="s">
        <v>173</v>
      </c>
      <c r="BZ10" t="s">
        <v>173</v>
      </c>
      <c r="CA10" t="s">
        <v>173</v>
      </c>
      <c r="CB10" t="s">
        <v>173</v>
      </c>
      <c r="CC10" t="s">
        <v>173</v>
      </c>
      <c r="CD10" t="s">
        <v>173</v>
      </c>
      <c r="CE10" t="s">
        <v>173</v>
      </c>
      <c r="CF10" t="s">
        <v>173</v>
      </c>
      <c r="CG10" t="s">
        <v>173</v>
      </c>
      <c r="CH10" t="s">
        <v>173</v>
      </c>
      <c r="CI10" t="s">
        <v>173</v>
      </c>
      <c r="CJ10" t="s">
        <v>173</v>
      </c>
      <c r="CK10" t="s">
        <v>173</v>
      </c>
      <c r="CL10" t="s">
        <v>173</v>
      </c>
      <c r="CM10" t="s">
        <v>173</v>
      </c>
      <c r="CN10" t="s">
        <v>173</v>
      </c>
      <c r="CO10" t="s">
        <v>173</v>
      </c>
      <c r="CP10" t="s">
        <v>173</v>
      </c>
      <c r="CQ10" t="s">
        <v>173</v>
      </c>
      <c r="CR10" t="s">
        <v>173</v>
      </c>
      <c r="CS10" t="s">
        <v>173</v>
      </c>
      <c r="CT10" t="s">
        <v>173</v>
      </c>
      <c r="CU10" t="s">
        <v>173</v>
      </c>
      <c r="CV10" t="s">
        <v>173</v>
      </c>
      <c r="CW10" t="s">
        <v>173</v>
      </c>
      <c r="CX10" t="s">
        <v>173</v>
      </c>
      <c r="CY10" t="s">
        <v>173</v>
      </c>
      <c r="CZ10" t="s">
        <v>173</v>
      </c>
      <c r="DA10" t="s">
        <v>173</v>
      </c>
      <c r="DB10" t="s">
        <v>173</v>
      </c>
      <c r="DC10" t="s">
        <v>173</v>
      </c>
      <c r="DD10" t="s">
        <v>173</v>
      </c>
      <c r="DE10" t="s">
        <v>173</v>
      </c>
      <c r="DF10" t="s">
        <v>173</v>
      </c>
      <c r="DG10" t="s">
        <v>173</v>
      </c>
      <c r="DH10" t="s">
        <v>173</v>
      </c>
    </row>
    <row r="11" spans="1:112">
      <c r="A11">
        <v>6</v>
      </c>
      <c r="B11" t="s">
        <v>183</v>
      </c>
      <c r="C11" t="s">
        <v>184</v>
      </c>
      <c r="D11">
        <v>2025</v>
      </c>
      <c r="E11" t="s">
        <v>185</v>
      </c>
      <c r="F11" t="s">
        <v>186</v>
      </c>
      <c r="G11" t="s">
        <v>172</v>
      </c>
      <c r="H11">
        <v>0.71</v>
      </c>
      <c r="I11" t="s">
        <v>187</v>
      </c>
      <c r="J11" t="s">
        <v>173</v>
      </c>
      <c r="K11" t="s">
        <v>173</v>
      </c>
      <c r="L11" t="s">
        <v>173</v>
      </c>
      <c r="M11" t="s">
        <v>173</v>
      </c>
      <c r="N11" t="s">
        <v>173</v>
      </c>
      <c r="O11" t="s">
        <v>173</v>
      </c>
      <c r="P11" t="s">
        <v>173</v>
      </c>
      <c r="Q11" t="s">
        <v>173</v>
      </c>
      <c r="R11" t="s">
        <v>173</v>
      </c>
      <c r="S11" t="s">
        <v>173</v>
      </c>
      <c r="T11" t="s">
        <v>173</v>
      </c>
      <c r="U11" t="s">
        <v>173</v>
      </c>
      <c r="V11" t="s">
        <v>173</v>
      </c>
      <c r="W11" t="s">
        <v>173</v>
      </c>
      <c r="X11" t="s">
        <v>173</v>
      </c>
      <c r="Y11" t="s">
        <v>173</v>
      </c>
      <c r="Z11" t="s">
        <v>173</v>
      </c>
      <c r="AA11" t="s">
        <v>173</v>
      </c>
      <c r="AB11" t="s">
        <v>173</v>
      </c>
      <c r="AC11" t="s">
        <v>173</v>
      </c>
      <c r="AD11" t="s">
        <v>173</v>
      </c>
      <c r="AE11" t="s">
        <v>173</v>
      </c>
      <c r="AF11" t="s">
        <v>173</v>
      </c>
      <c r="AG11" t="s">
        <v>173</v>
      </c>
      <c r="AH11" t="s">
        <v>173</v>
      </c>
      <c r="AI11" t="s">
        <v>173</v>
      </c>
      <c r="AJ11" t="s">
        <v>173</v>
      </c>
      <c r="AK11" t="s">
        <v>173</v>
      </c>
      <c r="AL11" t="s">
        <v>173</v>
      </c>
      <c r="AM11" t="s">
        <v>173</v>
      </c>
      <c r="AN11" t="s">
        <v>173</v>
      </c>
      <c r="AO11" t="s">
        <v>173</v>
      </c>
      <c r="AP11" t="s">
        <v>173</v>
      </c>
      <c r="AQ11" t="s">
        <v>173</v>
      </c>
      <c r="AR11" t="s">
        <v>173</v>
      </c>
      <c r="AS11" t="s">
        <v>173</v>
      </c>
      <c r="AT11" t="s">
        <v>173</v>
      </c>
      <c r="AU11" t="s">
        <v>173</v>
      </c>
      <c r="AV11" t="s">
        <v>173</v>
      </c>
      <c r="AW11" t="s">
        <v>173</v>
      </c>
      <c r="AX11" t="s">
        <v>173</v>
      </c>
      <c r="AY11" t="s">
        <v>173</v>
      </c>
      <c r="AZ11" t="s">
        <v>173</v>
      </c>
      <c r="BA11" t="s">
        <v>173</v>
      </c>
      <c r="BB11" t="s">
        <v>173</v>
      </c>
      <c r="BC11" t="s">
        <v>173</v>
      </c>
      <c r="BD11" t="s">
        <v>173</v>
      </c>
      <c r="BE11" t="s">
        <v>173</v>
      </c>
      <c r="BF11" t="s">
        <v>173</v>
      </c>
      <c r="BG11" t="s">
        <v>173</v>
      </c>
      <c r="BH11" t="s">
        <v>173</v>
      </c>
      <c r="BI11" t="s">
        <v>173</v>
      </c>
      <c r="BJ11" t="s">
        <v>173</v>
      </c>
      <c r="BK11" t="s">
        <v>173</v>
      </c>
      <c r="BL11" t="s">
        <v>173</v>
      </c>
      <c r="BM11" t="s">
        <v>173</v>
      </c>
      <c r="BN11" t="s">
        <v>173</v>
      </c>
      <c r="BO11" t="s">
        <v>173</v>
      </c>
      <c r="BP11" t="s">
        <v>173</v>
      </c>
      <c r="BQ11" t="s">
        <v>173</v>
      </c>
      <c r="BR11" t="s">
        <v>173</v>
      </c>
      <c r="BS11" t="s">
        <v>173</v>
      </c>
      <c r="BT11" t="s">
        <v>173</v>
      </c>
      <c r="BU11" t="s">
        <v>173</v>
      </c>
      <c r="BV11" t="s">
        <v>173</v>
      </c>
      <c r="BX11" t="s">
        <v>173</v>
      </c>
      <c r="BY11" t="s">
        <v>173</v>
      </c>
      <c r="BZ11" t="s">
        <v>173</v>
      </c>
      <c r="CA11" t="s">
        <v>173</v>
      </c>
      <c r="CB11" t="s">
        <v>173</v>
      </c>
      <c r="CC11" t="s">
        <v>173</v>
      </c>
      <c r="CD11" t="s">
        <v>173</v>
      </c>
      <c r="CE11" t="s">
        <v>173</v>
      </c>
      <c r="CF11" t="s">
        <v>173</v>
      </c>
      <c r="CG11" t="s">
        <v>173</v>
      </c>
      <c r="CH11" t="s">
        <v>173</v>
      </c>
      <c r="CI11" t="s">
        <v>173</v>
      </c>
      <c r="CJ11" t="s">
        <v>173</v>
      </c>
      <c r="CK11" t="s">
        <v>173</v>
      </c>
      <c r="CL11" t="s">
        <v>173</v>
      </c>
      <c r="CM11" t="s">
        <v>173</v>
      </c>
      <c r="CN11" t="s">
        <v>173</v>
      </c>
      <c r="CO11" t="s">
        <v>173</v>
      </c>
      <c r="CP11" t="s">
        <v>173</v>
      </c>
      <c r="CQ11" t="s">
        <v>173</v>
      </c>
      <c r="CR11" t="s">
        <v>173</v>
      </c>
      <c r="CS11" t="s">
        <v>173</v>
      </c>
      <c r="CT11" t="s">
        <v>173</v>
      </c>
      <c r="CU11" t="s">
        <v>173</v>
      </c>
      <c r="CV11" t="s">
        <v>173</v>
      </c>
      <c r="CW11" t="s">
        <v>173</v>
      </c>
      <c r="CX11" t="s">
        <v>173</v>
      </c>
      <c r="CY11" t="s">
        <v>173</v>
      </c>
      <c r="CZ11" t="s">
        <v>173</v>
      </c>
      <c r="DA11" t="s">
        <v>173</v>
      </c>
      <c r="DB11" t="s">
        <v>173</v>
      </c>
      <c r="DC11" t="s">
        <v>173</v>
      </c>
      <c r="DD11" t="s">
        <v>173</v>
      </c>
      <c r="DE11" t="s">
        <v>173</v>
      </c>
      <c r="DF11" t="s">
        <v>173</v>
      </c>
      <c r="DG11" t="s">
        <v>173</v>
      </c>
      <c r="DH11" t="s">
        <v>173</v>
      </c>
    </row>
    <row r="12" spans="1:112">
      <c r="A12">
        <v>6</v>
      </c>
      <c r="B12" t="s">
        <v>183</v>
      </c>
      <c r="C12" t="s">
        <v>184</v>
      </c>
      <c r="D12">
        <v>2025</v>
      </c>
      <c r="E12" t="s">
        <v>185</v>
      </c>
      <c r="F12" t="s">
        <v>186</v>
      </c>
      <c r="G12" t="s">
        <v>172</v>
      </c>
      <c r="H12">
        <v>0.71</v>
      </c>
      <c r="I12" t="s">
        <v>187</v>
      </c>
      <c r="J12" t="s">
        <v>173</v>
      </c>
      <c r="K12" t="s">
        <v>173</v>
      </c>
      <c r="L12" t="s">
        <v>173</v>
      </c>
      <c r="M12" t="s">
        <v>173</v>
      </c>
      <c r="N12" t="s">
        <v>173</v>
      </c>
      <c r="O12" t="s">
        <v>173</v>
      </c>
      <c r="P12" t="s">
        <v>173</v>
      </c>
      <c r="Q12" t="s">
        <v>173</v>
      </c>
      <c r="R12" t="s">
        <v>173</v>
      </c>
      <c r="S12" t="s">
        <v>173</v>
      </c>
      <c r="T12" t="s">
        <v>173</v>
      </c>
      <c r="U12" t="s">
        <v>173</v>
      </c>
      <c r="V12" t="s">
        <v>173</v>
      </c>
      <c r="W12" t="s">
        <v>173</v>
      </c>
      <c r="X12" t="s">
        <v>173</v>
      </c>
      <c r="Y12" t="s">
        <v>173</v>
      </c>
      <c r="Z12" t="s">
        <v>173</v>
      </c>
      <c r="AA12" t="s">
        <v>173</v>
      </c>
      <c r="AB12" t="s">
        <v>173</v>
      </c>
      <c r="AC12" t="s">
        <v>173</v>
      </c>
      <c r="AD12" t="s">
        <v>173</v>
      </c>
      <c r="AE12" t="s">
        <v>173</v>
      </c>
      <c r="AF12" t="s">
        <v>173</v>
      </c>
      <c r="AG12" t="s">
        <v>173</v>
      </c>
      <c r="AH12" t="s">
        <v>173</v>
      </c>
      <c r="AI12" t="s">
        <v>173</v>
      </c>
      <c r="AJ12" t="s">
        <v>173</v>
      </c>
      <c r="AK12" t="s">
        <v>173</v>
      </c>
      <c r="AL12" t="s">
        <v>173</v>
      </c>
      <c r="AM12" t="s">
        <v>173</v>
      </c>
      <c r="AN12" t="s">
        <v>173</v>
      </c>
      <c r="AO12" t="s">
        <v>173</v>
      </c>
      <c r="AP12" t="s">
        <v>173</v>
      </c>
      <c r="AQ12" t="s">
        <v>173</v>
      </c>
      <c r="AR12" t="s">
        <v>173</v>
      </c>
      <c r="AS12" t="s">
        <v>173</v>
      </c>
      <c r="AT12" t="s">
        <v>173</v>
      </c>
      <c r="AU12" t="s">
        <v>173</v>
      </c>
      <c r="AV12" t="s">
        <v>173</v>
      </c>
      <c r="AW12" t="s">
        <v>173</v>
      </c>
      <c r="AX12" t="s">
        <v>173</v>
      </c>
      <c r="AY12" t="s">
        <v>173</v>
      </c>
      <c r="AZ12" t="s">
        <v>173</v>
      </c>
      <c r="BA12" t="s">
        <v>173</v>
      </c>
      <c r="BB12" t="s">
        <v>173</v>
      </c>
      <c r="BC12" t="s">
        <v>173</v>
      </c>
      <c r="BD12" t="s">
        <v>173</v>
      </c>
      <c r="BE12" t="s">
        <v>173</v>
      </c>
      <c r="BF12" t="s">
        <v>173</v>
      </c>
      <c r="BG12" t="s">
        <v>173</v>
      </c>
      <c r="BH12" t="s">
        <v>173</v>
      </c>
      <c r="BI12" t="s">
        <v>173</v>
      </c>
      <c r="BJ12" t="s">
        <v>173</v>
      </c>
      <c r="BK12" t="s">
        <v>173</v>
      </c>
      <c r="BL12" t="s">
        <v>173</v>
      </c>
      <c r="BM12" t="s">
        <v>173</v>
      </c>
      <c r="BN12" t="s">
        <v>173</v>
      </c>
      <c r="BO12" t="s">
        <v>173</v>
      </c>
      <c r="BP12" t="s">
        <v>173</v>
      </c>
      <c r="BQ12" t="s">
        <v>173</v>
      </c>
      <c r="BR12" t="s">
        <v>173</v>
      </c>
      <c r="BS12" t="s">
        <v>173</v>
      </c>
      <c r="BT12" t="s">
        <v>173</v>
      </c>
      <c r="BU12" t="s">
        <v>173</v>
      </c>
      <c r="BV12" t="s">
        <v>173</v>
      </c>
      <c r="BX12" t="s">
        <v>173</v>
      </c>
      <c r="BY12" t="s">
        <v>173</v>
      </c>
      <c r="BZ12" t="s">
        <v>173</v>
      </c>
      <c r="CA12" t="s">
        <v>173</v>
      </c>
      <c r="CB12" t="s">
        <v>173</v>
      </c>
      <c r="CC12" t="s">
        <v>173</v>
      </c>
      <c r="CD12" t="s">
        <v>173</v>
      </c>
      <c r="CE12" t="s">
        <v>173</v>
      </c>
      <c r="CF12" t="s">
        <v>173</v>
      </c>
      <c r="CG12" t="s">
        <v>173</v>
      </c>
      <c r="CH12" t="s">
        <v>173</v>
      </c>
      <c r="CI12" t="s">
        <v>173</v>
      </c>
      <c r="CJ12" t="s">
        <v>173</v>
      </c>
      <c r="CK12" t="s">
        <v>173</v>
      </c>
      <c r="CL12" t="s">
        <v>173</v>
      </c>
      <c r="CM12" t="s">
        <v>173</v>
      </c>
      <c r="CN12" t="s">
        <v>173</v>
      </c>
      <c r="CO12" t="s">
        <v>173</v>
      </c>
      <c r="CP12" t="s">
        <v>173</v>
      </c>
      <c r="CQ12" t="s">
        <v>173</v>
      </c>
      <c r="CR12" t="s">
        <v>173</v>
      </c>
      <c r="CS12" t="s">
        <v>173</v>
      </c>
      <c r="CT12" t="s">
        <v>173</v>
      </c>
      <c r="CU12" t="s">
        <v>173</v>
      </c>
      <c r="CV12" t="s">
        <v>173</v>
      </c>
      <c r="CW12" t="s">
        <v>173</v>
      </c>
      <c r="CX12" t="s">
        <v>173</v>
      </c>
      <c r="CY12" t="s">
        <v>173</v>
      </c>
      <c r="CZ12" t="s">
        <v>173</v>
      </c>
      <c r="DA12" t="s">
        <v>173</v>
      </c>
      <c r="DB12" t="s">
        <v>173</v>
      </c>
      <c r="DC12" t="s">
        <v>173</v>
      </c>
      <c r="DD12" t="s">
        <v>173</v>
      </c>
      <c r="DE12" t="s">
        <v>173</v>
      </c>
      <c r="DF12" t="s">
        <v>173</v>
      </c>
      <c r="DG12" t="s">
        <v>173</v>
      </c>
      <c r="DH12" t="s">
        <v>173</v>
      </c>
    </row>
    <row r="13" spans="1:112">
      <c r="A13">
        <v>7</v>
      </c>
      <c r="B13" t="s">
        <v>188</v>
      </c>
      <c r="C13" t="s">
        <v>189</v>
      </c>
      <c r="D13">
        <v>2025</v>
      </c>
      <c r="E13" t="s">
        <v>190</v>
      </c>
      <c r="F13" t="s">
        <v>191</v>
      </c>
      <c r="G13" t="s">
        <v>172</v>
      </c>
      <c r="H13" t="s">
        <v>173</v>
      </c>
      <c r="I13" t="s">
        <v>192</v>
      </c>
      <c r="J13" t="s">
        <v>173</v>
      </c>
      <c r="K13" t="s">
        <v>173</v>
      </c>
      <c r="L13" t="s">
        <v>173</v>
      </c>
      <c r="M13" t="s">
        <v>173</v>
      </c>
      <c r="N13" t="s">
        <v>173</v>
      </c>
      <c r="O13" t="s">
        <v>173</v>
      </c>
      <c r="P13" t="s">
        <v>173</v>
      </c>
      <c r="Q13" t="s">
        <v>173</v>
      </c>
      <c r="R13" t="s">
        <v>173</v>
      </c>
      <c r="S13" t="s">
        <v>173</v>
      </c>
      <c r="T13" t="s">
        <v>173</v>
      </c>
      <c r="U13" t="s">
        <v>173</v>
      </c>
      <c r="V13" t="s">
        <v>173</v>
      </c>
      <c r="W13" t="s">
        <v>173</v>
      </c>
      <c r="X13" t="s">
        <v>173</v>
      </c>
      <c r="Y13" t="s">
        <v>173</v>
      </c>
      <c r="Z13" t="s">
        <v>173</v>
      </c>
      <c r="AA13" t="s">
        <v>173</v>
      </c>
      <c r="AB13" t="s">
        <v>173</v>
      </c>
      <c r="AC13" t="s">
        <v>173</v>
      </c>
      <c r="AD13" t="s">
        <v>173</v>
      </c>
      <c r="AE13" t="s">
        <v>173</v>
      </c>
      <c r="AF13" t="s">
        <v>173</v>
      </c>
      <c r="AG13" t="s">
        <v>173</v>
      </c>
      <c r="AH13" t="s">
        <v>173</v>
      </c>
      <c r="AI13" t="s">
        <v>173</v>
      </c>
      <c r="AJ13" t="s">
        <v>173</v>
      </c>
      <c r="AK13" t="s">
        <v>173</v>
      </c>
      <c r="AL13" t="s">
        <v>173</v>
      </c>
      <c r="AM13" t="s">
        <v>173</v>
      </c>
      <c r="AN13" t="s">
        <v>173</v>
      </c>
      <c r="AO13" t="s">
        <v>173</v>
      </c>
      <c r="AP13" t="s">
        <v>173</v>
      </c>
      <c r="AQ13" t="s">
        <v>173</v>
      </c>
      <c r="AR13" t="s">
        <v>173</v>
      </c>
      <c r="AS13" t="s">
        <v>173</v>
      </c>
      <c r="AT13" t="s">
        <v>173</v>
      </c>
      <c r="AU13" t="s">
        <v>173</v>
      </c>
      <c r="AV13" t="s">
        <v>173</v>
      </c>
      <c r="AW13" t="s">
        <v>173</v>
      </c>
      <c r="AX13" t="s">
        <v>173</v>
      </c>
      <c r="AY13" t="s">
        <v>173</v>
      </c>
      <c r="AZ13" t="s">
        <v>173</v>
      </c>
      <c r="BA13" t="s">
        <v>173</v>
      </c>
      <c r="BB13" t="s">
        <v>173</v>
      </c>
      <c r="BC13" t="s">
        <v>173</v>
      </c>
      <c r="BD13" t="s">
        <v>173</v>
      </c>
      <c r="BE13" t="s">
        <v>173</v>
      </c>
      <c r="BF13" t="s">
        <v>173</v>
      </c>
      <c r="BG13" t="s">
        <v>173</v>
      </c>
      <c r="BH13" t="s">
        <v>173</v>
      </c>
      <c r="BI13" t="s">
        <v>173</v>
      </c>
      <c r="BJ13" t="s">
        <v>173</v>
      </c>
      <c r="BK13" t="s">
        <v>173</v>
      </c>
      <c r="BL13" t="s">
        <v>173</v>
      </c>
      <c r="BM13" t="s">
        <v>173</v>
      </c>
      <c r="BN13" t="s">
        <v>173</v>
      </c>
      <c r="BO13" t="s">
        <v>173</v>
      </c>
      <c r="BP13" t="s">
        <v>173</v>
      </c>
      <c r="BQ13" t="s">
        <v>173</v>
      </c>
      <c r="BR13" t="s">
        <v>173</v>
      </c>
      <c r="BS13" t="s">
        <v>173</v>
      </c>
      <c r="BT13" t="s">
        <v>173</v>
      </c>
      <c r="BU13" t="s">
        <v>173</v>
      </c>
      <c r="BV13" t="s">
        <v>173</v>
      </c>
      <c r="BX13" t="s">
        <v>173</v>
      </c>
      <c r="BY13" t="s">
        <v>173</v>
      </c>
      <c r="BZ13" t="s">
        <v>173</v>
      </c>
      <c r="CA13" t="s">
        <v>173</v>
      </c>
      <c r="CB13" t="s">
        <v>173</v>
      </c>
      <c r="CC13" t="s">
        <v>173</v>
      </c>
      <c r="CD13" t="s">
        <v>173</v>
      </c>
      <c r="CE13" t="s">
        <v>173</v>
      </c>
      <c r="CF13" t="s">
        <v>173</v>
      </c>
      <c r="CG13" t="s">
        <v>173</v>
      </c>
      <c r="CH13" t="s">
        <v>173</v>
      </c>
      <c r="CI13" t="s">
        <v>173</v>
      </c>
      <c r="CJ13" t="s">
        <v>173</v>
      </c>
      <c r="CK13" t="s">
        <v>173</v>
      </c>
      <c r="CL13" t="s">
        <v>173</v>
      </c>
      <c r="CM13" t="s">
        <v>173</v>
      </c>
      <c r="CN13" t="s">
        <v>173</v>
      </c>
      <c r="CO13" t="s">
        <v>173</v>
      </c>
      <c r="CP13" t="s">
        <v>173</v>
      </c>
      <c r="CQ13" t="s">
        <v>173</v>
      </c>
      <c r="CR13" t="s">
        <v>173</v>
      </c>
      <c r="CS13" t="s">
        <v>173</v>
      </c>
      <c r="CT13" t="s">
        <v>173</v>
      </c>
      <c r="CU13" t="s">
        <v>173</v>
      </c>
      <c r="CV13" t="s">
        <v>173</v>
      </c>
      <c r="CW13" t="s">
        <v>173</v>
      </c>
      <c r="CX13" t="s">
        <v>173</v>
      </c>
      <c r="CY13" t="s">
        <v>173</v>
      </c>
      <c r="CZ13" t="s">
        <v>173</v>
      </c>
      <c r="DA13" t="s">
        <v>173</v>
      </c>
      <c r="DB13" t="s">
        <v>173</v>
      </c>
      <c r="DC13" t="s">
        <v>173</v>
      </c>
      <c r="DD13" t="s">
        <v>173</v>
      </c>
      <c r="DE13" t="s">
        <v>173</v>
      </c>
      <c r="DF13" t="s">
        <v>173</v>
      </c>
      <c r="DG13" t="s">
        <v>173</v>
      </c>
      <c r="DH13" t="s">
        <v>173</v>
      </c>
    </row>
    <row r="14" spans="1:112">
      <c r="A14">
        <v>8</v>
      </c>
      <c r="B14" t="s">
        <v>193</v>
      </c>
      <c r="C14" t="s">
        <v>194</v>
      </c>
      <c r="D14">
        <v>2025</v>
      </c>
      <c r="E14" t="s">
        <v>195</v>
      </c>
      <c r="F14" t="s">
        <v>196</v>
      </c>
      <c r="G14" t="s">
        <v>172</v>
      </c>
      <c r="H14" t="s">
        <v>173</v>
      </c>
      <c r="I14" t="s">
        <v>197</v>
      </c>
      <c r="J14" t="s">
        <v>173</v>
      </c>
      <c r="K14" t="s">
        <v>173</v>
      </c>
      <c r="L14" t="s">
        <v>173</v>
      </c>
      <c r="M14" t="s">
        <v>173</v>
      </c>
      <c r="N14" t="s">
        <v>173</v>
      </c>
      <c r="O14" t="s">
        <v>173</v>
      </c>
      <c r="P14" t="s">
        <v>173</v>
      </c>
      <c r="Q14" t="s">
        <v>173</v>
      </c>
      <c r="R14" t="s">
        <v>173</v>
      </c>
      <c r="S14" t="s">
        <v>173</v>
      </c>
      <c r="T14" t="s">
        <v>173</v>
      </c>
      <c r="U14" t="s">
        <v>173</v>
      </c>
      <c r="V14" t="s">
        <v>173</v>
      </c>
      <c r="W14" t="s">
        <v>173</v>
      </c>
      <c r="X14" t="s">
        <v>173</v>
      </c>
      <c r="Y14" t="s">
        <v>173</v>
      </c>
      <c r="Z14" t="s">
        <v>173</v>
      </c>
      <c r="AA14" t="s">
        <v>173</v>
      </c>
      <c r="AB14" t="s">
        <v>173</v>
      </c>
      <c r="AC14" t="s">
        <v>173</v>
      </c>
      <c r="AD14" t="s">
        <v>173</v>
      </c>
      <c r="AE14" t="s">
        <v>173</v>
      </c>
      <c r="AF14" t="s">
        <v>173</v>
      </c>
      <c r="AG14" t="s">
        <v>173</v>
      </c>
      <c r="AH14" t="s">
        <v>173</v>
      </c>
      <c r="AI14" t="s">
        <v>173</v>
      </c>
      <c r="AJ14" t="s">
        <v>173</v>
      </c>
      <c r="AK14" t="s">
        <v>173</v>
      </c>
      <c r="AL14" t="s">
        <v>173</v>
      </c>
      <c r="AM14" t="s">
        <v>173</v>
      </c>
      <c r="AN14" t="s">
        <v>173</v>
      </c>
      <c r="AO14" t="s">
        <v>173</v>
      </c>
      <c r="AP14" t="s">
        <v>173</v>
      </c>
      <c r="AQ14" t="s">
        <v>173</v>
      </c>
      <c r="AR14" t="s">
        <v>173</v>
      </c>
      <c r="AS14" t="s">
        <v>173</v>
      </c>
      <c r="AT14" t="s">
        <v>173</v>
      </c>
      <c r="AU14" t="s">
        <v>173</v>
      </c>
      <c r="AV14" t="s">
        <v>173</v>
      </c>
      <c r="AW14" t="s">
        <v>173</v>
      </c>
      <c r="AX14" t="s">
        <v>173</v>
      </c>
      <c r="AY14" t="s">
        <v>173</v>
      </c>
      <c r="AZ14" t="s">
        <v>173</v>
      </c>
      <c r="BA14" t="s">
        <v>173</v>
      </c>
      <c r="BB14" t="s">
        <v>173</v>
      </c>
      <c r="BC14" t="s">
        <v>173</v>
      </c>
      <c r="BD14" t="s">
        <v>173</v>
      </c>
      <c r="BE14" t="s">
        <v>173</v>
      </c>
      <c r="BF14" t="s">
        <v>173</v>
      </c>
      <c r="BG14" t="s">
        <v>173</v>
      </c>
      <c r="BH14" t="s">
        <v>173</v>
      </c>
      <c r="BI14" t="s">
        <v>173</v>
      </c>
      <c r="BJ14" t="s">
        <v>173</v>
      </c>
      <c r="BK14" t="s">
        <v>173</v>
      </c>
      <c r="BL14" t="s">
        <v>173</v>
      </c>
      <c r="BM14" t="s">
        <v>173</v>
      </c>
      <c r="BN14" t="s">
        <v>173</v>
      </c>
      <c r="BO14" t="s">
        <v>173</v>
      </c>
      <c r="BP14" t="s">
        <v>173</v>
      </c>
      <c r="BQ14" t="s">
        <v>173</v>
      </c>
      <c r="BR14" t="s">
        <v>173</v>
      </c>
      <c r="BS14" t="s">
        <v>173</v>
      </c>
      <c r="BT14" t="s">
        <v>173</v>
      </c>
      <c r="BU14" t="s">
        <v>173</v>
      </c>
      <c r="BV14" t="s">
        <v>173</v>
      </c>
      <c r="BX14" t="s">
        <v>173</v>
      </c>
      <c r="BY14" t="s">
        <v>173</v>
      </c>
      <c r="BZ14" t="s">
        <v>173</v>
      </c>
      <c r="CA14" t="s">
        <v>173</v>
      </c>
      <c r="CB14" t="s">
        <v>173</v>
      </c>
      <c r="CC14" t="s">
        <v>173</v>
      </c>
      <c r="CD14" t="s">
        <v>173</v>
      </c>
      <c r="CE14" t="s">
        <v>173</v>
      </c>
      <c r="CF14" t="s">
        <v>173</v>
      </c>
      <c r="CG14" t="s">
        <v>173</v>
      </c>
      <c r="CH14" t="s">
        <v>173</v>
      </c>
      <c r="CI14" t="s">
        <v>173</v>
      </c>
      <c r="CJ14" t="s">
        <v>173</v>
      </c>
      <c r="CK14" t="s">
        <v>173</v>
      </c>
      <c r="CL14" t="s">
        <v>173</v>
      </c>
      <c r="CM14" t="s">
        <v>173</v>
      </c>
      <c r="CN14" t="s">
        <v>173</v>
      </c>
      <c r="CO14" t="s">
        <v>173</v>
      </c>
      <c r="CP14" t="s">
        <v>173</v>
      </c>
      <c r="CQ14" t="s">
        <v>173</v>
      </c>
      <c r="CR14" t="s">
        <v>173</v>
      </c>
      <c r="CS14" t="s">
        <v>173</v>
      </c>
      <c r="CT14" t="s">
        <v>173</v>
      </c>
      <c r="CU14" t="s">
        <v>173</v>
      </c>
      <c r="CV14" t="s">
        <v>173</v>
      </c>
      <c r="CW14" t="s">
        <v>173</v>
      </c>
      <c r="CX14" t="s">
        <v>173</v>
      </c>
      <c r="CY14" t="s">
        <v>173</v>
      </c>
      <c r="CZ14" t="s">
        <v>173</v>
      </c>
      <c r="DA14" t="s">
        <v>173</v>
      </c>
      <c r="DB14" t="s">
        <v>173</v>
      </c>
      <c r="DC14" t="s">
        <v>173</v>
      </c>
      <c r="DD14" t="s">
        <v>173</v>
      </c>
      <c r="DE14" t="s">
        <v>173</v>
      </c>
      <c r="DF14" t="s">
        <v>173</v>
      </c>
      <c r="DG14" t="s">
        <v>173</v>
      </c>
      <c r="DH14" t="s">
        <v>173</v>
      </c>
    </row>
    <row r="15" spans="1:112">
      <c r="A15">
        <v>9</v>
      </c>
      <c r="B15" t="s">
        <v>198</v>
      </c>
      <c r="C15" t="s">
        <v>199</v>
      </c>
      <c r="D15">
        <v>2025</v>
      </c>
      <c r="E15" t="s">
        <v>200</v>
      </c>
      <c r="F15" t="s">
        <v>201</v>
      </c>
      <c r="G15" t="s">
        <v>172</v>
      </c>
      <c r="H15" t="s">
        <v>173</v>
      </c>
      <c r="I15" t="s">
        <v>174</v>
      </c>
      <c r="J15" t="s">
        <v>173</v>
      </c>
      <c r="K15" t="s">
        <v>173</v>
      </c>
      <c r="L15" t="s">
        <v>173</v>
      </c>
      <c r="M15" t="s">
        <v>173</v>
      </c>
      <c r="N15" t="s">
        <v>173</v>
      </c>
      <c r="O15" t="s">
        <v>173</v>
      </c>
      <c r="P15" t="s">
        <v>173</v>
      </c>
      <c r="Q15" t="s">
        <v>173</v>
      </c>
      <c r="R15" t="s">
        <v>173</v>
      </c>
      <c r="S15" t="s">
        <v>173</v>
      </c>
      <c r="T15" t="s">
        <v>173</v>
      </c>
      <c r="U15" t="s">
        <v>173</v>
      </c>
      <c r="V15" t="s">
        <v>173</v>
      </c>
      <c r="W15" t="s">
        <v>173</v>
      </c>
      <c r="X15" t="s">
        <v>173</v>
      </c>
      <c r="Y15" t="s">
        <v>173</v>
      </c>
      <c r="Z15" t="s">
        <v>173</v>
      </c>
      <c r="AA15" t="s">
        <v>173</v>
      </c>
      <c r="AB15" t="s">
        <v>173</v>
      </c>
      <c r="AC15" t="s">
        <v>173</v>
      </c>
      <c r="AD15" t="s">
        <v>173</v>
      </c>
      <c r="AE15" t="s">
        <v>173</v>
      </c>
      <c r="AF15" t="s">
        <v>173</v>
      </c>
      <c r="AG15" t="s">
        <v>173</v>
      </c>
      <c r="AH15" t="s">
        <v>173</v>
      </c>
      <c r="AI15" t="s">
        <v>173</v>
      </c>
      <c r="AJ15" t="s">
        <v>173</v>
      </c>
      <c r="AK15" t="s">
        <v>173</v>
      </c>
      <c r="AL15" t="s">
        <v>173</v>
      </c>
      <c r="AM15" t="s">
        <v>173</v>
      </c>
      <c r="AN15" t="s">
        <v>173</v>
      </c>
      <c r="AO15" t="s">
        <v>173</v>
      </c>
      <c r="AP15" t="s">
        <v>173</v>
      </c>
      <c r="AQ15" t="s">
        <v>173</v>
      </c>
      <c r="AR15" t="s">
        <v>173</v>
      </c>
      <c r="AS15" t="s">
        <v>173</v>
      </c>
      <c r="AT15" t="s">
        <v>173</v>
      </c>
      <c r="AU15" t="s">
        <v>173</v>
      </c>
      <c r="AV15" t="s">
        <v>173</v>
      </c>
      <c r="AW15" t="s">
        <v>173</v>
      </c>
      <c r="AX15" t="s">
        <v>173</v>
      </c>
      <c r="AY15" t="s">
        <v>173</v>
      </c>
      <c r="AZ15" t="s">
        <v>173</v>
      </c>
      <c r="BA15" t="s">
        <v>173</v>
      </c>
      <c r="BB15" t="s">
        <v>173</v>
      </c>
      <c r="BC15" t="s">
        <v>173</v>
      </c>
      <c r="BD15" t="s">
        <v>173</v>
      </c>
      <c r="BE15" t="s">
        <v>173</v>
      </c>
      <c r="BF15" t="s">
        <v>173</v>
      </c>
      <c r="BG15" t="s">
        <v>173</v>
      </c>
      <c r="BH15" t="s">
        <v>173</v>
      </c>
      <c r="BI15" t="s">
        <v>173</v>
      </c>
      <c r="BJ15" t="s">
        <v>173</v>
      </c>
      <c r="BK15" t="s">
        <v>173</v>
      </c>
      <c r="BL15" t="s">
        <v>173</v>
      </c>
      <c r="BM15" t="s">
        <v>173</v>
      </c>
      <c r="BN15" t="s">
        <v>173</v>
      </c>
      <c r="BO15" t="s">
        <v>173</v>
      </c>
      <c r="BP15" t="s">
        <v>173</v>
      </c>
      <c r="BQ15" t="s">
        <v>173</v>
      </c>
      <c r="BR15" t="s">
        <v>173</v>
      </c>
      <c r="BS15" t="s">
        <v>173</v>
      </c>
      <c r="BT15" t="s">
        <v>173</v>
      </c>
      <c r="BU15" t="s">
        <v>173</v>
      </c>
      <c r="BV15" t="s">
        <v>173</v>
      </c>
      <c r="BX15" t="s">
        <v>173</v>
      </c>
      <c r="BY15" t="s">
        <v>173</v>
      </c>
      <c r="BZ15" t="s">
        <v>173</v>
      </c>
      <c r="CA15" t="s">
        <v>173</v>
      </c>
      <c r="CB15" t="s">
        <v>173</v>
      </c>
      <c r="CC15" t="s">
        <v>173</v>
      </c>
      <c r="CD15" t="s">
        <v>173</v>
      </c>
      <c r="CE15" t="s">
        <v>173</v>
      </c>
      <c r="CF15" t="s">
        <v>173</v>
      </c>
      <c r="CG15" t="s">
        <v>173</v>
      </c>
      <c r="CH15" t="s">
        <v>173</v>
      </c>
      <c r="CI15" t="s">
        <v>173</v>
      </c>
      <c r="CJ15" t="s">
        <v>173</v>
      </c>
      <c r="CK15" t="s">
        <v>173</v>
      </c>
      <c r="CL15" t="s">
        <v>173</v>
      </c>
      <c r="CM15" t="s">
        <v>173</v>
      </c>
      <c r="CN15" t="s">
        <v>173</v>
      </c>
      <c r="CO15" t="s">
        <v>173</v>
      </c>
      <c r="CP15" t="s">
        <v>173</v>
      </c>
      <c r="CQ15" t="s">
        <v>173</v>
      </c>
      <c r="CR15" t="s">
        <v>173</v>
      </c>
      <c r="CS15" t="s">
        <v>173</v>
      </c>
      <c r="CT15" t="s">
        <v>173</v>
      </c>
      <c r="CU15" t="s">
        <v>173</v>
      </c>
      <c r="CV15" t="s">
        <v>173</v>
      </c>
      <c r="CW15" t="s">
        <v>173</v>
      </c>
      <c r="CX15" t="s">
        <v>173</v>
      </c>
      <c r="CY15" t="s">
        <v>173</v>
      </c>
      <c r="CZ15" t="s">
        <v>173</v>
      </c>
      <c r="DA15" t="s">
        <v>173</v>
      </c>
      <c r="DB15" t="s">
        <v>173</v>
      </c>
      <c r="DC15" t="s">
        <v>173</v>
      </c>
      <c r="DD15" t="s">
        <v>173</v>
      </c>
      <c r="DE15" t="s">
        <v>173</v>
      </c>
      <c r="DF15" t="s">
        <v>173</v>
      </c>
      <c r="DG15" t="s">
        <v>173</v>
      </c>
      <c r="DH15" t="s">
        <v>173</v>
      </c>
    </row>
    <row r="16" spans="1:112">
      <c r="A16">
        <v>10</v>
      </c>
      <c r="B16" t="s">
        <v>202</v>
      </c>
      <c r="C16" t="s">
        <v>203</v>
      </c>
      <c r="D16">
        <v>2025</v>
      </c>
      <c r="E16" t="s">
        <v>204</v>
      </c>
      <c r="F16" t="s">
        <v>205</v>
      </c>
      <c r="G16" t="s">
        <v>172</v>
      </c>
      <c r="H16" t="s">
        <v>173</v>
      </c>
      <c r="I16" t="s">
        <v>197</v>
      </c>
      <c r="J16" t="s">
        <v>173</v>
      </c>
      <c r="K16" t="s">
        <v>173</v>
      </c>
      <c r="L16" t="s">
        <v>173</v>
      </c>
      <c r="M16" t="s">
        <v>173</v>
      </c>
      <c r="N16" t="s">
        <v>173</v>
      </c>
      <c r="O16" t="s">
        <v>173</v>
      </c>
      <c r="P16" t="s">
        <v>173</v>
      </c>
      <c r="Q16" t="s">
        <v>173</v>
      </c>
      <c r="R16" t="s">
        <v>173</v>
      </c>
      <c r="S16" t="s">
        <v>173</v>
      </c>
      <c r="T16" t="s">
        <v>173</v>
      </c>
      <c r="U16" t="s">
        <v>173</v>
      </c>
      <c r="V16" t="s">
        <v>173</v>
      </c>
      <c r="W16" t="s">
        <v>173</v>
      </c>
      <c r="X16" t="s">
        <v>173</v>
      </c>
      <c r="Y16" t="s">
        <v>173</v>
      </c>
      <c r="Z16" t="s">
        <v>173</v>
      </c>
      <c r="AA16" t="s">
        <v>173</v>
      </c>
      <c r="AB16" t="s">
        <v>173</v>
      </c>
      <c r="AC16" t="s">
        <v>173</v>
      </c>
      <c r="AD16" t="s">
        <v>173</v>
      </c>
      <c r="AE16" t="s">
        <v>173</v>
      </c>
      <c r="AF16" t="s">
        <v>173</v>
      </c>
      <c r="AG16" t="s">
        <v>173</v>
      </c>
      <c r="AH16" t="s">
        <v>173</v>
      </c>
      <c r="AI16" t="s">
        <v>173</v>
      </c>
      <c r="AJ16" t="s">
        <v>173</v>
      </c>
      <c r="AK16" t="s">
        <v>173</v>
      </c>
      <c r="AL16" t="s">
        <v>173</v>
      </c>
      <c r="AM16" t="s">
        <v>173</v>
      </c>
      <c r="AN16" t="s">
        <v>173</v>
      </c>
      <c r="AO16" t="s">
        <v>173</v>
      </c>
      <c r="AP16" t="s">
        <v>173</v>
      </c>
      <c r="AQ16" t="s">
        <v>173</v>
      </c>
      <c r="AR16" t="s">
        <v>173</v>
      </c>
      <c r="AS16" t="s">
        <v>173</v>
      </c>
      <c r="AT16" t="s">
        <v>173</v>
      </c>
      <c r="AU16" t="s">
        <v>173</v>
      </c>
      <c r="AV16" t="s">
        <v>173</v>
      </c>
      <c r="AW16" t="s">
        <v>173</v>
      </c>
      <c r="AX16" t="s">
        <v>173</v>
      </c>
      <c r="AY16" t="s">
        <v>173</v>
      </c>
      <c r="AZ16" t="s">
        <v>173</v>
      </c>
      <c r="BA16" t="s">
        <v>173</v>
      </c>
      <c r="BB16" t="s">
        <v>173</v>
      </c>
      <c r="BC16" t="s">
        <v>173</v>
      </c>
      <c r="BD16" t="s">
        <v>173</v>
      </c>
      <c r="BE16" t="s">
        <v>173</v>
      </c>
      <c r="BF16" t="s">
        <v>173</v>
      </c>
      <c r="BG16" t="s">
        <v>173</v>
      </c>
      <c r="BH16" t="s">
        <v>173</v>
      </c>
      <c r="BI16" t="s">
        <v>173</v>
      </c>
      <c r="BJ16" t="s">
        <v>173</v>
      </c>
      <c r="BK16" t="s">
        <v>173</v>
      </c>
      <c r="BL16" t="s">
        <v>173</v>
      </c>
      <c r="BM16" t="s">
        <v>173</v>
      </c>
      <c r="BN16" t="s">
        <v>173</v>
      </c>
      <c r="BO16" t="s">
        <v>173</v>
      </c>
      <c r="BP16" t="s">
        <v>173</v>
      </c>
      <c r="BQ16" t="s">
        <v>173</v>
      </c>
      <c r="BR16" t="s">
        <v>173</v>
      </c>
      <c r="BS16" t="s">
        <v>173</v>
      </c>
      <c r="BT16" t="s">
        <v>173</v>
      </c>
      <c r="BU16" t="s">
        <v>173</v>
      </c>
      <c r="BV16" t="s">
        <v>173</v>
      </c>
      <c r="BX16" t="s">
        <v>173</v>
      </c>
      <c r="BY16" t="s">
        <v>173</v>
      </c>
      <c r="BZ16" t="s">
        <v>173</v>
      </c>
      <c r="CA16" t="s">
        <v>173</v>
      </c>
      <c r="CB16" t="s">
        <v>173</v>
      </c>
      <c r="CC16" t="s">
        <v>173</v>
      </c>
      <c r="CD16" t="s">
        <v>173</v>
      </c>
      <c r="CE16" t="s">
        <v>173</v>
      </c>
      <c r="CF16" t="s">
        <v>173</v>
      </c>
      <c r="CG16" t="s">
        <v>173</v>
      </c>
      <c r="CH16" t="s">
        <v>173</v>
      </c>
      <c r="CI16" t="s">
        <v>173</v>
      </c>
      <c r="CJ16" t="s">
        <v>173</v>
      </c>
      <c r="CK16" t="s">
        <v>173</v>
      </c>
      <c r="CL16" t="s">
        <v>173</v>
      </c>
      <c r="CM16" t="s">
        <v>173</v>
      </c>
      <c r="CN16" t="s">
        <v>173</v>
      </c>
      <c r="CO16" t="s">
        <v>173</v>
      </c>
      <c r="CP16" t="s">
        <v>173</v>
      </c>
      <c r="CQ16" t="s">
        <v>173</v>
      </c>
      <c r="CR16" t="s">
        <v>173</v>
      </c>
      <c r="CS16" t="s">
        <v>173</v>
      </c>
      <c r="CT16" t="s">
        <v>173</v>
      </c>
      <c r="CU16" t="s">
        <v>173</v>
      </c>
      <c r="CV16" t="s">
        <v>173</v>
      </c>
      <c r="CW16" t="s">
        <v>173</v>
      </c>
      <c r="CX16" t="s">
        <v>173</v>
      </c>
      <c r="CY16" t="s">
        <v>173</v>
      </c>
      <c r="CZ16" t="s">
        <v>173</v>
      </c>
      <c r="DA16" t="s">
        <v>173</v>
      </c>
      <c r="DB16" t="s">
        <v>173</v>
      </c>
      <c r="DC16" t="s">
        <v>173</v>
      </c>
      <c r="DD16" t="s">
        <v>173</v>
      </c>
      <c r="DE16" t="s">
        <v>173</v>
      </c>
      <c r="DF16" t="s">
        <v>173</v>
      </c>
      <c r="DG16" t="s">
        <v>173</v>
      </c>
      <c r="DH16" t="s">
        <v>173</v>
      </c>
    </row>
    <row r="17" spans="1:112">
      <c r="A17">
        <v>11</v>
      </c>
      <c r="B17" t="s">
        <v>206</v>
      </c>
      <c r="C17" t="s">
        <v>207</v>
      </c>
      <c r="D17">
        <v>2025</v>
      </c>
      <c r="E17" t="s">
        <v>208</v>
      </c>
      <c r="F17" t="s">
        <v>209</v>
      </c>
      <c r="G17" t="s">
        <v>172</v>
      </c>
      <c r="H17" t="s">
        <v>173</v>
      </c>
      <c r="I17" t="s">
        <v>174</v>
      </c>
      <c r="J17" t="s">
        <v>173</v>
      </c>
      <c r="K17" t="s">
        <v>173</v>
      </c>
      <c r="L17" t="s">
        <v>173</v>
      </c>
      <c r="M17" t="s">
        <v>173</v>
      </c>
      <c r="N17" t="s">
        <v>173</v>
      </c>
      <c r="O17" t="s">
        <v>173</v>
      </c>
      <c r="P17" t="s">
        <v>173</v>
      </c>
      <c r="Q17" t="s">
        <v>173</v>
      </c>
      <c r="R17" t="s">
        <v>173</v>
      </c>
      <c r="S17" t="s">
        <v>173</v>
      </c>
      <c r="T17" t="s">
        <v>173</v>
      </c>
      <c r="U17" t="s">
        <v>173</v>
      </c>
      <c r="V17" t="s">
        <v>173</v>
      </c>
      <c r="W17" t="s">
        <v>173</v>
      </c>
      <c r="X17" t="s">
        <v>173</v>
      </c>
      <c r="Y17" t="s">
        <v>173</v>
      </c>
      <c r="Z17" t="s">
        <v>173</v>
      </c>
      <c r="AA17" t="s">
        <v>173</v>
      </c>
      <c r="AB17" t="s">
        <v>173</v>
      </c>
      <c r="AC17" t="s">
        <v>173</v>
      </c>
      <c r="AD17" t="s">
        <v>173</v>
      </c>
      <c r="AE17" t="s">
        <v>173</v>
      </c>
      <c r="AF17" t="s">
        <v>173</v>
      </c>
      <c r="AG17" t="s">
        <v>173</v>
      </c>
      <c r="AH17" t="s">
        <v>173</v>
      </c>
      <c r="AI17" t="s">
        <v>173</v>
      </c>
      <c r="AJ17" t="s">
        <v>173</v>
      </c>
      <c r="AK17" t="s">
        <v>173</v>
      </c>
      <c r="AL17" t="s">
        <v>173</v>
      </c>
      <c r="AM17" t="s">
        <v>173</v>
      </c>
      <c r="AN17" t="s">
        <v>173</v>
      </c>
      <c r="AO17" t="s">
        <v>173</v>
      </c>
      <c r="AP17" t="s">
        <v>173</v>
      </c>
      <c r="AQ17" t="s">
        <v>173</v>
      </c>
      <c r="AR17" t="s">
        <v>173</v>
      </c>
      <c r="AS17" t="s">
        <v>173</v>
      </c>
      <c r="AT17" t="s">
        <v>173</v>
      </c>
      <c r="AU17" t="s">
        <v>173</v>
      </c>
      <c r="AV17" t="s">
        <v>173</v>
      </c>
      <c r="AW17" t="s">
        <v>173</v>
      </c>
      <c r="AX17" t="s">
        <v>173</v>
      </c>
      <c r="AY17" t="s">
        <v>173</v>
      </c>
      <c r="AZ17" t="s">
        <v>173</v>
      </c>
      <c r="BA17" t="s">
        <v>173</v>
      </c>
      <c r="BB17" t="s">
        <v>173</v>
      </c>
      <c r="BC17" t="s">
        <v>173</v>
      </c>
      <c r="BD17" t="s">
        <v>173</v>
      </c>
      <c r="BE17" t="s">
        <v>173</v>
      </c>
      <c r="BF17" t="s">
        <v>173</v>
      </c>
      <c r="BG17" t="s">
        <v>173</v>
      </c>
      <c r="BH17" t="s">
        <v>173</v>
      </c>
      <c r="BI17" t="s">
        <v>173</v>
      </c>
      <c r="BJ17" t="s">
        <v>173</v>
      </c>
      <c r="BK17" t="s">
        <v>173</v>
      </c>
      <c r="BL17" t="s">
        <v>173</v>
      </c>
      <c r="BM17" t="s">
        <v>173</v>
      </c>
      <c r="BN17" t="s">
        <v>173</v>
      </c>
      <c r="BO17" t="s">
        <v>173</v>
      </c>
      <c r="BP17" t="s">
        <v>173</v>
      </c>
      <c r="BQ17" t="s">
        <v>173</v>
      </c>
      <c r="BR17" t="s">
        <v>173</v>
      </c>
      <c r="BS17" t="s">
        <v>173</v>
      </c>
      <c r="BT17" t="s">
        <v>173</v>
      </c>
      <c r="BU17" t="s">
        <v>173</v>
      </c>
      <c r="BV17" t="s">
        <v>173</v>
      </c>
      <c r="BX17" t="s">
        <v>173</v>
      </c>
      <c r="BY17" t="s">
        <v>173</v>
      </c>
      <c r="BZ17" t="s">
        <v>173</v>
      </c>
      <c r="CA17" t="s">
        <v>173</v>
      </c>
      <c r="CB17" t="s">
        <v>173</v>
      </c>
      <c r="CC17" t="s">
        <v>173</v>
      </c>
      <c r="CD17" t="s">
        <v>173</v>
      </c>
      <c r="CE17" t="s">
        <v>173</v>
      </c>
      <c r="CF17" t="s">
        <v>173</v>
      </c>
      <c r="CG17" t="s">
        <v>173</v>
      </c>
      <c r="CH17" t="s">
        <v>173</v>
      </c>
      <c r="CI17" t="s">
        <v>173</v>
      </c>
      <c r="CJ17" t="s">
        <v>173</v>
      </c>
      <c r="CK17" t="s">
        <v>173</v>
      </c>
      <c r="CL17" t="s">
        <v>173</v>
      </c>
      <c r="CM17" t="s">
        <v>173</v>
      </c>
      <c r="CN17" t="s">
        <v>173</v>
      </c>
      <c r="CO17" t="s">
        <v>173</v>
      </c>
      <c r="CP17" t="s">
        <v>173</v>
      </c>
      <c r="CQ17" t="s">
        <v>173</v>
      </c>
      <c r="CR17" t="s">
        <v>173</v>
      </c>
      <c r="CS17" t="s">
        <v>173</v>
      </c>
      <c r="CT17" t="s">
        <v>173</v>
      </c>
      <c r="CU17" t="s">
        <v>173</v>
      </c>
      <c r="CV17" t="s">
        <v>173</v>
      </c>
      <c r="CW17" t="s">
        <v>173</v>
      </c>
      <c r="CX17" t="s">
        <v>173</v>
      </c>
      <c r="CY17" t="s">
        <v>173</v>
      </c>
      <c r="CZ17" t="s">
        <v>173</v>
      </c>
      <c r="DA17" t="s">
        <v>173</v>
      </c>
      <c r="DB17" t="s">
        <v>173</v>
      </c>
      <c r="DC17" t="s">
        <v>173</v>
      </c>
      <c r="DD17" t="s">
        <v>173</v>
      </c>
      <c r="DE17" t="s">
        <v>173</v>
      </c>
      <c r="DF17" t="s">
        <v>173</v>
      </c>
      <c r="DG17" t="s">
        <v>173</v>
      </c>
      <c r="DH17" t="s">
        <v>173</v>
      </c>
    </row>
    <row r="18" spans="1:112">
      <c r="A18">
        <v>12</v>
      </c>
      <c r="B18" t="s">
        <v>210</v>
      </c>
      <c r="C18" t="s">
        <v>211</v>
      </c>
      <c r="D18">
        <v>2025</v>
      </c>
      <c r="E18" t="s">
        <v>212</v>
      </c>
      <c r="F18" t="s">
        <v>213</v>
      </c>
      <c r="G18" t="s">
        <v>172</v>
      </c>
      <c r="H18" t="s">
        <v>173</v>
      </c>
      <c r="I18" t="s">
        <v>174</v>
      </c>
      <c r="J18" t="s">
        <v>173</v>
      </c>
      <c r="K18" t="s">
        <v>173</v>
      </c>
      <c r="L18" t="s">
        <v>173</v>
      </c>
      <c r="M18" t="s">
        <v>173</v>
      </c>
      <c r="N18" t="s">
        <v>173</v>
      </c>
      <c r="O18" t="s">
        <v>173</v>
      </c>
      <c r="P18" t="s">
        <v>173</v>
      </c>
      <c r="Q18" t="s">
        <v>173</v>
      </c>
      <c r="R18" t="s">
        <v>173</v>
      </c>
      <c r="S18" t="s">
        <v>173</v>
      </c>
      <c r="T18" t="s">
        <v>173</v>
      </c>
      <c r="U18" t="s">
        <v>173</v>
      </c>
      <c r="V18" t="s">
        <v>173</v>
      </c>
      <c r="W18" t="s">
        <v>173</v>
      </c>
      <c r="X18" t="s">
        <v>173</v>
      </c>
      <c r="Y18" t="s">
        <v>173</v>
      </c>
      <c r="Z18" t="s">
        <v>173</v>
      </c>
      <c r="AA18" t="s">
        <v>173</v>
      </c>
      <c r="AB18" t="s">
        <v>173</v>
      </c>
      <c r="AC18" t="s">
        <v>173</v>
      </c>
      <c r="AD18" t="s">
        <v>173</v>
      </c>
      <c r="AE18" t="s">
        <v>173</v>
      </c>
      <c r="AF18" t="s">
        <v>173</v>
      </c>
      <c r="AG18" t="s">
        <v>173</v>
      </c>
      <c r="AH18" t="s">
        <v>173</v>
      </c>
      <c r="AI18" t="s">
        <v>173</v>
      </c>
      <c r="AJ18" t="s">
        <v>173</v>
      </c>
      <c r="AK18" t="s">
        <v>173</v>
      </c>
      <c r="AL18" t="s">
        <v>173</v>
      </c>
      <c r="AM18" t="s">
        <v>173</v>
      </c>
      <c r="AN18" t="s">
        <v>173</v>
      </c>
      <c r="AO18" t="s">
        <v>173</v>
      </c>
      <c r="AP18" t="s">
        <v>173</v>
      </c>
      <c r="AQ18" t="s">
        <v>173</v>
      </c>
      <c r="AR18" t="s">
        <v>173</v>
      </c>
      <c r="AS18" t="s">
        <v>173</v>
      </c>
      <c r="AT18" t="s">
        <v>173</v>
      </c>
      <c r="AU18" t="s">
        <v>173</v>
      </c>
      <c r="AV18" t="s">
        <v>173</v>
      </c>
      <c r="AW18" t="s">
        <v>173</v>
      </c>
      <c r="AX18" t="s">
        <v>173</v>
      </c>
      <c r="AY18" t="s">
        <v>173</v>
      </c>
      <c r="AZ18" t="s">
        <v>173</v>
      </c>
      <c r="BA18" t="s">
        <v>173</v>
      </c>
      <c r="BB18" t="s">
        <v>173</v>
      </c>
      <c r="BC18" t="s">
        <v>173</v>
      </c>
      <c r="BD18" t="s">
        <v>173</v>
      </c>
      <c r="BE18" t="s">
        <v>173</v>
      </c>
      <c r="BF18" t="s">
        <v>173</v>
      </c>
      <c r="BG18" t="s">
        <v>173</v>
      </c>
      <c r="BH18" t="s">
        <v>173</v>
      </c>
      <c r="BI18" t="s">
        <v>173</v>
      </c>
      <c r="BJ18" t="s">
        <v>173</v>
      </c>
      <c r="BK18" t="s">
        <v>173</v>
      </c>
      <c r="BL18" t="s">
        <v>173</v>
      </c>
      <c r="BM18" t="s">
        <v>173</v>
      </c>
      <c r="BN18" t="s">
        <v>173</v>
      </c>
      <c r="BO18" t="s">
        <v>173</v>
      </c>
      <c r="BP18" t="s">
        <v>173</v>
      </c>
      <c r="BQ18" t="s">
        <v>173</v>
      </c>
      <c r="BR18" t="s">
        <v>173</v>
      </c>
      <c r="BS18" t="s">
        <v>173</v>
      </c>
      <c r="BT18" t="s">
        <v>173</v>
      </c>
      <c r="BU18" t="s">
        <v>173</v>
      </c>
      <c r="BV18" t="s">
        <v>173</v>
      </c>
      <c r="BX18" t="s">
        <v>173</v>
      </c>
      <c r="BY18" t="s">
        <v>173</v>
      </c>
      <c r="BZ18" t="s">
        <v>173</v>
      </c>
      <c r="CA18" t="s">
        <v>173</v>
      </c>
      <c r="CB18" t="s">
        <v>173</v>
      </c>
      <c r="CC18" t="s">
        <v>173</v>
      </c>
      <c r="CD18" t="s">
        <v>173</v>
      </c>
      <c r="CE18" t="s">
        <v>173</v>
      </c>
      <c r="CF18" t="s">
        <v>173</v>
      </c>
      <c r="CG18" t="s">
        <v>173</v>
      </c>
      <c r="CH18" t="s">
        <v>173</v>
      </c>
      <c r="CI18" t="s">
        <v>173</v>
      </c>
      <c r="CJ18" t="s">
        <v>173</v>
      </c>
      <c r="CK18" t="s">
        <v>173</v>
      </c>
      <c r="CL18" t="s">
        <v>173</v>
      </c>
      <c r="CM18" t="s">
        <v>173</v>
      </c>
      <c r="CN18" t="s">
        <v>173</v>
      </c>
      <c r="CO18" t="s">
        <v>173</v>
      </c>
      <c r="CP18" t="s">
        <v>173</v>
      </c>
      <c r="CQ18" t="s">
        <v>173</v>
      </c>
      <c r="CR18" t="s">
        <v>173</v>
      </c>
      <c r="CS18" t="s">
        <v>173</v>
      </c>
      <c r="CT18" t="s">
        <v>173</v>
      </c>
      <c r="CU18" t="s">
        <v>173</v>
      </c>
      <c r="CV18" t="s">
        <v>173</v>
      </c>
      <c r="CW18" t="s">
        <v>173</v>
      </c>
      <c r="CX18" t="s">
        <v>173</v>
      </c>
      <c r="CY18" t="s">
        <v>173</v>
      </c>
      <c r="CZ18" t="s">
        <v>173</v>
      </c>
      <c r="DA18" t="s">
        <v>173</v>
      </c>
      <c r="DB18" t="s">
        <v>173</v>
      </c>
      <c r="DC18" t="s">
        <v>173</v>
      </c>
      <c r="DD18" t="s">
        <v>173</v>
      </c>
      <c r="DE18" t="s">
        <v>173</v>
      </c>
      <c r="DF18" t="s">
        <v>173</v>
      </c>
      <c r="DG18" t="s">
        <v>173</v>
      </c>
      <c r="DH18" t="s">
        <v>173</v>
      </c>
    </row>
    <row r="19" spans="1:112">
      <c r="A19">
        <v>13</v>
      </c>
      <c r="B19" t="s">
        <v>214</v>
      </c>
      <c r="C19" t="s">
        <v>215</v>
      </c>
      <c r="D19">
        <v>2025</v>
      </c>
      <c r="E19" t="s">
        <v>216</v>
      </c>
      <c r="F19" t="s">
        <v>217</v>
      </c>
      <c r="G19" t="s">
        <v>172</v>
      </c>
      <c r="H19">
        <v>0.64</v>
      </c>
      <c r="I19" t="s">
        <v>187</v>
      </c>
      <c r="J19" t="s">
        <v>173</v>
      </c>
      <c r="K19" t="s">
        <v>173</v>
      </c>
      <c r="L19" t="s">
        <v>173</v>
      </c>
      <c r="M19" t="s">
        <v>173</v>
      </c>
      <c r="N19" t="s">
        <v>173</v>
      </c>
      <c r="O19" t="s">
        <v>173</v>
      </c>
      <c r="P19" t="s">
        <v>173</v>
      </c>
      <c r="Q19" t="s">
        <v>173</v>
      </c>
      <c r="R19" t="s">
        <v>173</v>
      </c>
      <c r="S19" t="s">
        <v>173</v>
      </c>
      <c r="T19" t="s">
        <v>173</v>
      </c>
      <c r="U19" t="s">
        <v>173</v>
      </c>
      <c r="V19" t="s">
        <v>173</v>
      </c>
      <c r="W19" t="s">
        <v>173</v>
      </c>
      <c r="X19" t="s">
        <v>173</v>
      </c>
      <c r="Y19" t="s">
        <v>173</v>
      </c>
      <c r="Z19" t="s">
        <v>173</v>
      </c>
      <c r="AA19" t="s">
        <v>173</v>
      </c>
      <c r="AB19" t="s">
        <v>173</v>
      </c>
      <c r="AC19" t="s">
        <v>173</v>
      </c>
      <c r="AD19" t="s">
        <v>173</v>
      </c>
      <c r="AE19" t="s">
        <v>173</v>
      </c>
      <c r="AF19" t="s">
        <v>173</v>
      </c>
      <c r="AG19" t="s">
        <v>173</v>
      </c>
      <c r="AH19" t="s">
        <v>173</v>
      </c>
      <c r="AI19" t="s">
        <v>173</v>
      </c>
      <c r="AJ19" t="s">
        <v>173</v>
      </c>
      <c r="AK19" t="s">
        <v>173</v>
      </c>
      <c r="AL19" t="s">
        <v>173</v>
      </c>
      <c r="AM19" t="s">
        <v>173</v>
      </c>
      <c r="AN19" t="s">
        <v>173</v>
      </c>
      <c r="AO19" t="s">
        <v>173</v>
      </c>
      <c r="AP19" t="s">
        <v>173</v>
      </c>
      <c r="AQ19" t="s">
        <v>173</v>
      </c>
      <c r="AR19" t="s">
        <v>173</v>
      </c>
      <c r="AS19" t="s">
        <v>173</v>
      </c>
      <c r="AT19" t="s">
        <v>173</v>
      </c>
      <c r="AU19" t="s">
        <v>173</v>
      </c>
      <c r="AV19" t="s">
        <v>173</v>
      </c>
      <c r="AW19" t="s">
        <v>173</v>
      </c>
      <c r="AX19" t="s">
        <v>173</v>
      </c>
      <c r="AY19" t="s">
        <v>173</v>
      </c>
      <c r="AZ19" t="s">
        <v>173</v>
      </c>
      <c r="BA19" t="s">
        <v>173</v>
      </c>
      <c r="BB19" t="s">
        <v>173</v>
      </c>
      <c r="BC19" t="s">
        <v>173</v>
      </c>
      <c r="BD19" t="s">
        <v>173</v>
      </c>
      <c r="BE19" t="s">
        <v>173</v>
      </c>
      <c r="BF19" t="s">
        <v>173</v>
      </c>
      <c r="BG19" t="s">
        <v>173</v>
      </c>
      <c r="BH19" t="s">
        <v>173</v>
      </c>
      <c r="BI19" t="s">
        <v>173</v>
      </c>
      <c r="BJ19" t="s">
        <v>173</v>
      </c>
      <c r="BK19" t="s">
        <v>173</v>
      </c>
      <c r="BL19" t="s">
        <v>173</v>
      </c>
      <c r="BM19" t="s">
        <v>173</v>
      </c>
      <c r="BN19" t="s">
        <v>173</v>
      </c>
      <c r="BO19" t="s">
        <v>173</v>
      </c>
      <c r="BP19" t="s">
        <v>173</v>
      </c>
      <c r="BQ19" t="s">
        <v>173</v>
      </c>
      <c r="BR19" t="s">
        <v>173</v>
      </c>
      <c r="BS19" t="s">
        <v>173</v>
      </c>
      <c r="BT19" t="s">
        <v>173</v>
      </c>
      <c r="BU19" t="s">
        <v>173</v>
      </c>
      <c r="BV19" t="s">
        <v>173</v>
      </c>
      <c r="BX19" t="s">
        <v>173</v>
      </c>
      <c r="BY19" t="s">
        <v>173</v>
      </c>
      <c r="BZ19" t="s">
        <v>173</v>
      </c>
      <c r="CA19" t="s">
        <v>173</v>
      </c>
      <c r="CB19" t="s">
        <v>173</v>
      </c>
      <c r="CC19" t="s">
        <v>173</v>
      </c>
      <c r="CD19" t="s">
        <v>173</v>
      </c>
      <c r="CE19" t="s">
        <v>173</v>
      </c>
      <c r="CF19" t="s">
        <v>173</v>
      </c>
      <c r="CG19" t="s">
        <v>173</v>
      </c>
      <c r="CH19" t="s">
        <v>173</v>
      </c>
      <c r="CI19" t="s">
        <v>173</v>
      </c>
      <c r="CJ19" t="s">
        <v>173</v>
      </c>
      <c r="CK19" t="s">
        <v>173</v>
      </c>
      <c r="CL19" t="s">
        <v>173</v>
      </c>
      <c r="CM19" t="s">
        <v>173</v>
      </c>
      <c r="CN19" t="s">
        <v>173</v>
      </c>
      <c r="CO19" t="s">
        <v>173</v>
      </c>
      <c r="CP19" t="s">
        <v>173</v>
      </c>
      <c r="CQ19" t="s">
        <v>173</v>
      </c>
      <c r="CR19" t="s">
        <v>173</v>
      </c>
      <c r="CS19" t="s">
        <v>173</v>
      </c>
      <c r="CT19" t="s">
        <v>173</v>
      </c>
      <c r="CU19" t="s">
        <v>173</v>
      </c>
      <c r="CV19" t="s">
        <v>173</v>
      </c>
      <c r="CW19" t="s">
        <v>173</v>
      </c>
      <c r="CX19" t="s">
        <v>173</v>
      </c>
      <c r="CY19" t="s">
        <v>173</v>
      </c>
      <c r="CZ19" t="s">
        <v>173</v>
      </c>
      <c r="DA19" t="s">
        <v>173</v>
      </c>
      <c r="DB19" t="s">
        <v>173</v>
      </c>
      <c r="DC19" t="s">
        <v>173</v>
      </c>
      <c r="DD19" t="s">
        <v>173</v>
      </c>
      <c r="DE19" t="s">
        <v>173</v>
      </c>
      <c r="DF19" t="s">
        <v>173</v>
      </c>
      <c r="DG19" t="s">
        <v>173</v>
      </c>
      <c r="DH19" t="s">
        <v>173</v>
      </c>
    </row>
    <row r="20" spans="1:112">
      <c r="A20">
        <v>14</v>
      </c>
      <c r="B20" t="s">
        <v>218</v>
      </c>
      <c r="C20" t="s">
        <v>219</v>
      </c>
      <c r="D20">
        <v>2025</v>
      </c>
      <c r="E20" t="s">
        <v>177</v>
      </c>
      <c r="F20" t="s">
        <v>220</v>
      </c>
      <c r="G20" t="s">
        <v>172</v>
      </c>
      <c r="H20" t="s">
        <v>173</v>
      </c>
      <c r="I20" t="s">
        <v>174</v>
      </c>
      <c r="J20" t="s">
        <v>173</v>
      </c>
      <c r="K20" t="s">
        <v>173</v>
      </c>
      <c r="L20" t="s">
        <v>173</v>
      </c>
      <c r="M20" t="s">
        <v>173</v>
      </c>
      <c r="N20" t="s">
        <v>173</v>
      </c>
      <c r="O20" t="s">
        <v>173</v>
      </c>
      <c r="P20" t="s">
        <v>173</v>
      </c>
      <c r="Q20" t="s">
        <v>173</v>
      </c>
      <c r="R20" t="s">
        <v>173</v>
      </c>
      <c r="S20" t="s">
        <v>173</v>
      </c>
      <c r="T20" t="s">
        <v>173</v>
      </c>
      <c r="U20" t="s">
        <v>173</v>
      </c>
      <c r="V20" t="s">
        <v>173</v>
      </c>
      <c r="W20" t="s">
        <v>173</v>
      </c>
      <c r="X20" t="s">
        <v>173</v>
      </c>
      <c r="Y20" t="s">
        <v>173</v>
      </c>
      <c r="Z20" t="s">
        <v>173</v>
      </c>
      <c r="AA20" t="s">
        <v>173</v>
      </c>
      <c r="AB20" t="s">
        <v>173</v>
      </c>
      <c r="AC20" t="s">
        <v>173</v>
      </c>
      <c r="AD20" t="s">
        <v>173</v>
      </c>
      <c r="AE20" t="s">
        <v>173</v>
      </c>
      <c r="AF20" t="s">
        <v>173</v>
      </c>
      <c r="AG20" t="s">
        <v>173</v>
      </c>
      <c r="AH20" t="s">
        <v>173</v>
      </c>
      <c r="AI20" t="s">
        <v>173</v>
      </c>
      <c r="AJ20" t="s">
        <v>173</v>
      </c>
      <c r="AK20" t="s">
        <v>173</v>
      </c>
      <c r="AL20" t="s">
        <v>173</v>
      </c>
      <c r="AM20" t="s">
        <v>173</v>
      </c>
      <c r="AN20" t="s">
        <v>173</v>
      </c>
      <c r="AO20" t="s">
        <v>173</v>
      </c>
      <c r="AP20" t="s">
        <v>173</v>
      </c>
      <c r="AQ20" t="s">
        <v>173</v>
      </c>
      <c r="AR20" t="s">
        <v>173</v>
      </c>
      <c r="AS20" t="s">
        <v>173</v>
      </c>
      <c r="AT20" t="s">
        <v>173</v>
      </c>
      <c r="AU20" t="s">
        <v>173</v>
      </c>
      <c r="AV20" t="s">
        <v>173</v>
      </c>
      <c r="AW20" t="s">
        <v>173</v>
      </c>
      <c r="AX20" t="s">
        <v>173</v>
      </c>
      <c r="AY20" t="s">
        <v>173</v>
      </c>
      <c r="AZ20" t="s">
        <v>173</v>
      </c>
      <c r="BA20" t="s">
        <v>173</v>
      </c>
      <c r="BB20" t="s">
        <v>173</v>
      </c>
      <c r="BC20" t="s">
        <v>173</v>
      </c>
      <c r="BD20" t="s">
        <v>173</v>
      </c>
      <c r="BE20" t="s">
        <v>173</v>
      </c>
      <c r="BF20" t="s">
        <v>173</v>
      </c>
      <c r="BG20" t="s">
        <v>173</v>
      </c>
      <c r="BH20" t="s">
        <v>173</v>
      </c>
      <c r="BI20" t="s">
        <v>173</v>
      </c>
      <c r="BJ20" t="s">
        <v>173</v>
      </c>
      <c r="BK20" t="s">
        <v>173</v>
      </c>
      <c r="BL20" t="s">
        <v>173</v>
      </c>
      <c r="BM20" t="s">
        <v>173</v>
      </c>
      <c r="BN20" t="s">
        <v>173</v>
      </c>
      <c r="BO20" t="s">
        <v>173</v>
      </c>
      <c r="BP20" t="s">
        <v>173</v>
      </c>
      <c r="BQ20" t="s">
        <v>173</v>
      </c>
      <c r="BR20" t="s">
        <v>173</v>
      </c>
      <c r="BS20" t="s">
        <v>173</v>
      </c>
      <c r="BT20" t="s">
        <v>173</v>
      </c>
      <c r="BU20" t="s">
        <v>173</v>
      </c>
      <c r="BV20" t="s">
        <v>173</v>
      </c>
      <c r="BX20" t="s">
        <v>173</v>
      </c>
      <c r="BY20" t="s">
        <v>173</v>
      </c>
      <c r="BZ20" t="s">
        <v>173</v>
      </c>
      <c r="CA20" t="s">
        <v>173</v>
      </c>
      <c r="CB20" t="s">
        <v>173</v>
      </c>
      <c r="CC20" t="s">
        <v>173</v>
      </c>
      <c r="CD20" t="s">
        <v>173</v>
      </c>
      <c r="CE20" t="s">
        <v>173</v>
      </c>
      <c r="CF20" t="s">
        <v>173</v>
      </c>
      <c r="CG20" t="s">
        <v>173</v>
      </c>
      <c r="CH20" t="s">
        <v>173</v>
      </c>
      <c r="CI20" t="s">
        <v>173</v>
      </c>
      <c r="CJ20" t="s">
        <v>173</v>
      </c>
      <c r="CK20" t="s">
        <v>173</v>
      </c>
      <c r="CL20" t="s">
        <v>173</v>
      </c>
      <c r="CM20" t="s">
        <v>173</v>
      </c>
      <c r="CN20" t="s">
        <v>173</v>
      </c>
      <c r="CO20" t="s">
        <v>173</v>
      </c>
      <c r="CP20" t="s">
        <v>173</v>
      </c>
      <c r="CQ20" t="s">
        <v>173</v>
      </c>
      <c r="CR20" t="s">
        <v>173</v>
      </c>
      <c r="CS20" t="s">
        <v>173</v>
      </c>
      <c r="CT20" t="s">
        <v>173</v>
      </c>
      <c r="CU20" t="s">
        <v>173</v>
      </c>
      <c r="CV20" t="s">
        <v>173</v>
      </c>
      <c r="CW20" t="s">
        <v>173</v>
      </c>
      <c r="CX20" t="s">
        <v>173</v>
      </c>
      <c r="CY20" t="s">
        <v>173</v>
      </c>
      <c r="CZ20" t="s">
        <v>173</v>
      </c>
      <c r="DA20" t="s">
        <v>173</v>
      </c>
      <c r="DB20" t="s">
        <v>173</v>
      </c>
      <c r="DC20" t="s">
        <v>173</v>
      </c>
      <c r="DD20" t="s">
        <v>173</v>
      </c>
      <c r="DE20" t="s">
        <v>173</v>
      </c>
      <c r="DF20" t="s">
        <v>173</v>
      </c>
      <c r="DG20" t="s">
        <v>173</v>
      </c>
      <c r="DH20" t="s">
        <v>173</v>
      </c>
    </row>
    <row r="21" spans="1:112">
      <c r="A21">
        <v>15</v>
      </c>
      <c r="B21" t="s">
        <v>221</v>
      </c>
      <c r="C21" t="s">
        <v>222</v>
      </c>
      <c r="D21">
        <v>2025</v>
      </c>
      <c r="E21" t="s">
        <v>223</v>
      </c>
      <c r="F21" t="s">
        <v>224</v>
      </c>
      <c r="G21" t="s">
        <v>172</v>
      </c>
      <c r="H21" t="s">
        <v>173</v>
      </c>
      <c r="I21" t="s">
        <v>197</v>
      </c>
      <c r="J21" t="s">
        <v>173</v>
      </c>
      <c r="K21" t="s">
        <v>173</v>
      </c>
      <c r="L21" t="s">
        <v>173</v>
      </c>
      <c r="M21" t="s">
        <v>173</v>
      </c>
      <c r="N21" t="s">
        <v>173</v>
      </c>
      <c r="O21" t="s">
        <v>173</v>
      </c>
      <c r="P21" t="s">
        <v>173</v>
      </c>
      <c r="Q21" t="s">
        <v>173</v>
      </c>
      <c r="R21" t="s">
        <v>173</v>
      </c>
      <c r="S21" t="s">
        <v>173</v>
      </c>
      <c r="T21" t="s">
        <v>173</v>
      </c>
      <c r="U21" t="s">
        <v>173</v>
      </c>
      <c r="V21" t="s">
        <v>173</v>
      </c>
      <c r="W21" t="s">
        <v>173</v>
      </c>
      <c r="X21" t="s">
        <v>173</v>
      </c>
      <c r="Y21" t="s">
        <v>173</v>
      </c>
      <c r="Z21" t="s">
        <v>173</v>
      </c>
      <c r="AA21" t="s">
        <v>173</v>
      </c>
      <c r="AB21" t="s">
        <v>173</v>
      </c>
      <c r="AC21" t="s">
        <v>173</v>
      </c>
      <c r="AD21" t="s">
        <v>173</v>
      </c>
      <c r="AE21" t="s">
        <v>173</v>
      </c>
      <c r="AF21" t="s">
        <v>173</v>
      </c>
      <c r="AG21" t="s">
        <v>173</v>
      </c>
      <c r="AH21" t="s">
        <v>173</v>
      </c>
      <c r="AI21" t="s">
        <v>173</v>
      </c>
      <c r="AJ21" t="s">
        <v>173</v>
      </c>
      <c r="AK21" t="s">
        <v>173</v>
      </c>
      <c r="AL21" t="s">
        <v>173</v>
      </c>
      <c r="AM21" t="s">
        <v>173</v>
      </c>
      <c r="AN21" t="s">
        <v>173</v>
      </c>
      <c r="AO21" t="s">
        <v>173</v>
      </c>
      <c r="AP21" t="s">
        <v>173</v>
      </c>
      <c r="AQ21" t="s">
        <v>173</v>
      </c>
      <c r="AR21" t="s">
        <v>173</v>
      </c>
      <c r="AS21" t="s">
        <v>173</v>
      </c>
      <c r="AT21" t="s">
        <v>173</v>
      </c>
      <c r="AU21" t="s">
        <v>173</v>
      </c>
      <c r="AV21" t="s">
        <v>173</v>
      </c>
      <c r="AW21" t="s">
        <v>173</v>
      </c>
      <c r="AX21" t="s">
        <v>173</v>
      </c>
      <c r="AY21" t="s">
        <v>173</v>
      </c>
      <c r="AZ21" t="s">
        <v>173</v>
      </c>
      <c r="BA21" t="s">
        <v>173</v>
      </c>
      <c r="BB21" t="s">
        <v>173</v>
      </c>
      <c r="BC21" t="s">
        <v>173</v>
      </c>
      <c r="BD21" t="s">
        <v>173</v>
      </c>
      <c r="BE21" t="s">
        <v>173</v>
      </c>
      <c r="BF21" t="s">
        <v>173</v>
      </c>
      <c r="BG21" t="s">
        <v>173</v>
      </c>
      <c r="BH21" t="s">
        <v>173</v>
      </c>
      <c r="BI21" t="s">
        <v>173</v>
      </c>
      <c r="BJ21" t="s">
        <v>173</v>
      </c>
      <c r="BK21" t="s">
        <v>173</v>
      </c>
      <c r="BL21" t="s">
        <v>173</v>
      </c>
      <c r="BM21" t="s">
        <v>173</v>
      </c>
      <c r="BN21" t="s">
        <v>173</v>
      </c>
      <c r="BO21" t="s">
        <v>173</v>
      </c>
      <c r="BP21" t="s">
        <v>173</v>
      </c>
      <c r="BQ21" t="s">
        <v>173</v>
      </c>
      <c r="BR21" t="s">
        <v>173</v>
      </c>
      <c r="BS21" t="s">
        <v>173</v>
      </c>
      <c r="BT21" t="s">
        <v>173</v>
      </c>
      <c r="BU21" t="s">
        <v>173</v>
      </c>
      <c r="BV21" t="s">
        <v>173</v>
      </c>
      <c r="BX21" t="s">
        <v>173</v>
      </c>
      <c r="BY21" t="s">
        <v>173</v>
      </c>
      <c r="BZ21" t="s">
        <v>173</v>
      </c>
      <c r="CA21" t="s">
        <v>173</v>
      </c>
      <c r="CB21" t="s">
        <v>173</v>
      </c>
      <c r="CC21" t="s">
        <v>173</v>
      </c>
      <c r="CD21" t="s">
        <v>173</v>
      </c>
      <c r="CE21" t="s">
        <v>173</v>
      </c>
      <c r="CF21" t="s">
        <v>173</v>
      </c>
      <c r="CG21" t="s">
        <v>173</v>
      </c>
      <c r="CH21" t="s">
        <v>173</v>
      </c>
      <c r="CI21" t="s">
        <v>173</v>
      </c>
      <c r="CJ21" t="s">
        <v>173</v>
      </c>
      <c r="CK21" t="s">
        <v>173</v>
      </c>
      <c r="CL21" t="s">
        <v>173</v>
      </c>
      <c r="CM21" t="s">
        <v>173</v>
      </c>
      <c r="CN21" t="s">
        <v>173</v>
      </c>
      <c r="CO21" t="s">
        <v>173</v>
      </c>
      <c r="CP21" t="s">
        <v>173</v>
      </c>
      <c r="CQ21" t="s">
        <v>173</v>
      </c>
      <c r="CR21" t="s">
        <v>173</v>
      </c>
      <c r="CS21" t="s">
        <v>173</v>
      </c>
      <c r="CT21" t="s">
        <v>173</v>
      </c>
      <c r="CU21" t="s">
        <v>173</v>
      </c>
      <c r="CV21" t="s">
        <v>173</v>
      </c>
      <c r="CW21" t="s">
        <v>173</v>
      </c>
      <c r="CX21" t="s">
        <v>173</v>
      </c>
      <c r="CY21" t="s">
        <v>173</v>
      </c>
      <c r="CZ21" t="s">
        <v>173</v>
      </c>
      <c r="DA21" t="s">
        <v>173</v>
      </c>
      <c r="DB21" t="s">
        <v>173</v>
      </c>
      <c r="DC21" t="s">
        <v>173</v>
      </c>
      <c r="DD21" t="s">
        <v>173</v>
      </c>
      <c r="DE21" t="s">
        <v>173</v>
      </c>
      <c r="DF21" t="s">
        <v>173</v>
      </c>
      <c r="DG21" t="s">
        <v>173</v>
      </c>
      <c r="DH21" t="s">
        <v>173</v>
      </c>
    </row>
    <row r="22" spans="1:112">
      <c r="A22">
        <v>16</v>
      </c>
      <c r="B22" t="s">
        <v>225</v>
      </c>
      <c r="C22" t="s">
        <v>226</v>
      </c>
      <c r="D22">
        <v>2025</v>
      </c>
      <c r="E22" t="s">
        <v>227</v>
      </c>
      <c r="F22" t="s">
        <v>228</v>
      </c>
      <c r="G22" t="s">
        <v>172</v>
      </c>
      <c r="H22" t="s">
        <v>173</v>
      </c>
      <c r="I22" t="s">
        <v>174</v>
      </c>
      <c r="J22" t="s">
        <v>173</v>
      </c>
      <c r="K22" t="s">
        <v>173</v>
      </c>
      <c r="L22" t="s">
        <v>173</v>
      </c>
      <c r="M22" t="s">
        <v>173</v>
      </c>
      <c r="N22" t="s">
        <v>173</v>
      </c>
      <c r="O22" t="s">
        <v>173</v>
      </c>
      <c r="P22" t="s">
        <v>173</v>
      </c>
      <c r="Q22" t="s">
        <v>173</v>
      </c>
      <c r="R22" t="s">
        <v>173</v>
      </c>
      <c r="S22" t="s">
        <v>173</v>
      </c>
      <c r="T22" t="s">
        <v>173</v>
      </c>
      <c r="U22" t="s">
        <v>173</v>
      </c>
      <c r="V22" t="s">
        <v>173</v>
      </c>
      <c r="W22" t="s">
        <v>173</v>
      </c>
      <c r="X22" t="s">
        <v>173</v>
      </c>
      <c r="Y22" t="s">
        <v>173</v>
      </c>
      <c r="Z22" t="s">
        <v>173</v>
      </c>
      <c r="AA22" t="s">
        <v>173</v>
      </c>
      <c r="AB22" t="s">
        <v>173</v>
      </c>
      <c r="AC22" t="s">
        <v>173</v>
      </c>
      <c r="AD22" t="s">
        <v>173</v>
      </c>
      <c r="AE22" t="s">
        <v>173</v>
      </c>
      <c r="AF22" t="s">
        <v>173</v>
      </c>
      <c r="AG22" t="s">
        <v>173</v>
      </c>
      <c r="AH22" t="s">
        <v>173</v>
      </c>
      <c r="AI22" t="s">
        <v>173</v>
      </c>
      <c r="AJ22" t="s">
        <v>173</v>
      </c>
      <c r="AK22" t="s">
        <v>173</v>
      </c>
      <c r="AL22" t="s">
        <v>173</v>
      </c>
      <c r="AM22" t="s">
        <v>173</v>
      </c>
      <c r="AN22" t="s">
        <v>173</v>
      </c>
      <c r="AO22" t="s">
        <v>173</v>
      </c>
      <c r="AP22" t="s">
        <v>173</v>
      </c>
      <c r="AQ22" t="s">
        <v>173</v>
      </c>
      <c r="AR22" t="s">
        <v>173</v>
      </c>
      <c r="AS22" t="s">
        <v>173</v>
      </c>
      <c r="AT22" t="s">
        <v>173</v>
      </c>
      <c r="AU22" t="s">
        <v>173</v>
      </c>
      <c r="AV22" t="s">
        <v>173</v>
      </c>
      <c r="AW22" t="s">
        <v>173</v>
      </c>
      <c r="AX22" t="s">
        <v>173</v>
      </c>
      <c r="AY22" t="s">
        <v>173</v>
      </c>
      <c r="AZ22" t="s">
        <v>173</v>
      </c>
      <c r="BA22" t="s">
        <v>173</v>
      </c>
      <c r="BB22" t="s">
        <v>173</v>
      </c>
      <c r="BC22" t="s">
        <v>173</v>
      </c>
      <c r="BD22" t="s">
        <v>173</v>
      </c>
      <c r="BE22" t="s">
        <v>173</v>
      </c>
      <c r="BF22" t="s">
        <v>173</v>
      </c>
      <c r="BG22" t="s">
        <v>173</v>
      </c>
      <c r="BH22" t="s">
        <v>173</v>
      </c>
      <c r="BI22" t="s">
        <v>173</v>
      </c>
      <c r="BJ22" t="s">
        <v>173</v>
      </c>
      <c r="BK22" t="s">
        <v>173</v>
      </c>
      <c r="BL22" t="s">
        <v>173</v>
      </c>
      <c r="BM22" t="s">
        <v>173</v>
      </c>
      <c r="BN22" t="s">
        <v>173</v>
      </c>
      <c r="BO22" t="s">
        <v>173</v>
      </c>
      <c r="BP22" t="s">
        <v>173</v>
      </c>
      <c r="BQ22" t="s">
        <v>173</v>
      </c>
      <c r="BR22" t="s">
        <v>173</v>
      </c>
      <c r="BS22" t="s">
        <v>173</v>
      </c>
      <c r="BT22" t="s">
        <v>173</v>
      </c>
      <c r="BU22" t="s">
        <v>173</v>
      </c>
      <c r="BV22" t="s">
        <v>173</v>
      </c>
      <c r="BX22" t="s">
        <v>173</v>
      </c>
      <c r="BY22" t="s">
        <v>173</v>
      </c>
      <c r="BZ22" t="s">
        <v>173</v>
      </c>
      <c r="CA22" t="s">
        <v>173</v>
      </c>
      <c r="CB22" t="s">
        <v>173</v>
      </c>
      <c r="CC22" t="s">
        <v>173</v>
      </c>
      <c r="CD22" t="s">
        <v>173</v>
      </c>
      <c r="CE22" t="s">
        <v>173</v>
      </c>
      <c r="CF22" t="s">
        <v>173</v>
      </c>
      <c r="CG22" t="s">
        <v>173</v>
      </c>
      <c r="CH22" t="s">
        <v>173</v>
      </c>
      <c r="CI22" t="s">
        <v>173</v>
      </c>
      <c r="CJ22" t="s">
        <v>173</v>
      </c>
      <c r="CK22" t="s">
        <v>173</v>
      </c>
      <c r="CL22" t="s">
        <v>173</v>
      </c>
      <c r="CM22" t="s">
        <v>173</v>
      </c>
      <c r="CN22" t="s">
        <v>173</v>
      </c>
      <c r="CO22" t="s">
        <v>173</v>
      </c>
      <c r="CP22" t="s">
        <v>173</v>
      </c>
      <c r="CQ22" t="s">
        <v>173</v>
      </c>
      <c r="CR22" t="s">
        <v>173</v>
      </c>
      <c r="CS22" t="s">
        <v>173</v>
      </c>
      <c r="CT22" t="s">
        <v>173</v>
      </c>
      <c r="CU22" t="s">
        <v>173</v>
      </c>
      <c r="CV22" t="s">
        <v>173</v>
      </c>
      <c r="CW22" t="s">
        <v>173</v>
      </c>
      <c r="CX22" t="s">
        <v>173</v>
      </c>
      <c r="CY22" t="s">
        <v>173</v>
      </c>
      <c r="CZ22" t="s">
        <v>173</v>
      </c>
      <c r="DA22" t="s">
        <v>173</v>
      </c>
      <c r="DB22" t="s">
        <v>173</v>
      </c>
      <c r="DC22" t="s">
        <v>173</v>
      </c>
      <c r="DD22" t="s">
        <v>173</v>
      </c>
      <c r="DE22" t="s">
        <v>173</v>
      </c>
      <c r="DF22" t="s">
        <v>173</v>
      </c>
      <c r="DG22" t="s">
        <v>173</v>
      </c>
      <c r="DH22" t="s">
        <v>173</v>
      </c>
    </row>
    <row r="23" spans="1:112">
      <c r="A23">
        <v>17</v>
      </c>
      <c r="B23" t="s">
        <v>229</v>
      </c>
      <c r="C23" t="s">
        <v>230</v>
      </c>
      <c r="D23">
        <v>2025</v>
      </c>
      <c r="E23" t="s">
        <v>231</v>
      </c>
      <c r="F23" t="s">
        <v>232</v>
      </c>
      <c r="G23" t="s">
        <v>172</v>
      </c>
      <c r="H23" t="s">
        <v>173</v>
      </c>
      <c r="I23" t="s">
        <v>197</v>
      </c>
      <c r="J23" t="s">
        <v>173</v>
      </c>
      <c r="K23" t="s">
        <v>173</v>
      </c>
      <c r="L23" t="s">
        <v>173</v>
      </c>
      <c r="M23" t="s">
        <v>173</v>
      </c>
      <c r="N23" t="s">
        <v>173</v>
      </c>
      <c r="O23" t="s">
        <v>173</v>
      </c>
      <c r="P23" t="s">
        <v>173</v>
      </c>
      <c r="Q23" t="s">
        <v>173</v>
      </c>
      <c r="R23" t="s">
        <v>173</v>
      </c>
      <c r="S23" t="s">
        <v>173</v>
      </c>
      <c r="T23" t="s">
        <v>173</v>
      </c>
      <c r="U23" t="s">
        <v>173</v>
      </c>
      <c r="V23" t="s">
        <v>173</v>
      </c>
      <c r="W23" t="s">
        <v>173</v>
      </c>
      <c r="X23" t="s">
        <v>173</v>
      </c>
      <c r="Y23" t="s">
        <v>173</v>
      </c>
      <c r="Z23" t="s">
        <v>173</v>
      </c>
      <c r="AA23" t="s">
        <v>173</v>
      </c>
      <c r="AB23" t="s">
        <v>173</v>
      </c>
      <c r="AC23" t="s">
        <v>173</v>
      </c>
      <c r="AD23" t="s">
        <v>173</v>
      </c>
      <c r="AE23" t="s">
        <v>173</v>
      </c>
      <c r="AF23" t="s">
        <v>173</v>
      </c>
      <c r="AG23" t="s">
        <v>173</v>
      </c>
      <c r="AH23" t="s">
        <v>173</v>
      </c>
      <c r="AI23" t="s">
        <v>173</v>
      </c>
      <c r="AJ23" t="s">
        <v>173</v>
      </c>
      <c r="AK23" t="s">
        <v>173</v>
      </c>
      <c r="AL23" t="s">
        <v>173</v>
      </c>
      <c r="AM23" t="s">
        <v>173</v>
      </c>
      <c r="AN23" t="s">
        <v>173</v>
      </c>
      <c r="AO23" t="s">
        <v>173</v>
      </c>
      <c r="AP23" t="s">
        <v>173</v>
      </c>
      <c r="AQ23" t="s">
        <v>173</v>
      </c>
      <c r="AR23" t="s">
        <v>173</v>
      </c>
      <c r="AS23" t="s">
        <v>173</v>
      </c>
      <c r="AT23" t="s">
        <v>173</v>
      </c>
      <c r="AU23" t="s">
        <v>173</v>
      </c>
      <c r="AV23" t="s">
        <v>173</v>
      </c>
      <c r="AW23" t="s">
        <v>173</v>
      </c>
      <c r="AX23" t="s">
        <v>173</v>
      </c>
      <c r="AY23" t="s">
        <v>173</v>
      </c>
      <c r="AZ23" t="s">
        <v>173</v>
      </c>
      <c r="BA23" t="s">
        <v>173</v>
      </c>
      <c r="BB23" t="s">
        <v>173</v>
      </c>
      <c r="BC23" t="s">
        <v>173</v>
      </c>
      <c r="BD23" t="s">
        <v>173</v>
      </c>
      <c r="BE23" t="s">
        <v>173</v>
      </c>
      <c r="BF23" t="s">
        <v>173</v>
      </c>
      <c r="BG23" t="s">
        <v>173</v>
      </c>
      <c r="BH23" t="s">
        <v>173</v>
      </c>
      <c r="BI23" t="s">
        <v>173</v>
      </c>
      <c r="BJ23" t="s">
        <v>173</v>
      </c>
      <c r="BK23" t="s">
        <v>173</v>
      </c>
      <c r="BL23" t="s">
        <v>173</v>
      </c>
      <c r="BM23" t="s">
        <v>173</v>
      </c>
      <c r="BN23" t="s">
        <v>173</v>
      </c>
      <c r="BO23" t="s">
        <v>173</v>
      </c>
      <c r="BP23" t="s">
        <v>173</v>
      </c>
      <c r="BQ23" t="s">
        <v>173</v>
      </c>
      <c r="BR23" t="s">
        <v>173</v>
      </c>
      <c r="BS23" t="s">
        <v>173</v>
      </c>
      <c r="BT23" t="s">
        <v>173</v>
      </c>
      <c r="BU23" t="s">
        <v>173</v>
      </c>
      <c r="BV23" t="s">
        <v>173</v>
      </c>
      <c r="BX23" t="s">
        <v>173</v>
      </c>
      <c r="BY23" t="s">
        <v>173</v>
      </c>
      <c r="BZ23" t="s">
        <v>173</v>
      </c>
      <c r="CA23" t="s">
        <v>173</v>
      </c>
      <c r="CB23" t="s">
        <v>173</v>
      </c>
      <c r="CC23" t="s">
        <v>173</v>
      </c>
      <c r="CD23" t="s">
        <v>173</v>
      </c>
      <c r="CE23" t="s">
        <v>173</v>
      </c>
      <c r="CF23" t="s">
        <v>173</v>
      </c>
      <c r="CG23" t="s">
        <v>173</v>
      </c>
      <c r="CH23" t="s">
        <v>173</v>
      </c>
      <c r="CI23" t="s">
        <v>173</v>
      </c>
      <c r="CJ23" t="s">
        <v>173</v>
      </c>
      <c r="CK23" t="s">
        <v>173</v>
      </c>
      <c r="CL23" t="s">
        <v>173</v>
      </c>
      <c r="CM23" t="s">
        <v>173</v>
      </c>
      <c r="CN23" t="s">
        <v>173</v>
      </c>
      <c r="CO23" t="s">
        <v>173</v>
      </c>
      <c r="CP23" t="s">
        <v>173</v>
      </c>
      <c r="CQ23" t="s">
        <v>173</v>
      </c>
      <c r="CR23" t="s">
        <v>173</v>
      </c>
      <c r="CS23" t="s">
        <v>173</v>
      </c>
      <c r="CT23" t="s">
        <v>173</v>
      </c>
      <c r="CU23" t="s">
        <v>173</v>
      </c>
      <c r="CV23" t="s">
        <v>173</v>
      </c>
      <c r="CW23" t="s">
        <v>173</v>
      </c>
      <c r="CX23" t="s">
        <v>173</v>
      </c>
      <c r="CY23" t="s">
        <v>173</v>
      </c>
      <c r="CZ23" t="s">
        <v>173</v>
      </c>
      <c r="DA23" t="s">
        <v>173</v>
      </c>
      <c r="DB23" t="s">
        <v>173</v>
      </c>
      <c r="DC23" t="s">
        <v>173</v>
      </c>
      <c r="DD23" t="s">
        <v>173</v>
      </c>
      <c r="DE23" t="s">
        <v>173</v>
      </c>
      <c r="DF23" t="s">
        <v>173</v>
      </c>
      <c r="DG23" t="s">
        <v>173</v>
      </c>
      <c r="DH23" t="s">
        <v>173</v>
      </c>
    </row>
    <row r="24" spans="1:112">
      <c r="A24">
        <v>19</v>
      </c>
      <c r="B24" t="s">
        <v>233</v>
      </c>
      <c r="C24" t="s">
        <v>234</v>
      </c>
      <c r="D24">
        <v>2025</v>
      </c>
      <c r="E24" t="s">
        <v>177</v>
      </c>
      <c r="F24" t="s">
        <v>235</v>
      </c>
      <c r="G24" t="s">
        <v>172</v>
      </c>
      <c r="H24" t="s">
        <v>173</v>
      </c>
      <c r="I24" t="s">
        <v>174</v>
      </c>
      <c r="J24" t="s">
        <v>173</v>
      </c>
      <c r="K24" t="s">
        <v>173</v>
      </c>
      <c r="L24" t="s">
        <v>173</v>
      </c>
      <c r="M24" t="s">
        <v>173</v>
      </c>
      <c r="N24" t="s">
        <v>173</v>
      </c>
      <c r="O24" t="s">
        <v>173</v>
      </c>
      <c r="P24" t="s">
        <v>173</v>
      </c>
      <c r="Q24" t="s">
        <v>173</v>
      </c>
      <c r="R24" t="s">
        <v>173</v>
      </c>
      <c r="S24" t="s">
        <v>173</v>
      </c>
      <c r="T24" t="s">
        <v>173</v>
      </c>
      <c r="U24" t="s">
        <v>173</v>
      </c>
      <c r="V24" t="s">
        <v>173</v>
      </c>
      <c r="W24" t="s">
        <v>173</v>
      </c>
      <c r="X24" t="s">
        <v>173</v>
      </c>
      <c r="Y24" t="s">
        <v>173</v>
      </c>
      <c r="Z24" t="s">
        <v>173</v>
      </c>
      <c r="AA24" t="s">
        <v>173</v>
      </c>
      <c r="AB24" t="s">
        <v>173</v>
      </c>
      <c r="AC24" t="s">
        <v>173</v>
      </c>
      <c r="AD24" t="s">
        <v>173</v>
      </c>
      <c r="AE24" t="s">
        <v>173</v>
      </c>
      <c r="AF24" t="s">
        <v>173</v>
      </c>
      <c r="AG24" t="s">
        <v>173</v>
      </c>
      <c r="AH24" t="s">
        <v>173</v>
      </c>
      <c r="AI24" t="s">
        <v>173</v>
      </c>
      <c r="AJ24" t="s">
        <v>173</v>
      </c>
      <c r="AK24" t="s">
        <v>173</v>
      </c>
      <c r="AL24" t="s">
        <v>173</v>
      </c>
      <c r="AM24" t="s">
        <v>173</v>
      </c>
      <c r="AN24" t="s">
        <v>173</v>
      </c>
      <c r="AO24" t="s">
        <v>173</v>
      </c>
      <c r="AP24" t="s">
        <v>173</v>
      </c>
      <c r="AQ24" t="s">
        <v>173</v>
      </c>
      <c r="AR24" t="s">
        <v>173</v>
      </c>
      <c r="AS24" t="s">
        <v>173</v>
      </c>
      <c r="AT24" t="s">
        <v>173</v>
      </c>
      <c r="AU24" t="s">
        <v>173</v>
      </c>
      <c r="AV24" t="s">
        <v>173</v>
      </c>
      <c r="AW24" t="s">
        <v>173</v>
      </c>
      <c r="AX24" t="s">
        <v>173</v>
      </c>
      <c r="AY24" t="s">
        <v>173</v>
      </c>
      <c r="AZ24" t="s">
        <v>173</v>
      </c>
      <c r="BA24" t="s">
        <v>173</v>
      </c>
      <c r="BB24" t="s">
        <v>173</v>
      </c>
      <c r="BC24" t="s">
        <v>173</v>
      </c>
      <c r="BD24" t="s">
        <v>173</v>
      </c>
      <c r="BE24" t="s">
        <v>173</v>
      </c>
      <c r="BF24" t="s">
        <v>173</v>
      </c>
      <c r="BG24" t="s">
        <v>173</v>
      </c>
      <c r="BH24" t="s">
        <v>173</v>
      </c>
      <c r="BI24" t="s">
        <v>173</v>
      </c>
      <c r="BJ24" t="s">
        <v>173</v>
      </c>
      <c r="BK24" t="s">
        <v>173</v>
      </c>
      <c r="BL24" t="s">
        <v>173</v>
      </c>
      <c r="BM24" t="s">
        <v>173</v>
      </c>
      <c r="BN24" t="s">
        <v>173</v>
      </c>
      <c r="BO24" t="s">
        <v>173</v>
      </c>
      <c r="BP24" t="s">
        <v>173</v>
      </c>
      <c r="BQ24" t="s">
        <v>173</v>
      </c>
      <c r="BR24" t="s">
        <v>173</v>
      </c>
      <c r="BS24" t="s">
        <v>173</v>
      </c>
      <c r="BT24" t="s">
        <v>173</v>
      </c>
      <c r="BU24" t="s">
        <v>173</v>
      </c>
      <c r="BV24" t="s">
        <v>173</v>
      </c>
      <c r="BX24" t="s">
        <v>173</v>
      </c>
      <c r="BY24" t="s">
        <v>173</v>
      </c>
      <c r="BZ24" t="s">
        <v>173</v>
      </c>
      <c r="CA24" t="s">
        <v>173</v>
      </c>
      <c r="CB24" t="s">
        <v>173</v>
      </c>
      <c r="CC24" t="s">
        <v>173</v>
      </c>
      <c r="CD24" t="s">
        <v>173</v>
      </c>
      <c r="CE24" t="s">
        <v>173</v>
      </c>
      <c r="CF24" t="s">
        <v>173</v>
      </c>
      <c r="CG24" t="s">
        <v>173</v>
      </c>
      <c r="CH24" t="s">
        <v>173</v>
      </c>
      <c r="CI24" t="s">
        <v>173</v>
      </c>
      <c r="CJ24" t="s">
        <v>173</v>
      </c>
      <c r="CK24" t="s">
        <v>173</v>
      </c>
      <c r="CL24" t="s">
        <v>173</v>
      </c>
      <c r="CM24" t="s">
        <v>173</v>
      </c>
      <c r="CN24" t="s">
        <v>173</v>
      </c>
      <c r="CO24" t="s">
        <v>173</v>
      </c>
      <c r="CP24" t="s">
        <v>173</v>
      </c>
      <c r="CQ24" t="s">
        <v>173</v>
      </c>
      <c r="CR24" t="s">
        <v>173</v>
      </c>
      <c r="CS24" t="s">
        <v>173</v>
      </c>
      <c r="CT24" t="s">
        <v>173</v>
      </c>
      <c r="CU24" t="s">
        <v>173</v>
      </c>
      <c r="CV24" t="s">
        <v>173</v>
      </c>
      <c r="CW24" t="s">
        <v>173</v>
      </c>
      <c r="CX24" t="s">
        <v>173</v>
      </c>
      <c r="CY24" t="s">
        <v>173</v>
      </c>
      <c r="CZ24" t="s">
        <v>173</v>
      </c>
      <c r="DA24" t="s">
        <v>173</v>
      </c>
      <c r="DB24" t="s">
        <v>173</v>
      </c>
      <c r="DC24" t="s">
        <v>173</v>
      </c>
      <c r="DD24" t="s">
        <v>173</v>
      </c>
      <c r="DE24" t="s">
        <v>173</v>
      </c>
      <c r="DF24" t="s">
        <v>173</v>
      </c>
      <c r="DG24" t="s">
        <v>173</v>
      </c>
      <c r="DH24" t="s">
        <v>173</v>
      </c>
    </row>
    <row r="25" spans="1:112">
      <c r="A25">
        <v>21</v>
      </c>
      <c r="B25" t="s">
        <v>236</v>
      </c>
      <c r="C25" t="s">
        <v>237</v>
      </c>
      <c r="D25">
        <v>2025</v>
      </c>
      <c r="E25" t="s">
        <v>238</v>
      </c>
      <c r="F25" t="s">
        <v>239</v>
      </c>
      <c r="G25" t="s">
        <v>172</v>
      </c>
      <c r="H25" t="s">
        <v>173</v>
      </c>
      <c r="I25" t="s">
        <v>197</v>
      </c>
      <c r="J25" t="s">
        <v>173</v>
      </c>
      <c r="K25" t="s">
        <v>173</v>
      </c>
      <c r="L25" t="s">
        <v>173</v>
      </c>
      <c r="M25" t="s">
        <v>173</v>
      </c>
      <c r="N25" t="s">
        <v>173</v>
      </c>
      <c r="O25" t="s">
        <v>173</v>
      </c>
      <c r="P25" t="s">
        <v>173</v>
      </c>
      <c r="Q25" t="s">
        <v>173</v>
      </c>
      <c r="R25" t="s">
        <v>173</v>
      </c>
      <c r="S25" t="s">
        <v>173</v>
      </c>
      <c r="T25" t="s">
        <v>173</v>
      </c>
      <c r="U25" t="s">
        <v>173</v>
      </c>
      <c r="V25" t="s">
        <v>173</v>
      </c>
      <c r="W25" t="s">
        <v>173</v>
      </c>
      <c r="X25" t="s">
        <v>173</v>
      </c>
      <c r="Y25" t="s">
        <v>173</v>
      </c>
      <c r="Z25" t="s">
        <v>173</v>
      </c>
      <c r="AA25" t="s">
        <v>173</v>
      </c>
      <c r="AB25" t="s">
        <v>173</v>
      </c>
      <c r="AC25" t="s">
        <v>173</v>
      </c>
      <c r="AD25" t="s">
        <v>173</v>
      </c>
      <c r="AE25" t="s">
        <v>173</v>
      </c>
      <c r="AF25" t="s">
        <v>173</v>
      </c>
      <c r="AG25" t="s">
        <v>173</v>
      </c>
      <c r="AH25" t="s">
        <v>173</v>
      </c>
      <c r="AI25" t="s">
        <v>173</v>
      </c>
      <c r="AJ25" t="s">
        <v>173</v>
      </c>
      <c r="AK25" t="s">
        <v>173</v>
      </c>
      <c r="AL25" t="s">
        <v>173</v>
      </c>
      <c r="AM25" t="s">
        <v>173</v>
      </c>
      <c r="AN25" t="s">
        <v>173</v>
      </c>
      <c r="AO25" t="s">
        <v>173</v>
      </c>
      <c r="AP25" t="s">
        <v>173</v>
      </c>
      <c r="AQ25" t="s">
        <v>173</v>
      </c>
      <c r="AR25" t="s">
        <v>173</v>
      </c>
      <c r="AS25" t="s">
        <v>173</v>
      </c>
      <c r="AT25" t="s">
        <v>173</v>
      </c>
      <c r="AU25" t="s">
        <v>173</v>
      </c>
      <c r="AV25" t="s">
        <v>173</v>
      </c>
      <c r="AW25" t="s">
        <v>173</v>
      </c>
      <c r="AX25" t="s">
        <v>173</v>
      </c>
      <c r="AY25" t="s">
        <v>173</v>
      </c>
      <c r="AZ25" t="s">
        <v>173</v>
      </c>
      <c r="BA25" t="s">
        <v>173</v>
      </c>
      <c r="BB25" t="s">
        <v>173</v>
      </c>
      <c r="BC25" t="s">
        <v>173</v>
      </c>
      <c r="BD25" t="s">
        <v>173</v>
      </c>
      <c r="BE25" t="s">
        <v>173</v>
      </c>
      <c r="BF25" t="s">
        <v>173</v>
      </c>
      <c r="BG25" t="s">
        <v>173</v>
      </c>
      <c r="BH25" t="s">
        <v>173</v>
      </c>
      <c r="BI25" t="s">
        <v>173</v>
      </c>
      <c r="BJ25" t="s">
        <v>173</v>
      </c>
      <c r="BK25" t="s">
        <v>173</v>
      </c>
      <c r="BL25" t="s">
        <v>173</v>
      </c>
      <c r="BM25" t="s">
        <v>173</v>
      </c>
      <c r="BN25" t="s">
        <v>173</v>
      </c>
      <c r="BO25" t="s">
        <v>173</v>
      </c>
      <c r="BP25" t="s">
        <v>173</v>
      </c>
      <c r="BQ25" t="s">
        <v>173</v>
      </c>
      <c r="BR25" t="s">
        <v>173</v>
      </c>
      <c r="BS25" t="s">
        <v>173</v>
      </c>
      <c r="BT25" t="s">
        <v>173</v>
      </c>
      <c r="BU25" t="s">
        <v>173</v>
      </c>
      <c r="BV25" t="s">
        <v>173</v>
      </c>
      <c r="BX25" t="s">
        <v>173</v>
      </c>
      <c r="BY25" t="s">
        <v>173</v>
      </c>
      <c r="BZ25" t="s">
        <v>173</v>
      </c>
      <c r="CA25" t="s">
        <v>173</v>
      </c>
      <c r="CB25" t="s">
        <v>173</v>
      </c>
      <c r="CC25" t="s">
        <v>173</v>
      </c>
      <c r="CD25" t="s">
        <v>173</v>
      </c>
      <c r="CE25" t="s">
        <v>173</v>
      </c>
      <c r="CF25" t="s">
        <v>173</v>
      </c>
      <c r="CG25" t="s">
        <v>173</v>
      </c>
      <c r="CH25" t="s">
        <v>173</v>
      </c>
      <c r="CI25" t="s">
        <v>173</v>
      </c>
      <c r="CJ25" t="s">
        <v>173</v>
      </c>
      <c r="CK25" t="s">
        <v>173</v>
      </c>
      <c r="CL25" t="s">
        <v>173</v>
      </c>
      <c r="CM25" t="s">
        <v>173</v>
      </c>
      <c r="CN25" t="s">
        <v>173</v>
      </c>
      <c r="CO25" t="s">
        <v>173</v>
      </c>
      <c r="CP25" t="s">
        <v>173</v>
      </c>
      <c r="CQ25" t="s">
        <v>173</v>
      </c>
      <c r="CR25" t="s">
        <v>173</v>
      </c>
      <c r="CS25" t="s">
        <v>173</v>
      </c>
      <c r="CT25" t="s">
        <v>173</v>
      </c>
      <c r="CU25" t="s">
        <v>173</v>
      </c>
      <c r="CV25" t="s">
        <v>173</v>
      </c>
      <c r="CW25" t="s">
        <v>173</v>
      </c>
      <c r="CX25" t="s">
        <v>173</v>
      </c>
      <c r="CY25" t="s">
        <v>173</v>
      </c>
      <c r="CZ25" t="s">
        <v>173</v>
      </c>
      <c r="DA25" t="s">
        <v>173</v>
      </c>
      <c r="DB25" t="s">
        <v>173</v>
      </c>
      <c r="DC25" t="s">
        <v>173</v>
      </c>
      <c r="DD25" t="s">
        <v>173</v>
      </c>
      <c r="DE25" t="s">
        <v>173</v>
      </c>
      <c r="DF25" t="s">
        <v>173</v>
      </c>
      <c r="DG25" t="s">
        <v>173</v>
      </c>
      <c r="DH25" t="s">
        <v>173</v>
      </c>
    </row>
    <row r="26" spans="1:112">
      <c r="A26">
        <v>22</v>
      </c>
      <c r="B26" t="s">
        <v>240</v>
      </c>
      <c r="C26" t="s">
        <v>241</v>
      </c>
      <c r="D26">
        <v>2025</v>
      </c>
      <c r="E26" t="s">
        <v>242</v>
      </c>
      <c r="F26" t="s">
        <v>243</v>
      </c>
      <c r="G26" t="s">
        <v>172</v>
      </c>
      <c r="H26" t="s">
        <v>173</v>
      </c>
      <c r="I26" t="s">
        <v>174</v>
      </c>
      <c r="J26" t="s">
        <v>173</v>
      </c>
      <c r="K26" t="s">
        <v>173</v>
      </c>
      <c r="L26" t="s">
        <v>173</v>
      </c>
      <c r="M26" t="s">
        <v>173</v>
      </c>
      <c r="N26" t="s">
        <v>173</v>
      </c>
      <c r="O26" t="s">
        <v>173</v>
      </c>
      <c r="P26" t="s">
        <v>173</v>
      </c>
      <c r="Q26" t="s">
        <v>173</v>
      </c>
      <c r="R26" t="s">
        <v>173</v>
      </c>
      <c r="S26" t="s">
        <v>173</v>
      </c>
      <c r="T26" t="s">
        <v>173</v>
      </c>
      <c r="U26" t="s">
        <v>173</v>
      </c>
      <c r="V26" t="s">
        <v>173</v>
      </c>
      <c r="W26" t="s">
        <v>173</v>
      </c>
      <c r="X26" t="s">
        <v>173</v>
      </c>
      <c r="Y26" t="s">
        <v>173</v>
      </c>
      <c r="Z26" t="s">
        <v>173</v>
      </c>
      <c r="AA26" t="s">
        <v>173</v>
      </c>
      <c r="AB26" t="s">
        <v>173</v>
      </c>
      <c r="AC26" t="s">
        <v>173</v>
      </c>
      <c r="AD26" t="s">
        <v>173</v>
      </c>
      <c r="AE26" t="s">
        <v>173</v>
      </c>
      <c r="AF26" t="s">
        <v>173</v>
      </c>
      <c r="AG26" t="s">
        <v>173</v>
      </c>
      <c r="AH26" t="s">
        <v>173</v>
      </c>
      <c r="AI26" t="s">
        <v>173</v>
      </c>
      <c r="AJ26" t="s">
        <v>173</v>
      </c>
      <c r="AK26" t="s">
        <v>173</v>
      </c>
      <c r="AL26" t="s">
        <v>173</v>
      </c>
      <c r="AM26" t="s">
        <v>173</v>
      </c>
      <c r="AN26" t="s">
        <v>173</v>
      </c>
      <c r="AO26" t="s">
        <v>173</v>
      </c>
      <c r="AP26" t="s">
        <v>173</v>
      </c>
      <c r="AQ26" t="s">
        <v>173</v>
      </c>
      <c r="AR26" t="s">
        <v>173</v>
      </c>
      <c r="AS26" t="s">
        <v>173</v>
      </c>
      <c r="AT26" t="s">
        <v>173</v>
      </c>
      <c r="AU26" t="s">
        <v>173</v>
      </c>
      <c r="AV26" t="s">
        <v>173</v>
      </c>
      <c r="AW26" t="s">
        <v>173</v>
      </c>
      <c r="AX26" t="s">
        <v>173</v>
      </c>
      <c r="AY26" t="s">
        <v>173</v>
      </c>
      <c r="AZ26" t="s">
        <v>173</v>
      </c>
      <c r="BA26" t="s">
        <v>173</v>
      </c>
      <c r="BB26" t="s">
        <v>173</v>
      </c>
      <c r="BC26" t="s">
        <v>173</v>
      </c>
      <c r="BD26" t="s">
        <v>173</v>
      </c>
      <c r="BE26" t="s">
        <v>173</v>
      </c>
      <c r="BF26" t="s">
        <v>173</v>
      </c>
      <c r="BG26" t="s">
        <v>173</v>
      </c>
      <c r="BH26" t="s">
        <v>173</v>
      </c>
      <c r="BI26" t="s">
        <v>173</v>
      </c>
      <c r="BJ26" t="s">
        <v>173</v>
      </c>
      <c r="BK26" t="s">
        <v>173</v>
      </c>
      <c r="BL26" t="s">
        <v>173</v>
      </c>
      <c r="BM26" t="s">
        <v>173</v>
      </c>
      <c r="BN26" t="s">
        <v>173</v>
      </c>
      <c r="BO26" t="s">
        <v>173</v>
      </c>
      <c r="BP26" t="s">
        <v>173</v>
      </c>
      <c r="BQ26" t="s">
        <v>173</v>
      </c>
      <c r="BR26" t="s">
        <v>173</v>
      </c>
      <c r="BS26" t="s">
        <v>173</v>
      </c>
      <c r="BT26" t="s">
        <v>173</v>
      </c>
      <c r="BU26" t="s">
        <v>173</v>
      </c>
      <c r="BV26" t="s">
        <v>173</v>
      </c>
      <c r="BX26" t="s">
        <v>173</v>
      </c>
      <c r="BY26" t="s">
        <v>173</v>
      </c>
      <c r="BZ26" t="s">
        <v>173</v>
      </c>
      <c r="CA26" t="s">
        <v>173</v>
      </c>
      <c r="CB26" t="s">
        <v>173</v>
      </c>
      <c r="CC26" t="s">
        <v>173</v>
      </c>
      <c r="CD26" t="s">
        <v>173</v>
      </c>
      <c r="CE26" t="s">
        <v>173</v>
      </c>
      <c r="CF26" t="s">
        <v>173</v>
      </c>
      <c r="CG26" t="s">
        <v>173</v>
      </c>
      <c r="CH26" t="s">
        <v>173</v>
      </c>
      <c r="CI26" t="s">
        <v>173</v>
      </c>
      <c r="CJ26" t="s">
        <v>173</v>
      </c>
      <c r="CK26" t="s">
        <v>173</v>
      </c>
      <c r="CL26" t="s">
        <v>173</v>
      </c>
      <c r="CM26" t="s">
        <v>173</v>
      </c>
      <c r="CN26" t="s">
        <v>173</v>
      </c>
      <c r="CO26" t="s">
        <v>173</v>
      </c>
      <c r="CP26" t="s">
        <v>173</v>
      </c>
      <c r="CQ26" t="s">
        <v>173</v>
      </c>
      <c r="CR26" t="s">
        <v>173</v>
      </c>
      <c r="CS26" t="s">
        <v>173</v>
      </c>
      <c r="CT26" t="s">
        <v>173</v>
      </c>
      <c r="CU26" t="s">
        <v>173</v>
      </c>
      <c r="CV26" t="s">
        <v>173</v>
      </c>
      <c r="CW26" t="s">
        <v>173</v>
      </c>
      <c r="CX26" t="s">
        <v>173</v>
      </c>
      <c r="CY26" t="s">
        <v>173</v>
      </c>
      <c r="CZ26" t="s">
        <v>173</v>
      </c>
      <c r="DA26" t="s">
        <v>173</v>
      </c>
      <c r="DB26" t="s">
        <v>173</v>
      </c>
      <c r="DC26" t="s">
        <v>173</v>
      </c>
      <c r="DD26" t="s">
        <v>173</v>
      </c>
      <c r="DE26" t="s">
        <v>173</v>
      </c>
      <c r="DF26" t="s">
        <v>173</v>
      </c>
      <c r="DG26" t="s">
        <v>173</v>
      </c>
      <c r="DH26" t="s">
        <v>173</v>
      </c>
    </row>
    <row r="27" spans="1:112">
      <c r="A27">
        <v>22</v>
      </c>
      <c r="B27" t="s">
        <v>240</v>
      </c>
      <c r="C27" t="s">
        <v>241</v>
      </c>
      <c r="D27">
        <v>2025</v>
      </c>
      <c r="E27" t="s">
        <v>242</v>
      </c>
      <c r="F27" t="s">
        <v>243</v>
      </c>
      <c r="G27" t="s">
        <v>172</v>
      </c>
      <c r="H27" t="s">
        <v>173</v>
      </c>
      <c r="I27" t="s">
        <v>174</v>
      </c>
      <c r="J27" t="s">
        <v>173</v>
      </c>
      <c r="K27" t="s">
        <v>173</v>
      </c>
      <c r="L27" t="s">
        <v>173</v>
      </c>
      <c r="M27" t="s">
        <v>173</v>
      </c>
      <c r="N27" t="s">
        <v>173</v>
      </c>
      <c r="O27" t="s">
        <v>173</v>
      </c>
      <c r="P27" t="s">
        <v>173</v>
      </c>
      <c r="Q27" t="s">
        <v>173</v>
      </c>
      <c r="R27" t="s">
        <v>173</v>
      </c>
      <c r="S27" t="s">
        <v>173</v>
      </c>
      <c r="T27" t="s">
        <v>173</v>
      </c>
      <c r="U27" t="s">
        <v>173</v>
      </c>
      <c r="V27" t="s">
        <v>173</v>
      </c>
      <c r="W27" t="s">
        <v>173</v>
      </c>
      <c r="X27" t="s">
        <v>173</v>
      </c>
      <c r="Y27" t="s">
        <v>173</v>
      </c>
      <c r="Z27" t="s">
        <v>173</v>
      </c>
      <c r="AA27" t="s">
        <v>173</v>
      </c>
      <c r="AB27" t="s">
        <v>173</v>
      </c>
      <c r="AC27" t="s">
        <v>173</v>
      </c>
      <c r="AD27" t="s">
        <v>173</v>
      </c>
      <c r="AE27" t="s">
        <v>173</v>
      </c>
      <c r="AF27" t="s">
        <v>173</v>
      </c>
      <c r="AG27" t="s">
        <v>173</v>
      </c>
      <c r="AH27" t="s">
        <v>173</v>
      </c>
      <c r="AI27" t="s">
        <v>173</v>
      </c>
      <c r="AJ27" t="s">
        <v>173</v>
      </c>
      <c r="AK27" t="s">
        <v>173</v>
      </c>
      <c r="AL27" t="s">
        <v>173</v>
      </c>
      <c r="AM27" t="s">
        <v>173</v>
      </c>
      <c r="AN27" t="s">
        <v>173</v>
      </c>
      <c r="AO27" t="s">
        <v>173</v>
      </c>
      <c r="AP27" t="s">
        <v>173</v>
      </c>
      <c r="AQ27" t="s">
        <v>173</v>
      </c>
      <c r="AR27" t="s">
        <v>173</v>
      </c>
      <c r="AS27" t="s">
        <v>173</v>
      </c>
      <c r="AT27" t="s">
        <v>173</v>
      </c>
      <c r="AU27" t="s">
        <v>173</v>
      </c>
      <c r="AV27" t="s">
        <v>173</v>
      </c>
      <c r="AW27" t="s">
        <v>173</v>
      </c>
      <c r="AX27" t="s">
        <v>173</v>
      </c>
      <c r="AY27" t="s">
        <v>173</v>
      </c>
      <c r="AZ27" t="s">
        <v>173</v>
      </c>
      <c r="BA27" t="s">
        <v>173</v>
      </c>
      <c r="BB27" t="s">
        <v>173</v>
      </c>
      <c r="BC27" t="s">
        <v>173</v>
      </c>
      <c r="BD27" t="s">
        <v>173</v>
      </c>
      <c r="BE27" t="s">
        <v>173</v>
      </c>
      <c r="BF27" t="s">
        <v>173</v>
      </c>
      <c r="BG27" t="s">
        <v>173</v>
      </c>
      <c r="BH27" t="s">
        <v>173</v>
      </c>
      <c r="BI27" t="s">
        <v>173</v>
      </c>
      <c r="BJ27" t="s">
        <v>173</v>
      </c>
      <c r="BK27" t="s">
        <v>173</v>
      </c>
      <c r="BL27" t="s">
        <v>173</v>
      </c>
      <c r="BM27" t="s">
        <v>173</v>
      </c>
      <c r="BN27" t="s">
        <v>173</v>
      </c>
      <c r="BO27" t="s">
        <v>173</v>
      </c>
      <c r="BP27" t="s">
        <v>173</v>
      </c>
      <c r="BQ27" t="s">
        <v>173</v>
      </c>
      <c r="BR27" t="s">
        <v>173</v>
      </c>
      <c r="BS27" t="s">
        <v>173</v>
      </c>
      <c r="BT27" t="s">
        <v>173</v>
      </c>
      <c r="BU27" t="s">
        <v>173</v>
      </c>
      <c r="BV27" t="s">
        <v>173</v>
      </c>
      <c r="BX27" t="s">
        <v>173</v>
      </c>
      <c r="BY27" t="s">
        <v>173</v>
      </c>
      <c r="BZ27" t="s">
        <v>173</v>
      </c>
      <c r="CA27" t="s">
        <v>173</v>
      </c>
      <c r="CB27" t="s">
        <v>173</v>
      </c>
      <c r="CC27" t="s">
        <v>173</v>
      </c>
      <c r="CD27" t="s">
        <v>173</v>
      </c>
      <c r="CE27" t="s">
        <v>173</v>
      </c>
      <c r="CF27" t="s">
        <v>173</v>
      </c>
      <c r="CG27" t="s">
        <v>173</v>
      </c>
      <c r="CH27" t="s">
        <v>173</v>
      </c>
      <c r="CI27" t="s">
        <v>173</v>
      </c>
      <c r="CJ27" t="s">
        <v>173</v>
      </c>
      <c r="CK27" t="s">
        <v>173</v>
      </c>
      <c r="CL27" t="s">
        <v>173</v>
      </c>
      <c r="CM27" t="s">
        <v>173</v>
      </c>
      <c r="CN27" t="s">
        <v>173</v>
      </c>
      <c r="CO27" t="s">
        <v>173</v>
      </c>
      <c r="CP27" t="s">
        <v>173</v>
      </c>
      <c r="CQ27" t="s">
        <v>173</v>
      </c>
      <c r="CR27" t="s">
        <v>173</v>
      </c>
      <c r="CS27" t="s">
        <v>173</v>
      </c>
      <c r="CT27" t="s">
        <v>173</v>
      </c>
      <c r="CU27" t="s">
        <v>173</v>
      </c>
      <c r="CV27" t="s">
        <v>173</v>
      </c>
      <c r="CW27" t="s">
        <v>173</v>
      </c>
      <c r="CX27" t="s">
        <v>173</v>
      </c>
      <c r="CY27" t="s">
        <v>173</v>
      </c>
      <c r="CZ27" t="s">
        <v>173</v>
      </c>
      <c r="DA27" t="s">
        <v>173</v>
      </c>
      <c r="DB27" t="s">
        <v>173</v>
      </c>
      <c r="DC27" t="s">
        <v>173</v>
      </c>
      <c r="DD27" t="s">
        <v>173</v>
      </c>
      <c r="DE27" t="s">
        <v>173</v>
      </c>
      <c r="DF27" t="s">
        <v>173</v>
      </c>
      <c r="DG27" t="s">
        <v>173</v>
      </c>
      <c r="DH27" t="s">
        <v>173</v>
      </c>
    </row>
    <row r="28" spans="1:112">
      <c r="A28">
        <v>22</v>
      </c>
      <c r="B28" t="s">
        <v>240</v>
      </c>
      <c r="C28" t="s">
        <v>241</v>
      </c>
      <c r="D28">
        <v>2025</v>
      </c>
      <c r="E28" t="s">
        <v>242</v>
      </c>
      <c r="F28" t="s">
        <v>243</v>
      </c>
      <c r="G28" t="s">
        <v>172</v>
      </c>
      <c r="H28" t="s">
        <v>173</v>
      </c>
      <c r="I28" t="s">
        <v>174</v>
      </c>
      <c r="J28" t="s">
        <v>173</v>
      </c>
      <c r="K28" t="s">
        <v>173</v>
      </c>
      <c r="L28" t="s">
        <v>173</v>
      </c>
      <c r="M28" t="s">
        <v>173</v>
      </c>
      <c r="N28" t="s">
        <v>173</v>
      </c>
      <c r="O28" t="s">
        <v>173</v>
      </c>
      <c r="P28" t="s">
        <v>173</v>
      </c>
      <c r="Q28" t="s">
        <v>173</v>
      </c>
      <c r="R28" t="s">
        <v>173</v>
      </c>
      <c r="S28" t="s">
        <v>173</v>
      </c>
      <c r="T28" t="s">
        <v>173</v>
      </c>
      <c r="U28" t="s">
        <v>173</v>
      </c>
      <c r="V28" t="s">
        <v>173</v>
      </c>
      <c r="W28" t="s">
        <v>173</v>
      </c>
      <c r="X28" t="s">
        <v>173</v>
      </c>
      <c r="Y28" t="s">
        <v>173</v>
      </c>
      <c r="Z28" t="s">
        <v>173</v>
      </c>
      <c r="AA28" t="s">
        <v>173</v>
      </c>
      <c r="AB28" t="s">
        <v>173</v>
      </c>
      <c r="AC28" t="s">
        <v>173</v>
      </c>
      <c r="AD28" t="s">
        <v>173</v>
      </c>
      <c r="AE28" t="s">
        <v>173</v>
      </c>
      <c r="AF28" t="s">
        <v>173</v>
      </c>
      <c r="AG28" t="s">
        <v>173</v>
      </c>
      <c r="AH28" t="s">
        <v>173</v>
      </c>
      <c r="AI28" t="s">
        <v>173</v>
      </c>
      <c r="AJ28" t="s">
        <v>173</v>
      </c>
      <c r="AK28" t="s">
        <v>173</v>
      </c>
      <c r="AL28" t="s">
        <v>173</v>
      </c>
      <c r="AM28" t="s">
        <v>173</v>
      </c>
      <c r="AN28" t="s">
        <v>173</v>
      </c>
      <c r="AO28" t="s">
        <v>173</v>
      </c>
      <c r="AP28" t="s">
        <v>173</v>
      </c>
      <c r="AQ28" t="s">
        <v>173</v>
      </c>
      <c r="AR28" t="s">
        <v>173</v>
      </c>
      <c r="AS28" t="s">
        <v>173</v>
      </c>
      <c r="AT28" t="s">
        <v>173</v>
      </c>
      <c r="AU28" t="s">
        <v>173</v>
      </c>
      <c r="AV28" t="s">
        <v>173</v>
      </c>
      <c r="AW28" t="s">
        <v>173</v>
      </c>
      <c r="AX28" t="s">
        <v>173</v>
      </c>
      <c r="AY28" t="s">
        <v>173</v>
      </c>
      <c r="AZ28" t="s">
        <v>173</v>
      </c>
      <c r="BA28" t="s">
        <v>173</v>
      </c>
      <c r="BB28" t="s">
        <v>173</v>
      </c>
      <c r="BC28" t="s">
        <v>173</v>
      </c>
      <c r="BD28" t="s">
        <v>173</v>
      </c>
      <c r="BE28" t="s">
        <v>173</v>
      </c>
      <c r="BF28" t="s">
        <v>173</v>
      </c>
      <c r="BG28" t="s">
        <v>173</v>
      </c>
      <c r="BH28" t="s">
        <v>173</v>
      </c>
      <c r="BI28" t="s">
        <v>173</v>
      </c>
      <c r="BJ28" t="s">
        <v>173</v>
      </c>
      <c r="BK28" t="s">
        <v>173</v>
      </c>
      <c r="BL28" t="s">
        <v>173</v>
      </c>
      <c r="BM28" t="s">
        <v>173</v>
      </c>
      <c r="BN28" t="s">
        <v>173</v>
      </c>
      <c r="BO28" t="s">
        <v>173</v>
      </c>
      <c r="BP28" t="s">
        <v>173</v>
      </c>
      <c r="BQ28" t="s">
        <v>173</v>
      </c>
      <c r="BR28" t="s">
        <v>173</v>
      </c>
      <c r="BS28" t="s">
        <v>173</v>
      </c>
      <c r="BT28" t="s">
        <v>173</v>
      </c>
      <c r="BU28" t="s">
        <v>173</v>
      </c>
      <c r="BV28" t="s">
        <v>173</v>
      </c>
      <c r="BX28" t="s">
        <v>173</v>
      </c>
      <c r="BY28" t="s">
        <v>173</v>
      </c>
      <c r="BZ28" t="s">
        <v>173</v>
      </c>
      <c r="CA28" t="s">
        <v>173</v>
      </c>
      <c r="CB28" t="s">
        <v>173</v>
      </c>
      <c r="CC28" t="s">
        <v>173</v>
      </c>
      <c r="CD28" t="s">
        <v>173</v>
      </c>
      <c r="CE28" t="s">
        <v>173</v>
      </c>
      <c r="CF28" t="s">
        <v>173</v>
      </c>
      <c r="CG28" t="s">
        <v>173</v>
      </c>
      <c r="CH28" t="s">
        <v>173</v>
      </c>
      <c r="CI28" t="s">
        <v>173</v>
      </c>
      <c r="CJ28" t="s">
        <v>173</v>
      </c>
      <c r="CK28" t="s">
        <v>173</v>
      </c>
      <c r="CL28" t="s">
        <v>173</v>
      </c>
      <c r="CM28" t="s">
        <v>173</v>
      </c>
      <c r="CN28" t="s">
        <v>173</v>
      </c>
      <c r="CO28" t="s">
        <v>173</v>
      </c>
      <c r="CP28" t="s">
        <v>173</v>
      </c>
      <c r="CQ28" t="s">
        <v>173</v>
      </c>
      <c r="CR28" t="s">
        <v>173</v>
      </c>
      <c r="CS28" t="s">
        <v>173</v>
      </c>
      <c r="CT28" t="s">
        <v>173</v>
      </c>
      <c r="CU28" t="s">
        <v>173</v>
      </c>
      <c r="CV28" t="s">
        <v>173</v>
      </c>
      <c r="CW28" t="s">
        <v>173</v>
      </c>
      <c r="CX28" t="s">
        <v>173</v>
      </c>
      <c r="CY28" t="s">
        <v>173</v>
      </c>
      <c r="CZ28" t="s">
        <v>173</v>
      </c>
      <c r="DA28" t="s">
        <v>173</v>
      </c>
      <c r="DB28" t="s">
        <v>173</v>
      </c>
      <c r="DC28" t="s">
        <v>173</v>
      </c>
      <c r="DD28" t="s">
        <v>173</v>
      </c>
      <c r="DE28" t="s">
        <v>173</v>
      </c>
      <c r="DF28" t="s">
        <v>173</v>
      </c>
      <c r="DG28" t="s">
        <v>173</v>
      </c>
      <c r="DH28" t="s">
        <v>173</v>
      </c>
    </row>
    <row r="29" spans="1:112">
      <c r="A29">
        <v>23</v>
      </c>
      <c r="B29" t="s">
        <v>244</v>
      </c>
      <c r="C29" t="s">
        <v>245</v>
      </c>
      <c r="D29">
        <v>2025</v>
      </c>
      <c r="E29" t="s">
        <v>238</v>
      </c>
      <c r="F29" t="s">
        <v>246</v>
      </c>
      <c r="G29" t="s">
        <v>172</v>
      </c>
      <c r="H29" t="s">
        <v>173</v>
      </c>
      <c r="I29" t="s">
        <v>174</v>
      </c>
      <c r="J29" t="s">
        <v>173</v>
      </c>
      <c r="K29" t="s">
        <v>173</v>
      </c>
      <c r="L29" t="s">
        <v>173</v>
      </c>
      <c r="M29" t="s">
        <v>173</v>
      </c>
      <c r="N29" t="s">
        <v>173</v>
      </c>
      <c r="O29" t="s">
        <v>173</v>
      </c>
      <c r="P29" t="s">
        <v>173</v>
      </c>
      <c r="Q29" t="s">
        <v>173</v>
      </c>
      <c r="R29" t="s">
        <v>173</v>
      </c>
      <c r="S29" t="s">
        <v>173</v>
      </c>
      <c r="T29" t="s">
        <v>173</v>
      </c>
      <c r="U29" t="s">
        <v>173</v>
      </c>
      <c r="V29" t="s">
        <v>173</v>
      </c>
      <c r="W29" t="s">
        <v>173</v>
      </c>
      <c r="X29" t="s">
        <v>173</v>
      </c>
      <c r="Y29" t="s">
        <v>173</v>
      </c>
      <c r="Z29" t="s">
        <v>173</v>
      </c>
      <c r="AA29" t="s">
        <v>173</v>
      </c>
      <c r="AB29" t="s">
        <v>173</v>
      </c>
      <c r="AC29" t="s">
        <v>173</v>
      </c>
      <c r="AD29" t="s">
        <v>173</v>
      </c>
      <c r="AE29" t="s">
        <v>173</v>
      </c>
      <c r="AF29" t="s">
        <v>173</v>
      </c>
      <c r="AG29" t="s">
        <v>173</v>
      </c>
      <c r="AH29" t="s">
        <v>173</v>
      </c>
      <c r="AI29" t="s">
        <v>173</v>
      </c>
      <c r="AJ29" t="s">
        <v>173</v>
      </c>
      <c r="AK29" t="s">
        <v>173</v>
      </c>
      <c r="AL29" t="s">
        <v>173</v>
      </c>
      <c r="AM29" t="s">
        <v>173</v>
      </c>
      <c r="AN29" t="s">
        <v>173</v>
      </c>
      <c r="AO29" t="s">
        <v>173</v>
      </c>
      <c r="AP29" t="s">
        <v>173</v>
      </c>
      <c r="AQ29" t="s">
        <v>173</v>
      </c>
      <c r="AR29" t="s">
        <v>173</v>
      </c>
      <c r="AS29" t="s">
        <v>173</v>
      </c>
      <c r="AT29" t="s">
        <v>173</v>
      </c>
      <c r="AU29" t="s">
        <v>173</v>
      </c>
      <c r="AV29" t="s">
        <v>173</v>
      </c>
      <c r="AW29" t="s">
        <v>173</v>
      </c>
      <c r="AX29" t="s">
        <v>173</v>
      </c>
      <c r="AY29" t="s">
        <v>173</v>
      </c>
      <c r="AZ29" t="s">
        <v>173</v>
      </c>
      <c r="BA29" t="s">
        <v>173</v>
      </c>
      <c r="BB29" t="s">
        <v>173</v>
      </c>
      <c r="BC29" t="s">
        <v>173</v>
      </c>
      <c r="BD29" t="s">
        <v>173</v>
      </c>
      <c r="BE29" t="s">
        <v>173</v>
      </c>
      <c r="BF29" t="s">
        <v>173</v>
      </c>
      <c r="BG29" t="s">
        <v>173</v>
      </c>
      <c r="BH29" t="s">
        <v>173</v>
      </c>
      <c r="BI29" t="s">
        <v>173</v>
      </c>
      <c r="BJ29" t="s">
        <v>173</v>
      </c>
      <c r="BK29" t="s">
        <v>173</v>
      </c>
      <c r="BL29" t="s">
        <v>173</v>
      </c>
      <c r="BM29" t="s">
        <v>173</v>
      </c>
      <c r="BN29" t="s">
        <v>173</v>
      </c>
      <c r="BO29" t="s">
        <v>173</v>
      </c>
      <c r="BP29" t="s">
        <v>173</v>
      </c>
      <c r="BQ29" t="s">
        <v>173</v>
      </c>
      <c r="BR29" t="s">
        <v>173</v>
      </c>
      <c r="BS29" t="s">
        <v>173</v>
      </c>
      <c r="BT29" t="s">
        <v>173</v>
      </c>
      <c r="BU29" t="s">
        <v>173</v>
      </c>
      <c r="BV29" t="s">
        <v>173</v>
      </c>
      <c r="BX29" t="s">
        <v>173</v>
      </c>
      <c r="BY29" t="s">
        <v>173</v>
      </c>
      <c r="BZ29" t="s">
        <v>173</v>
      </c>
      <c r="CA29" t="s">
        <v>173</v>
      </c>
      <c r="CB29" t="s">
        <v>173</v>
      </c>
      <c r="CC29" t="s">
        <v>173</v>
      </c>
      <c r="CD29" t="s">
        <v>173</v>
      </c>
      <c r="CE29" t="s">
        <v>173</v>
      </c>
      <c r="CF29" t="s">
        <v>173</v>
      </c>
      <c r="CG29" t="s">
        <v>173</v>
      </c>
      <c r="CH29" t="s">
        <v>173</v>
      </c>
      <c r="CI29" t="s">
        <v>173</v>
      </c>
      <c r="CJ29" t="s">
        <v>173</v>
      </c>
      <c r="CK29" t="s">
        <v>173</v>
      </c>
      <c r="CL29" t="s">
        <v>173</v>
      </c>
      <c r="CM29" t="s">
        <v>173</v>
      </c>
      <c r="CN29" t="s">
        <v>173</v>
      </c>
      <c r="CO29" t="s">
        <v>173</v>
      </c>
      <c r="CP29" t="s">
        <v>173</v>
      </c>
      <c r="CQ29" t="s">
        <v>173</v>
      </c>
      <c r="CR29" t="s">
        <v>173</v>
      </c>
      <c r="CS29" t="s">
        <v>173</v>
      </c>
      <c r="CT29" t="s">
        <v>173</v>
      </c>
      <c r="CU29" t="s">
        <v>173</v>
      </c>
      <c r="CV29" t="s">
        <v>173</v>
      </c>
      <c r="CW29" t="s">
        <v>173</v>
      </c>
      <c r="CX29" t="s">
        <v>173</v>
      </c>
      <c r="CY29" t="s">
        <v>173</v>
      </c>
      <c r="CZ29" t="s">
        <v>173</v>
      </c>
      <c r="DA29" t="s">
        <v>173</v>
      </c>
      <c r="DB29" t="s">
        <v>173</v>
      </c>
      <c r="DC29" t="s">
        <v>173</v>
      </c>
      <c r="DD29" t="s">
        <v>173</v>
      </c>
      <c r="DE29" t="s">
        <v>173</v>
      </c>
      <c r="DF29" t="s">
        <v>173</v>
      </c>
      <c r="DG29" t="s">
        <v>173</v>
      </c>
      <c r="DH29" t="s">
        <v>173</v>
      </c>
    </row>
    <row r="30" spans="1:112">
      <c r="A30">
        <v>25</v>
      </c>
      <c r="B30" t="s">
        <v>247</v>
      </c>
      <c r="C30" t="s">
        <v>248</v>
      </c>
      <c r="D30">
        <v>2025</v>
      </c>
      <c r="E30" t="s">
        <v>249</v>
      </c>
      <c r="F30" t="s">
        <v>250</v>
      </c>
      <c r="G30" t="s">
        <v>172</v>
      </c>
      <c r="H30" t="s">
        <v>173</v>
      </c>
      <c r="I30" t="s">
        <v>174</v>
      </c>
      <c r="J30" t="s">
        <v>173</v>
      </c>
      <c r="K30" t="s">
        <v>173</v>
      </c>
      <c r="L30" t="s">
        <v>173</v>
      </c>
      <c r="M30" t="s">
        <v>173</v>
      </c>
      <c r="N30" t="s">
        <v>173</v>
      </c>
      <c r="O30" t="s">
        <v>173</v>
      </c>
      <c r="P30" t="s">
        <v>173</v>
      </c>
      <c r="Q30" t="s">
        <v>173</v>
      </c>
      <c r="R30" t="s">
        <v>173</v>
      </c>
      <c r="S30" t="s">
        <v>173</v>
      </c>
      <c r="T30" t="s">
        <v>173</v>
      </c>
      <c r="U30" t="s">
        <v>173</v>
      </c>
      <c r="V30" t="s">
        <v>173</v>
      </c>
      <c r="W30" t="s">
        <v>173</v>
      </c>
      <c r="X30" t="s">
        <v>173</v>
      </c>
      <c r="Y30" t="s">
        <v>173</v>
      </c>
      <c r="Z30" t="s">
        <v>173</v>
      </c>
      <c r="AA30" t="s">
        <v>173</v>
      </c>
      <c r="AB30" t="s">
        <v>173</v>
      </c>
      <c r="AC30" t="s">
        <v>173</v>
      </c>
      <c r="AD30" t="s">
        <v>173</v>
      </c>
      <c r="AE30" t="s">
        <v>173</v>
      </c>
      <c r="AF30" t="s">
        <v>173</v>
      </c>
      <c r="AG30" t="s">
        <v>173</v>
      </c>
      <c r="AH30" t="s">
        <v>173</v>
      </c>
      <c r="AI30" t="s">
        <v>173</v>
      </c>
      <c r="AJ30" t="s">
        <v>173</v>
      </c>
      <c r="AK30" t="s">
        <v>173</v>
      </c>
      <c r="AL30" t="s">
        <v>173</v>
      </c>
      <c r="AM30" t="s">
        <v>173</v>
      </c>
      <c r="AN30" t="s">
        <v>173</v>
      </c>
      <c r="AO30" t="s">
        <v>173</v>
      </c>
      <c r="AP30" t="s">
        <v>173</v>
      </c>
      <c r="AQ30" t="s">
        <v>173</v>
      </c>
      <c r="AR30" t="s">
        <v>173</v>
      </c>
      <c r="AS30" t="s">
        <v>173</v>
      </c>
      <c r="AT30" t="s">
        <v>173</v>
      </c>
      <c r="AU30" t="s">
        <v>173</v>
      </c>
      <c r="AV30" t="s">
        <v>173</v>
      </c>
      <c r="AW30" t="s">
        <v>173</v>
      </c>
      <c r="AX30" t="s">
        <v>173</v>
      </c>
      <c r="AY30" t="s">
        <v>173</v>
      </c>
      <c r="AZ30" t="s">
        <v>173</v>
      </c>
      <c r="BA30" t="s">
        <v>173</v>
      </c>
      <c r="BB30" t="s">
        <v>173</v>
      </c>
      <c r="BC30" t="s">
        <v>173</v>
      </c>
      <c r="BD30" t="s">
        <v>173</v>
      </c>
      <c r="BE30" t="s">
        <v>173</v>
      </c>
      <c r="BF30" t="s">
        <v>173</v>
      </c>
      <c r="BG30" t="s">
        <v>173</v>
      </c>
      <c r="BH30" t="s">
        <v>173</v>
      </c>
      <c r="BI30" t="s">
        <v>173</v>
      </c>
      <c r="BJ30" t="s">
        <v>173</v>
      </c>
      <c r="BK30" t="s">
        <v>173</v>
      </c>
      <c r="BL30" t="s">
        <v>173</v>
      </c>
      <c r="BM30" t="s">
        <v>173</v>
      </c>
      <c r="BN30" t="s">
        <v>173</v>
      </c>
      <c r="BO30" t="s">
        <v>173</v>
      </c>
      <c r="BP30" t="s">
        <v>173</v>
      </c>
      <c r="BQ30" t="s">
        <v>173</v>
      </c>
      <c r="BR30" t="s">
        <v>173</v>
      </c>
      <c r="BS30" t="s">
        <v>173</v>
      </c>
      <c r="BT30" t="s">
        <v>173</v>
      </c>
      <c r="BU30" t="s">
        <v>173</v>
      </c>
      <c r="BV30" t="s">
        <v>173</v>
      </c>
      <c r="BX30" t="s">
        <v>173</v>
      </c>
      <c r="BY30" t="s">
        <v>173</v>
      </c>
      <c r="BZ30" t="s">
        <v>173</v>
      </c>
      <c r="CA30" t="s">
        <v>173</v>
      </c>
      <c r="CB30" t="s">
        <v>173</v>
      </c>
      <c r="CC30" t="s">
        <v>173</v>
      </c>
      <c r="CD30" t="s">
        <v>173</v>
      </c>
      <c r="CE30" t="s">
        <v>173</v>
      </c>
      <c r="CF30" t="s">
        <v>173</v>
      </c>
      <c r="CG30" t="s">
        <v>173</v>
      </c>
      <c r="CH30" t="s">
        <v>173</v>
      </c>
      <c r="CI30" t="s">
        <v>173</v>
      </c>
      <c r="CJ30" t="s">
        <v>173</v>
      </c>
      <c r="CK30" t="s">
        <v>173</v>
      </c>
      <c r="CL30" t="s">
        <v>173</v>
      </c>
      <c r="CM30" t="s">
        <v>173</v>
      </c>
      <c r="CN30" t="s">
        <v>173</v>
      </c>
      <c r="CO30" t="s">
        <v>173</v>
      </c>
      <c r="CP30" t="s">
        <v>173</v>
      </c>
      <c r="CQ30" t="s">
        <v>173</v>
      </c>
      <c r="CR30" t="s">
        <v>173</v>
      </c>
      <c r="CS30" t="s">
        <v>173</v>
      </c>
      <c r="CT30" t="s">
        <v>173</v>
      </c>
      <c r="CU30" t="s">
        <v>173</v>
      </c>
      <c r="CV30" t="s">
        <v>173</v>
      </c>
      <c r="CW30" t="s">
        <v>173</v>
      </c>
      <c r="CX30" t="s">
        <v>173</v>
      </c>
      <c r="CY30" t="s">
        <v>173</v>
      </c>
      <c r="CZ30" t="s">
        <v>173</v>
      </c>
      <c r="DA30" t="s">
        <v>173</v>
      </c>
      <c r="DB30" t="s">
        <v>173</v>
      </c>
      <c r="DC30" t="s">
        <v>173</v>
      </c>
      <c r="DD30" t="s">
        <v>173</v>
      </c>
      <c r="DE30" t="s">
        <v>173</v>
      </c>
      <c r="DF30" t="s">
        <v>173</v>
      </c>
      <c r="DG30" t="s">
        <v>173</v>
      </c>
      <c r="DH30" t="s">
        <v>173</v>
      </c>
    </row>
    <row r="31" spans="1:112">
      <c r="A31">
        <v>26</v>
      </c>
      <c r="B31" t="s">
        <v>251</v>
      </c>
      <c r="C31" t="s">
        <v>252</v>
      </c>
      <c r="D31">
        <v>2025</v>
      </c>
      <c r="E31" t="s">
        <v>253</v>
      </c>
      <c r="F31" t="s">
        <v>254</v>
      </c>
      <c r="G31" t="s">
        <v>172</v>
      </c>
      <c r="H31" t="s">
        <v>173</v>
      </c>
      <c r="I31" t="s">
        <v>197</v>
      </c>
      <c r="J31" t="s">
        <v>173</v>
      </c>
      <c r="K31" t="s">
        <v>173</v>
      </c>
      <c r="L31" t="s">
        <v>173</v>
      </c>
      <c r="M31" t="s">
        <v>173</v>
      </c>
      <c r="N31" t="s">
        <v>173</v>
      </c>
      <c r="O31" t="s">
        <v>173</v>
      </c>
      <c r="P31" t="s">
        <v>173</v>
      </c>
      <c r="Q31" t="s">
        <v>173</v>
      </c>
      <c r="R31" t="s">
        <v>173</v>
      </c>
      <c r="S31" t="s">
        <v>173</v>
      </c>
      <c r="T31" t="s">
        <v>173</v>
      </c>
      <c r="U31" t="s">
        <v>173</v>
      </c>
      <c r="V31" t="s">
        <v>173</v>
      </c>
      <c r="W31" t="s">
        <v>173</v>
      </c>
      <c r="X31" t="s">
        <v>173</v>
      </c>
      <c r="Y31" t="s">
        <v>173</v>
      </c>
      <c r="Z31" t="s">
        <v>173</v>
      </c>
      <c r="AA31" t="s">
        <v>173</v>
      </c>
      <c r="AB31" t="s">
        <v>173</v>
      </c>
      <c r="AC31" t="s">
        <v>173</v>
      </c>
      <c r="AD31" t="s">
        <v>173</v>
      </c>
      <c r="AE31" t="s">
        <v>173</v>
      </c>
      <c r="AF31" t="s">
        <v>173</v>
      </c>
      <c r="AG31" t="s">
        <v>173</v>
      </c>
      <c r="AH31" t="s">
        <v>173</v>
      </c>
      <c r="AI31" t="s">
        <v>173</v>
      </c>
      <c r="AJ31" t="s">
        <v>173</v>
      </c>
      <c r="AK31" t="s">
        <v>173</v>
      </c>
      <c r="AL31" t="s">
        <v>173</v>
      </c>
      <c r="AM31" t="s">
        <v>173</v>
      </c>
      <c r="AN31" t="s">
        <v>173</v>
      </c>
      <c r="AO31" t="s">
        <v>173</v>
      </c>
      <c r="AP31" t="s">
        <v>173</v>
      </c>
      <c r="AQ31" t="s">
        <v>173</v>
      </c>
      <c r="AR31" t="s">
        <v>173</v>
      </c>
      <c r="AS31" t="s">
        <v>173</v>
      </c>
      <c r="AT31" t="s">
        <v>173</v>
      </c>
      <c r="AU31" t="s">
        <v>173</v>
      </c>
      <c r="AV31" t="s">
        <v>173</v>
      </c>
      <c r="AW31" t="s">
        <v>173</v>
      </c>
      <c r="AX31" t="s">
        <v>173</v>
      </c>
      <c r="AY31" t="s">
        <v>173</v>
      </c>
      <c r="AZ31" t="s">
        <v>173</v>
      </c>
      <c r="BA31" t="s">
        <v>173</v>
      </c>
      <c r="BB31" t="s">
        <v>173</v>
      </c>
      <c r="BC31" t="s">
        <v>173</v>
      </c>
      <c r="BD31" t="s">
        <v>173</v>
      </c>
      <c r="BE31" t="s">
        <v>173</v>
      </c>
      <c r="BF31" t="s">
        <v>173</v>
      </c>
      <c r="BG31" t="s">
        <v>173</v>
      </c>
      <c r="BH31" t="s">
        <v>173</v>
      </c>
      <c r="BI31" t="s">
        <v>173</v>
      </c>
      <c r="BJ31" t="s">
        <v>173</v>
      </c>
      <c r="BK31" t="s">
        <v>173</v>
      </c>
      <c r="BL31" t="s">
        <v>173</v>
      </c>
      <c r="BM31" t="s">
        <v>173</v>
      </c>
      <c r="BN31" t="s">
        <v>173</v>
      </c>
      <c r="BO31" t="s">
        <v>173</v>
      </c>
      <c r="BP31" t="s">
        <v>173</v>
      </c>
      <c r="BQ31" t="s">
        <v>173</v>
      </c>
      <c r="BR31" t="s">
        <v>173</v>
      </c>
      <c r="BS31" t="s">
        <v>173</v>
      </c>
      <c r="BT31" t="s">
        <v>173</v>
      </c>
      <c r="BU31" t="s">
        <v>173</v>
      </c>
      <c r="BV31" t="s">
        <v>173</v>
      </c>
      <c r="BX31" t="s">
        <v>173</v>
      </c>
      <c r="BY31" t="s">
        <v>173</v>
      </c>
      <c r="BZ31" t="s">
        <v>173</v>
      </c>
      <c r="CA31" t="s">
        <v>173</v>
      </c>
      <c r="CB31" t="s">
        <v>173</v>
      </c>
      <c r="CC31" t="s">
        <v>173</v>
      </c>
      <c r="CD31" t="s">
        <v>173</v>
      </c>
      <c r="CE31" t="s">
        <v>173</v>
      </c>
      <c r="CF31" t="s">
        <v>173</v>
      </c>
      <c r="CG31" t="s">
        <v>173</v>
      </c>
      <c r="CH31" t="s">
        <v>173</v>
      </c>
      <c r="CI31" t="s">
        <v>173</v>
      </c>
      <c r="CJ31" t="s">
        <v>173</v>
      </c>
      <c r="CK31" t="s">
        <v>173</v>
      </c>
      <c r="CL31" t="s">
        <v>173</v>
      </c>
      <c r="CM31" t="s">
        <v>173</v>
      </c>
      <c r="CN31" t="s">
        <v>173</v>
      </c>
      <c r="CO31" t="s">
        <v>173</v>
      </c>
      <c r="CP31" t="s">
        <v>173</v>
      </c>
      <c r="CQ31" t="s">
        <v>173</v>
      </c>
      <c r="CR31" t="s">
        <v>173</v>
      </c>
      <c r="CS31" t="s">
        <v>173</v>
      </c>
      <c r="CT31" t="s">
        <v>173</v>
      </c>
      <c r="CU31" t="s">
        <v>173</v>
      </c>
      <c r="CV31" t="s">
        <v>173</v>
      </c>
      <c r="CW31" t="s">
        <v>173</v>
      </c>
      <c r="CX31" t="s">
        <v>173</v>
      </c>
      <c r="CY31" t="s">
        <v>173</v>
      </c>
      <c r="CZ31" t="s">
        <v>173</v>
      </c>
      <c r="DA31" t="s">
        <v>173</v>
      </c>
      <c r="DB31" t="s">
        <v>173</v>
      </c>
      <c r="DC31" t="s">
        <v>173</v>
      </c>
      <c r="DD31" t="s">
        <v>173</v>
      </c>
      <c r="DE31" t="s">
        <v>173</v>
      </c>
      <c r="DF31" t="s">
        <v>173</v>
      </c>
      <c r="DG31" t="s">
        <v>173</v>
      </c>
      <c r="DH31" t="s">
        <v>173</v>
      </c>
    </row>
    <row r="32" spans="1:112">
      <c r="A32">
        <v>27</v>
      </c>
      <c r="B32" t="s">
        <v>255</v>
      </c>
      <c r="C32" t="s">
        <v>256</v>
      </c>
      <c r="D32">
        <v>2025</v>
      </c>
      <c r="E32" t="s">
        <v>195</v>
      </c>
      <c r="F32" t="s">
        <v>257</v>
      </c>
      <c r="G32" t="s">
        <v>172</v>
      </c>
      <c r="H32" t="s">
        <v>173</v>
      </c>
      <c r="I32" t="s">
        <v>197</v>
      </c>
      <c r="J32" t="s">
        <v>173</v>
      </c>
      <c r="K32" t="s">
        <v>173</v>
      </c>
      <c r="L32" t="s">
        <v>173</v>
      </c>
      <c r="M32" t="s">
        <v>173</v>
      </c>
      <c r="N32" t="s">
        <v>173</v>
      </c>
      <c r="O32" t="s">
        <v>173</v>
      </c>
      <c r="P32" t="s">
        <v>173</v>
      </c>
      <c r="Q32" t="s">
        <v>173</v>
      </c>
      <c r="R32" t="s">
        <v>173</v>
      </c>
      <c r="S32" t="s">
        <v>173</v>
      </c>
      <c r="T32" t="s">
        <v>173</v>
      </c>
      <c r="U32" t="s">
        <v>173</v>
      </c>
      <c r="V32" t="s">
        <v>173</v>
      </c>
      <c r="W32" t="s">
        <v>173</v>
      </c>
      <c r="X32" t="s">
        <v>173</v>
      </c>
      <c r="Y32" t="s">
        <v>173</v>
      </c>
      <c r="Z32" t="s">
        <v>173</v>
      </c>
      <c r="AA32" t="s">
        <v>173</v>
      </c>
      <c r="AB32" t="s">
        <v>173</v>
      </c>
      <c r="AC32" t="s">
        <v>173</v>
      </c>
      <c r="AD32" t="s">
        <v>173</v>
      </c>
      <c r="AE32" t="s">
        <v>173</v>
      </c>
      <c r="AF32" t="s">
        <v>173</v>
      </c>
      <c r="AG32" t="s">
        <v>173</v>
      </c>
      <c r="AH32" t="s">
        <v>173</v>
      </c>
      <c r="AI32" t="s">
        <v>173</v>
      </c>
      <c r="AJ32" t="s">
        <v>173</v>
      </c>
      <c r="AK32" t="s">
        <v>173</v>
      </c>
      <c r="AL32" t="s">
        <v>173</v>
      </c>
      <c r="AM32" t="s">
        <v>173</v>
      </c>
      <c r="AN32" t="s">
        <v>173</v>
      </c>
      <c r="AO32" t="s">
        <v>173</v>
      </c>
      <c r="AP32" t="s">
        <v>173</v>
      </c>
      <c r="AQ32" t="s">
        <v>173</v>
      </c>
      <c r="AR32" t="s">
        <v>173</v>
      </c>
      <c r="AS32" t="s">
        <v>173</v>
      </c>
      <c r="AT32" t="s">
        <v>173</v>
      </c>
      <c r="AU32" t="s">
        <v>173</v>
      </c>
      <c r="AV32" t="s">
        <v>173</v>
      </c>
      <c r="AW32" t="s">
        <v>173</v>
      </c>
      <c r="AX32" t="s">
        <v>173</v>
      </c>
      <c r="AY32" t="s">
        <v>173</v>
      </c>
      <c r="AZ32" t="s">
        <v>173</v>
      </c>
      <c r="BA32" t="s">
        <v>173</v>
      </c>
      <c r="BB32" t="s">
        <v>173</v>
      </c>
      <c r="BC32" t="s">
        <v>173</v>
      </c>
      <c r="BD32" t="s">
        <v>173</v>
      </c>
      <c r="BE32" t="s">
        <v>173</v>
      </c>
      <c r="BF32" t="s">
        <v>173</v>
      </c>
      <c r="BG32" t="s">
        <v>173</v>
      </c>
      <c r="BH32" t="s">
        <v>173</v>
      </c>
      <c r="BI32" t="s">
        <v>173</v>
      </c>
      <c r="BJ32" t="s">
        <v>173</v>
      </c>
      <c r="BK32" t="s">
        <v>173</v>
      </c>
      <c r="BL32" t="s">
        <v>173</v>
      </c>
      <c r="BM32" t="s">
        <v>173</v>
      </c>
      <c r="BN32" t="s">
        <v>173</v>
      </c>
      <c r="BO32" t="s">
        <v>173</v>
      </c>
      <c r="BP32" t="s">
        <v>173</v>
      </c>
      <c r="BQ32" t="s">
        <v>173</v>
      </c>
      <c r="BR32" t="s">
        <v>173</v>
      </c>
      <c r="BS32" t="s">
        <v>173</v>
      </c>
      <c r="BT32" t="s">
        <v>173</v>
      </c>
      <c r="BU32" t="s">
        <v>173</v>
      </c>
      <c r="BV32" t="s">
        <v>173</v>
      </c>
      <c r="BX32" t="s">
        <v>173</v>
      </c>
      <c r="BY32" t="s">
        <v>173</v>
      </c>
      <c r="BZ32" t="s">
        <v>173</v>
      </c>
      <c r="CA32" t="s">
        <v>173</v>
      </c>
      <c r="CB32" t="s">
        <v>173</v>
      </c>
      <c r="CC32" t="s">
        <v>173</v>
      </c>
      <c r="CD32" t="s">
        <v>173</v>
      </c>
      <c r="CE32" t="s">
        <v>173</v>
      </c>
      <c r="CF32" t="s">
        <v>173</v>
      </c>
      <c r="CG32" t="s">
        <v>173</v>
      </c>
      <c r="CH32" t="s">
        <v>173</v>
      </c>
      <c r="CI32" t="s">
        <v>173</v>
      </c>
      <c r="CJ32" t="s">
        <v>173</v>
      </c>
      <c r="CK32" t="s">
        <v>173</v>
      </c>
      <c r="CL32" t="s">
        <v>173</v>
      </c>
      <c r="CM32" t="s">
        <v>173</v>
      </c>
      <c r="CN32" t="s">
        <v>173</v>
      </c>
      <c r="CO32" t="s">
        <v>173</v>
      </c>
      <c r="CP32" t="s">
        <v>173</v>
      </c>
      <c r="CQ32" t="s">
        <v>173</v>
      </c>
      <c r="CR32" t="s">
        <v>173</v>
      </c>
      <c r="CS32" t="s">
        <v>173</v>
      </c>
      <c r="CT32" t="s">
        <v>173</v>
      </c>
      <c r="CU32" t="s">
        <v>173</v>
      </c>
      <c r="CV32" t="s">
        <v>173</v>
      </c>
      <c r="CW32" t="s">
        <v>173</v>
      </c>
      <c r="CX32" t="s">
        <v>173</v>
      </c>
      <c r="CY32" t="s">
        <v>173</v>
      </c>
      <c r="CZ32" t="s">
        <v>173</v>
      </c>
      <c r="DA32" t="s">
        <v>173</v>
      </c>
      <c r="DB32" t="s">
        <v>173</v>
      </c>
      <c r="DC32" t="s">
        <v>173</v>
      </c>
      <c r="DD32" t="s">
        <v>173</v>
      </c>
      <c r="DE32" t="s">
        <v>173</v>
      </c>
      <c r="DF32" t="s">
        <v>173</v>
      </c>
      <c r="DG32" t="s">
        <v>173</v>
      </c>
      <c r="DH32" t="s">
        <v>173</v>
      </c>
    </row>
    <row r="33" spans="1:112">
      <c r="A33">
        <v>27</v>
      </c>
      <c r="B33" t="s">
        <v>255</v>
      </c>
      <c r="C33" t="s">
        <v>256</v>
      </c>
      <c r="D33">
        <v>2025</v>
      </c>
      <c r="E33" t="s">
        <v>195</v>
      </c>
      <c r="F33" t="s">
        <v>257</v>
      </c>
      <c r="G33" t="s">
        <v>172</v>
      </c>
      <c r="H33" t="s">
        <v>173</v>
      </c>
      <c r="I33" t="s">
        <v>197</v>
      </c>
      <c r="J33" t="s">
        <v>173</v>
      </c>
      <c r="K33" t="s">
        <v>173</v>
      </c>
      <c r="L33" t="s">
        <v>173</v>
      </c>
      <c r="M33" t="s">
        <v>173</v>
      </c>
      <c r="N33" t="s">
        <v>173</v>
      </c>
      <c r="O33" t="s">
        <v>173</v>
      </c>
      <c r="P33" t="s">
        <v>173</v>
      </c>
      <c r="Q33" t="s">
        <v>173</v>
      </c>
      <c r="R33" t="s">
        <v>173</v>
      </c>
      <c r="S33" t="s">
        <v>173</v>
      </c>
      <c r="T33" t="s">
        <v>173</v>
      </c>
      <c r="U33" t="s">
        <v>173</v>
      </c>
      <c r="V33" t="s">
        <v>173</v>
      </c>
      <c r="W33" t="s">
        <v>173</v>
      </c>
      <c r="X33" t="s">
        <v>173</v>
      </c>
      <c r="Y33" t="s">
        <v>173</v>
      </c>
      <c r="Z33" t="s">
        <v>173</v>
      </c>
      <c r="AA33" t="s">
        <v>173</v>
      </c>
      <c r="AB33" t="s">
        <v>173</v>
      </c>
      <c r="AC33" t="s">
        <v>173</v>
      </c>
      <c r="AD33" t="s">
        <v>173</v>
      </c>
      <c r="AE33" t="s">
        <v>173</v>
      </c>
      <c r="AF33" t="s">
        <v>173</v>
      </c>
      <c r="AG33" t="s">
        <v>173</v>
      </c>
      <c r="AH33" t="s">
        <v>173</v>
      </c>
      <c r="AI33" t="s">
        <v>173</v>
      </c>
      <c r="AJ33" t="s">
        <v>173</v>
      </c>
      <c r="AK33" t="s">
        <v>173</v>
      </c>
      <c r="AL33" t="s">
        <v>173</v>
      </c>
      <c r="AM33" t="s">
        <v>173</v>
      </c>
      <c r="AN33" t="s">
        <v>173</v>
      </c>
      <c r="AO33" t="s">
        <v>173</v>
      </c>
      <c r="AP33" t="s">
        <v>173</v>
      </c>
      <c r="AQ33" t="s">
        <v>173</v>
      </c>
      <c r="AR33" t="s">
        <v>173</v>
      </c>
      <c r="AS33" t="s">
        <v>173</v>
      </c>
      <c r="AT33" t="s">
        <v>173</v>
      </c>
      <c r="AU33" t="s">
        <v>173</v>
      </c>
      <c r="AV33" t="s">
        <v>173</v>
      </c>
      <c r="AW33" t="s">
        <v>173</v>
      </c>
      <c r="AX33" t="s">
        <v>173</v>
      </c>
      <c r="AY33" t="s">
        <v>173</v>
      </c>
      <c r="AZ33" t="s">
        <v>173</v>
      </c>
      <c r="BA33" t="s">
        <v>173</v>
      </c>
      <c r="BB33" t="s">
        <v>173</v>
      </c>
      <c r="BC33" t="s">
        <v>173</v>
      </c>
      <c r="BD33" t="s">
        <v>173</v>
      </c>
      <c r="BE33" t="s">
        <v>173</v>
      </c>
      <c r="BF33" t="s">
        <v>173</v>
      </c>
      <c r="BG33" t="s">
        <v>173</v>
      </c>
      <c r="BH33" t="s">
        <v>173</v>
      </c>
      <c r="BI33" t="s">
        <v>173</v>
      </c>
      <c r="BJ33" t="s">
        <v>173</v>
      </c>
      <c r="BK33" t="s">
        <v>173</v>
      </c>
      <c r="BL33" t="s">
        <v>173</v>
      </c>
      <c r="BM33" t="s">
        <v>173</v>
      </c>
      <c r="BN33" t="s">
        <v>173</v>
      </c>
      <c r="BO33" t="s">
        <v>173</v>
      </c>
      <c r="BP33" t="s">
        <v>173</v>
      </c>
      <c r="BQ33" t="s">
        <v>173</v>
      </c>
      <c r="BR33" t="s">
        <v>173</v>
      </c>
      <c r="BS33" t="s">
        <v>173</v>
      </c>
      <c r="BT33" t="s">
        <v>173</v>
      </c>
      <c r="BU33" t="s">
        <v>173</v>
      </c>
      <c r="BV33" t="s">
        <v>173</v>
      </c>
      <c r="BX33" t="s">
        <v>173</v>
      </c>
      <c r="BY33" t="s">
        <v>173</v>
      </c>
      <c r="BZ33" t="s">
        <v>173</v>
      </c>
      <c r="CA33" t="s">
        <v>173</v>
      </c>
      <c r="CB33" t="s">
        <v>173</v>
      </c>
      <c r="CC33" t="s">
        <v>173</v>
      </c>
      <c r="CD33" t="s">
        <v>173</v>
      </c>
      <c r="CE33" t="s">
        <v>173</v>
      </c>
      <c r="CF33" t="s">
        <v>173</v>
      </c>
      <c r="CG33" t="s">
        <v>173</v>
      </c>
      <c r="CH33" t="s">
        <v>173</v>
      </c>
      <c r="CI33" t="s">
        <v>173</v>
      </c>
      <c r="CJ33" t="s">
        <v>173</v>
      </c>
      <c r="CK33" t="s">
        <v>173</v>
      </c>
      <c r="CL33" t="s">
        <v>173</v>
      </c>
      <c r="CM33" t="s">
        <v>173</v>
      </c>
      <c r="CN33" t="s">
        <v>173</v>
      </c>
      <c r="CO33" t="s">
        <v>173</v>
      </c>
      <c r="CP33" t="s">
        <v>173</v>
      </c>
      <c r="CQ33" t="s">
        <v>173</v>
      </c>
      <c r="CR33" t="s">
        <v>173</v>
      </c>
      <c r="CS33" t="s">
        <v>173</v>
      </c>
      <c r="CT33" t="s">
        <v>173</v>
      </c>
      <c r="CU33" t="s">
        <v>173</v>
      </c>
      <c r="CV33" t="s">
        <v>173</v>
      </c>
      <c r="CW33" t="s">
        <v>173</v>
      </c>
      <c r="CX33" t="s">
        <v>173</v>
      </c>
      <c r="CY33" t="s">
        <v>173</v>
      </c>
      <c r="CZ33" t="s">
        <v>173</v>
      </c>
      <c r="DA33" t="s">
        <v>173</v>
      </c>
      <c r="DB33" t="s">
        <v>173</v>
      </c>
      <c r="DC33" t="s">
        <v>173</v>
      </c>
      <c r="DD33" t="s">
        <v>173</v>
      </c>
      <c r="DE33" t="s">
        <v>173</v>
      </c>
      <c r="DF33" t="s">
        <v>173</v>
      </c>
      <c r="DG33" t="s">
        <v>173</v>
      </c>
      <c r="DH33" t="s">
        <v>173</v>
      </c>
    </row>
    <row r="34" spans="1:112">
      <c r="A34">
        <v>28</v>
      </c>
      <c r="B34" t="s">
        <v>258</v>
      </c>
      <c r="C34" t="s">
        <v>259</v>
      </c>
      <c r="D34">
        <v>2025</v>
      </c>
      <c r="E34" t="s">
        <v>260</v>
      </c>
      <c r="F34" t="s">
        <v>261</v>
      </c>
      <c r="G34" t="s">
        <v>172</v>
      </c>
      <c r="H34" t="s">
        <v>173</v>
      </c>
      <c r="I34" t="s">
        <v>174</v>
      </c>
      <c r="J34" t="s">
        <v>173</v>
      </c>
      <c r="K34" t="s">
        <v>173</v>
      </c>
      <c r="L34" t="s">
        <v>173</v>
      </c>
      <c r="M34" t="s">
        <v>173</v>
      </c>
      <c r="N34" t="s">
        <v>173</v>
      </c>
      <c r="O34" t="s">
        <v>173</v>
      </c>
      <c r="P34" t="s">
        <v>173</v>
      </c>
      <c r="Q34" t="s">
        <v>173</v>
      </c>
      <c r="R34" t="s">
        <v>173</v>
      </c>
      <c r="S34" t="s">
        <v>173</v>
      </c>
      <c r="T34" t="s">
        <v>173</v>
      </c>
      <c r="U34" t="s">
        <v>173</v>
      </c>
      <c r="V34" t="s">
        <v>173</v>
      </c>
      <c r="W34" t="s">
        <v>173</v>
      </c>
      <c r="X34" t="s">
        <v>173</v>
      </c>
      <c r="Y34" t="s">
        <v>173</v>
      </c>
      <c r="Z34" t="s">
        <v>173</v>
      </c>
      <c r="AA34" t="s">
        <v>173</v>
      </c>
      <c r="AB34" t="s">
        <v>173</v>
      </c>
      <c r="AC34" t="s">
        <v>173</v>
      </c>
      <c r="AD34" t="s">
        <v>173</v>
      </c>
      <c r="AE34" t="s">
        <v>173</v>
      </c>
      <c r="AF34" t="s">
        <v>173</v>
      </c>
      <c r="AG34" t="s">
        <v>173</v>
      </c>
      <c r="AH34" t="s">
        <v>173</v>
      </c>
      <c r="AI34" t="s">
        <v>173</v>
      </c>
      <c r="AJ34" t="s">
        <v>173</v>
      </c>
      <c r="AK34" t="s">
        <v>173</v>
      </c>
      <c r="AL34" t="s">
        <v>173</v>
      </c>
      <c r="AM34" t="s">
        <v>173</v>
      </c>
      <c r="AN34" t="s">
        <v>173</v>
      </c>
      <c r="AO34" t="s">
        <v>173</v>
      </c>
      <c r="AP34" t="s">
        <v>173</v>
      </c>
      <c r="AQ34" t="s">
        <v>173</v>
      </c>
      <c r="AR34" t="s">
        <v>173</v>
      </c>
      <c r="AS34" t="s">
        <v>173</v>
      </c>
      <c r="AT34" t="s">
        <v>173</v>
      </c>
      <c r="AU34" t="s">
        <v>173</v>
      </c>
      <c r="AV34" t="s">
        <v>173</v>
      </c>
      <c r="AW34" t="s">
        <v>173</v>
      </c>
      <c r="AX34" t="s">
        <v>173</v>
      </c>
      <c r="AY34" t="s">
        <v>173</v>
      </c>
      <c r="AZ34" t="s">
        <v>173</v>
      </c>
      <c r="BA34" t="s">
        <v>173</v>
      </c>
      <c r="BB34" t="s">
        <v>173</v>
      </c>
      <c r="BC34" t="s">
        <v>173</v>
      </c>
      <c r="BD34" t="s">
        <v>173</v>
      </c>
      <c r="BE34" t="s">
        <v>173</v>
      </c>
      <c r="BF34" t="s">
        <v>173</v>
      </c>
      <c r="BG34" t="s">
        <v>173</v>
      </c>
      <c r="BH34" t="s">
        <v>173</v>
      </c>
      <c r="BI34" t="s">
        <v>173</v>
      </c>
      <c r="BJ34" t="s">
        <v>173</v>
      </c>
      <c r="BK34" t="s">
        <v>173</v>
      </c>
      <c r="BL34" t="s">
        <v>173</v>
      </c>
      <c r="BM34" t="s">
        <v>173</v>
      </c>
      <c r="BN34" t="s">
        <v>173</v>
      </c>
      <c r="BO34" t="s">
        <v>173</v>
      </c>
      <c r="BP34" t="s">
        <v>173</v>
      </c>
      <c r="BQ34" t="s">
        <v>173</v>
      </c>
      <c r="BR34" t="s">
        <v>173</v>
      </c>
      <c r="BS34" t="s">
        <v>173</v>
      </c>
      <c r="BT34" t="s">
        <v>173</v>
      </c>
      <c r="BU34" t="s">
        <v>173</v>
      </c>
      <c r="BV34" t="s">
        <v>173</v>
      </c>
      <c r="BX34" t="s">
        <v>173</v>
      </c>
      <c r="BY34" t="s">
        <v>173</v>
      </c>
      <c r="BZ34" t="s">
        <v>173</v>
      </c>
      <c r="CA34" t="s">
        <v>173</v>
      </c>
      <c r="CB34" t="s">
        <v>173</v>
      </c>
      <c r="CC34" t="s">
        <v>173</v>
      </c>
      <c r="CD34" t="s">
        <v>173</v>
      </c>
      <c r="CE34" t="s">
        <v>173</v>
      </c>
      <c r="CF34" t="s">
        <v>173</v>
      </c>
      <c r="CG34" t="s">
        <v>173</v>
      </c>
      <c r="CH34" t="s">
        <v>173</v>
      </c>
      <c r="CI34" t="s">
        <v>173</v>
      </c>
      <c r="CJ34" t="s">
        <v>173</v>
      </c>
      <c r="CK34" t="s">
        <v>173</v>
      </c>
      <c r="CL34" t="s">
        <v>173</v>
      </c>
      <c r="CM34" t="s">
        <v>173</v>
      </c>
      <c r="CN34" t="s">
        <v>173</v>
      </c>
      <c r="CO34" t="s">
        <v>173</v>
      </c>
      <c r="CP34" t="s">
        <v>173</v>
      </c>
      <c r="CQ34" t="s">
        <v>173</v>
      </c>
      <c r="CR34" t="s">
        <v>173</v>
      </c>
      <c r="CS34" t="s">
        <v>173</v>
      </c>
      <c r="CT34" t="s">
        <v>173</v>
      </c>
      <c r="CU34" t="s">
        <v>173</v>
      </c>
      <c r="CV34" t="s">
        <v>173</v>
      </c>
      <c r="CW34" t="s">
        <v>173</v>
      </c>
      <c r="CX34" t="s">
        <v>173</v>
      </c>
      <c r="CY34" t="s">
        <v>173</v>
      </c>
      <c r="CZ34" t="s">
        <v>173</v>
      </c>
      <c r="DA34" t="s">
        <v>173</v>
      </c>
      <c r="DB34" t="s">
        <v>173</v>
      </c>
      <c r="DC34" t="s">
        <v>173</v>
      </c>
      <c r="DD34" t="s">
        <v>173</v>
      </c>
      <c r="DE34" t="s">
        <v>173</v>
      </c>
      <c r="DF34" t="s">
        <v>173</v>
      </c>
      <c r="DG34" t="s">
        <v>173</v>
      </c>
      <c r="DH34" t="s">
        <v>173</v>
      </c>
    </row>
    <row r="35" spans="1:112">
      <c r="A35">
        <v>29</v>
      </c>
      <c r="B35" t="s">
        <v>262</v>
      </c>
      <c r="C35" t="s">
        <v>263</v>
      </c>
      <c r="D35">
        <v>2025</v>
      </c>
      <c r="E35" t="s">
        <v>264</v>
      </c>
      <c r="F35" t="s">
        <v>265</v>
      </c>
      <c r="G35" t="s">
        <v>172</v>
      </c>
      <c r="H35" t="s">
        <v>173</v>
      </c>
      <c r="I35" t="s">
        <v>174</v>
      </c>
      <c r="J35" t="s">
        <v>173</v>
      </c>
      <c r="K35" t="s">
        <v>173</v>
      </c>
      <c r="L35" t="s">
        <v>173</v>
      </c>
      <c r="M35" t="s">
        <v>173</v>
      </c>
      <c r="N35" t="s">
        <v>173</v>
      </c>
      <c r="O35" t="s">
        <v>173</v>
      </c>
      <c r="P35" t="s">
        <v>173</v>
      </c>
      <c r="Q35" t="s">
        <v>173</v>
      </c>
      <c r="R35" t="s">
        <v>173</v>
      </c>
      <c r="S35" t="s">
        <v>173</v>
      </c>
      <c r="T35" t="s">
        <v>173</v>
      </c>
      <c r="U35" t="s">
        <v>173</v>
      </c>
      <c r="V35" t="s">
        <v>173</v>
      </c>
      <c r="W35" t="s">
        <v>173</v>
      </c>
      <c r="X35" t="s">
        <v>173</v>
      </c>
      <c r="Y35" t="s">
        <v>173</v>
      </c>
      <c r="Z35" t="s">
        <v>173</v>
      </c>
      <c r="AA35" t="s">
        <v>173</v>
      </c>
      <c r="AB35" t="s">
        <v>173</v>
      </c>
      <c r="AC35" t="s">
        <v>173</v>
      </c>
      <c r="AD35" t="s">
        <v>173</v>
      </c>
      <c r="AE35" t="s">
        <v>173</v>
      </c>
      <c r="AF35" t="s">
        <v>173</v>
      </c>
      <c r="AG35" t="s">
        <v>173</v>
      </c>
      <c r="AH35" t="s">
        <v>173</v>
      </c>
      <c r="AI35" t="s">
        <v>173</v>
      </c>
      <c r="AJ35" t="s">
        <v>173</v>
      </c>
      <c r="AK35" t="s">
        <v>173</v>
      </c>
      <c r="AL35" t="s">
        <v>173</v>
      </c>
      <c r="AM35" t="s">
        <v>173</v>
      </c>
      <c r="AN35" t="s">
        <v>173</v>
      </c>
      <c r="AO35" t="s">
        <v>173</v>
      </c>
      <c r="AP35" t="s">
        <v>173</v>
      </c>
      <c r="AQ35" t="s">
        <v>173</v>
      </c>
      <c r="AR35" t="s">
        <v>173</v>
      </c>
      <c r="AS35" t="s">
        <v>173</v>
      </c>
      <c r="AT35" t="s">
        <v>173</v>
      </c>
      <c r="AU35" t="s">
        <v>173</v>
      </c>
      <c r="AV35" t="s">
        <v>173</v>
      </c>
      <c r="AW35" t="s">
        <v>173</v>
      </c>
      <c r="AX35" t="s">
        <v>173</v>
      </c>
      <c r="AY35" t="s">
        <v>173</v>
      </c>
      <c r="AZ35" t="s">
        <v>173</v>
      </c>
      <c r="BA35" t="s">
        <v>173</v>
      </c>
      <c r="BB35" t="s">
        <v>173</v>
      </c>
      <c r="BC35" t="s">
        <v>173</v>
      </c>
      <c r="BD35" t="s">
        <v>173</v>
      </c>
      <c r="BE35" t="s">
        <v>173</v>
      </c>
      <c r="BF35" t="s">
        <v>173</v>
      </c>
      <c r="BG35" t="s">
        <v>173</v>
      </c>
      <c r="BH35" t="s">
        <v>173</v>
      </c>
      <c r="BI35" t="s">
        <v>173</v>
      </c>
      <c r="BJ35" t="s">
        <v>173</v>
      </c>
      <c r="BK35" t="s">
        <v>173</v>
      </c>
      <c r="BL35" t="s">
        <v>173</v>
      </c>
      <c r="BM35" t="s">
        <v>173</v>
      </c>
      <c r="BN35" t="s">
        <v>173</v>
      </c>
      <c r="BO35" t="s">
        <v>173</v>
      </c>
      <c r="BP35" t="s">
        <v>173</v>
      </c>
      <c r="BQ35" t="s">
        <v>173</v>
      </c>
      <c r="BR35" t="s">
        <v>173</v>
      </c>
      <c r="BS35" t="s">
        <v>173</v>
      </c>
      <c r="BT35" t="s">
        <v>173</v>
      </c>
      <c r="BU35" t="s">
        <v>173</v>
      </c>
      <c r="BV35" t="s">
        <v>173</v>
      </c>
      <c r="BX35" t="s">
        <v>173</v>
      </c>
      <c r="BY35" t="s">
        <v>173</v>
      </c>
      <c r="BZ35" t="s">
        <v>173</v>
      </c>
      <c r="CA35" t="s">
        <v>173</v>
      </c>
      <c r="CB35" t="s">
        <v>173</v>
      </c>
      <c r="CC35" t="s">
        <v>173</v>
      </c>
      <c r="CD35" t="s">
        <v>173</v>
      </c>
      <c r="CE35" t="s">
        <v>173</v>
      </c>
      <c r="CF35" t="s">
        <v>173</v>
      </c>
      <c r="CG35" t="s">
        <v>173</v>
      </c>
      <c r="CH35" t="s">
        <v>173</v>
      </c>
      <c r="CI35" t="s">
        <v>173</v>
      </c>
      <c r="CJ35" t="s">
        <v>173</v>
      </c>
      <c r="CK35" t="s">
        <v>173</v>
      </c>
      <c r="CL35" t="s">
        <v>173</v>
      </c>
      <c r="CM35" t="s">
        <v>173</v>
      </c>
      <c r="CN35" t="s">
        <v>173</v>
      </c>
      <c r="CO35" t="s">
        <v>173</v>
      </c>
      <c r="CP35" t="s">
        <v>173</v>
      </c>
      <c r="CQ35" t="s">
        <v>173</v>
      </c>
      <c r="CR35" t="s">
        <v>173</v>
      </c>
      <c r="CS35" t="s">
        <v>173</v>
      </c>
      <c r="CT35" t="s">
        <v>173</v>
      </c>
      <c r="CU35" t="s">
        <v>173</v>
      </c>
      <c r="CV35" t="s">
        <v>173</v>
      </c>
      <c r="CW35" t="s">
        <v>173</v>
      </c>
      <c r="CX35" t="s">
        <v>173</v>
      </c>
      <c r="CY35" t="s">
        <v>173</v>
      </c>
      <c r="CZ35" t="s">
        <v>173</v>
      </c>
      <c r="DA35" t="s">
        <v>173</v>
      </c>
      <c r="DB35" t="s">
        <v>173</v>
      </c>
      <c r="DC35" t="s">
        <v>173</v>
      </c>
      <c r="DD35" t="s">
        <v>173</v>
      </c>
      <c r="DE35" t="s">
        <v>173</v>
      </c>
      <c r="DF35" t="s">
        <v>173</v>
      </c>
      <c r="DG35" t="s">
        <v>173</v>
      </c>
      <c r="DH35" t="s">
        <v>173</v>
      </c>
    </row>
    <row r="36" spans="1:112">
      <c r="A36">
        <v>30</v>
      </c>
      <c r="B36" t="s">
        <v>266</v>
      </c>
      <c r="C36" t="s">
        <v>267</v>
      </c>
      <c r="D36">
        <v>2025</v>
      </c>
      <c r="E36" t="s">
        <v>185</v>
      </c>
      <c r="F36" t="s">
        <v>268</v>
      </c>
      <c r="G36" t="s">
        <v>172</v>
      </c>
      <c r="H36" t="s">
        <v>173</v>
      </c>
      <c r="I36" t="s">
        <v>174</v>
      </c>
      <c r="J36" t="s">
        <v>173</v>
      </c>
      <c r="K36" t="s">
        <v>173</v>
      </c>
      <c r="L36" t="s">
        <v>173</v>
      </c>
      <c r="M36" t="s">
        <v>173</v>
      </c>
      <c r="N36" t="s">
        <v>173</v>
      </c>
      <c r="O36" t="s">
        <v>173</v>
      </c>
      <c r="P36" t="s">
        <v>173</v>
      </c>
      <c r="Q36" t="s">
        <v>173</v>
      </c>
      <c r="R36" t="s">
        <v>173</v>
      </c>
      <c r="S36" t="s">
        <v>173</v>
      </c>
      <c r="T36" t="s">
        <v>173</v>
      </c>
      <c r="U36" t="s">
        <v>173</v>
      </c>
      <c r="V36" t="s">
        <v>173</v>
      </c>
      <c r="W36" t="s">
        <v>173</v>
      </c>
      <c r="X36" t="s">
        <v>173</v>
      </c>
      <c r="Y36" t="s">
        <v>173</v>
      </c>
      <c r="Z36" t="s">
        <v>173</v>
      </c>
      <c r="AA36" t="s">
        <v>173</v>
      </c>
      <c r="AB36" t="s">
        <v>173</v>
      </c>
      <c r="AC36" t="s">
        <v>173</v>
      </c>
      <c r="AD36" t="s">
        <v>173</v>
      </c>
      <c r="AE36" t="s">
        <v>173</v>
      </c>
      <c r="AF36" t="s">
        <v>173</v>
      </c>
      <c r="AG36" t="s">
        <v>173</v>
      </c>
      <c r="AH36" t="s">
        <v>173</v>
      </c>
      <c r="AI36" t="s">
        <v>173</v>
      </c>
      <c r="AJ36" t="s">
        <v>173</v>
      </c>
      <c r="AK36" t="s">
        <v>173</v>
      </c>
      <c r="AL36" t="s">
        <v>173</v>
      </c>
      <c r="AM36" t="s">
        <v>173</v>
      </c>
      <c r="AN36" t="s">
        <v>173</v>
      </c>
      <c r="AO36" t="s">
        <v>173</v>
      </c>
      <c r="AP36" t="s">
        <v>173</v>
      </c>
      <c r="AQ36" t="s">
        <v>173</v>
      </c>
      <c r="AR36" t="s">
        <v>173</v>
      </c>
      <c r="AS36" t="s">
        <v>173</v>
      </c>
      <c r="AT36" t="s">
        <v>173</v>
      </c>
      <c r="AU36" t="s">
        <v>173</v>
      </c>
      <c r="AV36" t="s">
        <v>173</v>
      </c>
      <c r="AW36" t="s">
        <v>173</v>
      </c>
      <c r="AX36" t="s">
        <v>173</v>
      </c>
      <c r="AY36" t="s">
        <v>173</v>
      </c>
      <c r="AZ36" t="s">
        <v>173</v>
      </c>
      <c r="BA36" t="s">
        <v>173</v>
      </c>
      <c r="BB36" t="s">
        <v>173</v>
      </c>
      <c r="BC36" t="s">
        <v>173</v>
      </c>
      <c r="BD36" t="s">
        <v>173</v>
      </c>
      <c r="BE36" t="s">
        <v>173</v>
      </c>
      <c r="BF36" t="s">
        <v>173</v>
      </c>
      <c r="BG36" t="s">
        <v>173</v>
      </c>
      <c r="BH36" t="s">
        <v>173</v>
      </c>
      <c r="BI36" t="s">
        <v>173</v>
      </c>
      <c r="BJ36" t="s">
        <v>173</v>
      </c>
      <c r="BK36" t="s">
        <v>173</v>
      </c>
      <c r="BL36" t="s">
        <v>173</v>
      </c>
      <c r="BM36" t="s">
        <v>173</v>
      </c>
      <c r="BN36" t="s">
        <v>173</v>
      </c>
      <c r="BO36" t="s">
        <v>173</v>
      </c>
      <c r="BP36" t="s">
        <v>173</v>
      </c>
      <c r="BQ36" t="s">
        <v>173</v>
      </c>
      <c r="BR36" t="s">
        <v>173</v>
      </c>
      <c r="BS36" t="s">
        <v>173</v>
      </c>
      <c r="BT36" t="s">
        <v>173</v>
      </c>
      <c r="BU36" t="s">
        <v>173</v>
      </c>
      <c r="BV36" t="s">
        <v>173</v>
      </c>
      <c r="BX36" t="s">
        <v>173</v>
      </c>
      <c r="BY36" t="s">
        <v>173</v>
      </c>
      <c r="BZ36" t="s">
        <v>173</v>
      </c>
      <c r="CA36" t="s">
        <v>173</v>
      </c>
      <c r="CB36" t="s">
        <v>173</v>
      </c>
      <c r="CC36" t="s">
        <v>173</v>
      </c>
      <c r="CD36" t="s">
        <v>173</v>
      </c>
      <c r="CE36" t="s">
        <v>173</v>
      </c>
      <c r="CF36" t="s">
        <v>173</v>
      </c>
      <c r="CG36" t="s">
        <v>173</v>
      </c>
      <c r="CH36" t="s">
        <v>173</v>
      </c>
      <c r="CI36" t="s">
        <v>173</v>
      </c>
      <c r="CJ36" t="s">
        <v>173</v>
      </c>
      <c r="CK36" t="s">
        <v>173</v>
      </c>
      <c r="CL36" t="s">
        <v>173</v>
      </c>
      <c r="CM36" t="s">
        <v>173</v>
      </c>
      <c r="CN36" t="s">
        <v>173</v>
      </c>
      <c r="CO36" t="s">
        <v>173</v>
      </c>
      <c r="CP36" t="s">
        <v>173</v>
      </c>
      <c r="CQ36" t="s">
        <v>173</v>
      </c>
      <c r="CR36" t="s">
        <v>173</v>
      </c>
      <c r="CS36" t="s">
        <v>173</v>
      </c>
      <c r="CT36" t="s">
        <v>173</v>
      </c>
      <c r="CU36" t="s">
        <v>173</v>
      </c>
      <c r="CV36" t="s">
        <v>173</v>
      </c>
      <c r="CW36" t="s">
        <v>173</v>
      </c>
      <c r="CX36" t="s">
        <v>173</v>
      </c>
      <c r="CY36" t="s">
        <v>173</v>
      </c>
      <c r="CZ36" t="s">
        <v>173</v>
      </c>
      <c r="DA36" t="s">
        <v>173</v>
      </c>
      <c r="DB36" t="s">
        <v>173</v>
      </c>
      <c r="DC36" t="s">
        <v>173</v>
      </c>
      <c r="DD36" t="s">
        <v>173</v>
      </c>
      <c r="DE36" t="s">
        <v>173</v>
      </c>
      <c r="DF36" t="s">
        <v>173</v>
      </c>
      <c r="DG36" t="s">
        <v>173</v>
      </c>
      <c r="DH36" t="s">
        <v>173</v>
      </c>
    </row>
    <row r="37" spans="1:112">
      <c r="A37">
        <v>31</v>
      </c>
      <c r="B37" t="s">
        <v>269</v>
      </c>
      <c r="C37" t="s">
        <v>270</v>
      </c>
      <c r="D37">
        <v>2025</v>
      </c>
      <c r="E37" t="s">
        <v>216</v>
      </c>
      <c r="F37" t="s">
        <v>271</v>
      </c>
      <c r="G37" t="s">
        <v>172</v>
      </c>
      <c r="H37" t="s">
        <v>173</v>
      </c>
      <c r="I37" t="s">
        <v>174</v>
      </c>
      <c r="J37" t="s">
        <v>173</v>
      </c>
      <c r="K37" t="s">
        <v>173</v>
      </c>
      <c r="L37" t="s">
        <v>173</v>
      </c>
      <c r="M37" t="s">
        <v>173</v>
      </c>
      <c r="N37" t="s">
        <v>173</v>
      </c>
      <c r="O37" t="s">
        <v>173</v>
      </c>
      <c r="P37" t="s">
        <v>173</v>
      </c>
      <c r="Q37" t="s">
        <v>173</v>
      </c>
      <c r="R37" t="s">
        <v>173</v>
      </c>
      <c r="S37" t="s">
        <v>173</v>
      </c>
      <c r="T37" t="s">
        <v>173</v>
      </c>
      <c r="U37" t="s">
        <v>173</v>
      </c>
      <c r="V37" t="s">
        <v>173</v>
      </c>
      <c r="W37" t="s">
        <v>173</v>
      </c>
      <c r="X37" t="s">
        <v>173</v>
      </c>
      <c r="Y37" t="s">
        <v>173</v>
      </c>
      <c r="Z37" t="s">
        <v>173</v>
      </c>
      <c r="AA37" t="s">
        <v>173</v>
      </c>
      <c r="AB37" t="s">
        <v>173</v>
      </c>
      <c r="AC37" t="s">
        <v>173</v>
      </c>
      <c r="AD37" t="s">
        <v>173</v>
      </c>
      <c r="AE37" t="s">
        <v>173</v>
      </c>
      <c r="AF37" t="s">
        <v>173</v>
      </c>
      <c r="AG37" t="s">
        <v>173</v>
      </c>
      <c r="AH37" t="s">
        <v>173</v>
      </c>
      <c r="AI37" t="s">
        <v>173</v>
      </c>
      <c r="AJ37" t="s">
        <v>173</v>
      </c>
      <c r="AK37" t="s">
        <v>173</v>
      </c>
      <c r="AL37" t="s">
        <v>173</v>
      </c>
      <c r="AM37" t="s">
        <v>173</v>
      </c>
      <c r="AN37" t="s">
        <v>173</v>
      </c>
      <c r="AO37" t="s">
        <v>173</v>
      </c>
      <c r="AP37" t="s">
        <v>173</v>
      </c>
      <c r="AQ37" t="s">
        <v>173</v>
      </c>
      <c r="AR37" t="s">
        <v>173</v>
      </c>
      <c r="AS37" t="s">
        <v>173</v>
      </c>
      <c r="AT37" t="s">
        <v>173</v>
      </c>
      <c r="AU37" t="s">
        <v>173</v>
      </c>
      <c r="AV37" t="s">
        <v>173</v>
      </c>
      <c r="AW37" t="s">
        <v>173</v>
      </c>
      <c r="AX37" t="s">
        <v>173</v>
      </c>
      <c r="AY37" t="s">
        <v>173</v>
      </c>
      <c r="AZ37" t="s">
        <v>173</v>
      </c>
      <c r="BA37" t="s">
        <v>173</v>
      </c>
      <c r="BB37" t="s">
        <v>173</v>
      </c>
      <c r="BC37" t="s">
        <v>173</v>
      </c>
      <c r="BD37" t="s">
        <v>173</v>
      </c>
      <c r="BE37" t="s">
        <v>173</v>
      </c>
      <c r="BF37" t="s">
        <v>173</v>
      </c>
      <c r="BG37" t="s">
        <v>173</v>
      </c>
      <c r="BH37" t="s">
        <v>173</v>
      </c>
      <c r="BI37" t="s">
        <v>173</v>
      </c>
      <c r="BJ37" t="s">
        <v>173</v>
      </c>
      <c r="BK37" t="s">
        <v>173</v>
      </c>
      <c r="BL37" t="s">
        <v>173</v>
      </c>
      <c r="BM37" t="s">
        <v>173</v>
      </c>
      <c r="BN37" t="s">
        <v>173</v>
      </c>
      <c r="BO37" t="s">
        <v>173</v>
      </c>
      <c r="BP37" t="s">
        <v>173</v>
      </c>
      <c r="BQ37" t="s">
        <v>173</v>
      </c>
      <c r="BR37" t="s">
        <v>173</v>
      </c>
      <c r="BS37" t="s">
        <v>173</v>
      </c>
      <c r="BT37" t="s">
        <v>173</v>
      </c>
      <c r="BU37" t="s">
        <v>173</v>
      </c>
      <c r="BV37" t="s">
        <v>173</v>
      </c>
      <c r="BX37" t="s">
        <v>173</v>
      </c>
      <c r="BY37" t="s">
        <v>173</v>
      </c>
      <c r="BZ37" t="s">
        <v>173</v>
      </c>
      <c r="CA37" t="s">
        <v>173</v>
      </c>
      <c r="CB37" t="s">
        <v>173</v>
      </c>
      <c r="CC37" t="s">
        <v>173</v>
      </c>
      <c r="CD37" t="s">
        <v>173</v>
      </c>
      <c r="CE37" t="s">
        <v>173</v>
      </c>
      <c r="CF37" t="s">
        <v>173</v>
      </c>
      <c r="CG37" t="s">
        <v>173</v>
      </c>
      <c r="CH37" t="s">
        <v>173</v>
      </c>
      <c r="CI37" t="s">
        <v>173</v>
      </c>
      <c r="CJ37" t="s">
        <v>173</v>
      </c>
      <c r="CK37" t="s">
        <v>173</v>
      </c>
      <c r="CL37" t="s">
        <v>173</v>
      </c>
      <c r="CM37" t="s">
        <v>173</v>
      </c>
      <c r="CN37" t="s">
        <v>173</v>
      </c>
      <c r="CO37" t="s">
        <v>173</v>
      </c>
      <c r="CP37" t="s">
        <v>173</v>
      </c>
      <c r="CQ37" t="s">
        <v>173</v>
      </c>
      <c r="CR37" t="s">
        <v>173</v>
      </c>
      <c r="CS37" t="s">
        <v>173</v>
      </c>
      <c r="CT37" t="s">
        <v>173</v>
      </c>
      <c r="CU37" t="s">
        <v>173</v>
      </c>
      <c r="CV37" t="s">
        <v>173</v>
      </c>
      <c r="CW37" t="s">
        <v>173</v>
      </c>
      <c r="CX37" t="s">
        <v>173</v>
      </c>
      <c r="CY37" t="s">
        <v>173</v>
      </c>
      <c r="CZ37" t="s">
        <v>173</v>
      </c>
      <c r="DA37" t="s">
        <v>173</v>
      </c>
      <c r="DB37" t="s">
        <v>173</v>
      </c>
      <c r="DC37" t="s">
        <v>173</v>
      </c>
      <c r="DD37" t="s">
        <v>173</v>
      </c>
      <c r="DE37" t="s">
        <v>173</v>
      </c>
      <c r="DF37" t="s">
        <v>173</v>
      </c>
      <c r="DG37" t="s">
        <v>173</v>
      </c>
      <c r="DH37" t="s">
        <v>173</v>
      </c>
    </row>
    <row r="38" spans="1:112">
      <c r="A38">
        <v>32</v>
      </c>
      <c r="B38" t="s">
        <v>272</v>
      </c>
      <c r="C38" t="s">
        <v>273</v>
      </c>
      <c r="D38">
        <v>2025</v>
      </c>
      <c r="E38" t="s">
        <v>177</v>
      </c>
      <c r="F38" t="s">
        <v>274</v>
      </c>
      <c r="G38" t="s">
        <v>172</v>
      </c>
      <c r="H38" t="s">
        <v>173</v>
      </c>
      <c r="I38" t="s">
        <v>174</v>
      </c>
      <c r="J38" t="s">
        <v>173</v>
      </c>
      <c r="K38" t="s">
        <v>173</v>
      </c>
      <c r="L38" t="s">
        <v>173</v>
      </c>
      <c r="M38" t="s">
        <v>173</v>
      </c>
      <c r="N38" t="s">
        <v>173</v>
      </c>
      <c r="O38" t="s">
        <v>173</v>
      </c>
      <c r="P38" t="s">
        <v>173</v>
      </c>
      <c r="Q38" t="s">
        <v>173</v>
      </c>
      <c r="R38" t="s">
        <v>173</v>
      </c>
      <c r="S38" t="s">
        <v>173</v>
      </c>
      <c r="T38" t="s">
        <v>173</v>
      </c>
      <c r="U38" t="s">
        <v>173</v>
      </c>
      <c r="V38" t="s">
        <v>173</v>
      </c>
      <c r="W38" t="s">
        <v>173</v>
      </c>
      <c r="X38" t="s">
        <v>173</v>
      </c>
      <c r="Y38" t="s">
        <v>173</v>
      </c>
      <c r="Z38" t="s">
        <v>173</v>
      </c>
      <c r="AA38" t="s">
        <v>173</v>
      </c>
      <c r="AB38" t="s">
        <v>173</v>
      </c>
      <c r="AC38" t="s">
        <v>173</v>
      </c>
      <c r="AD38" t="s">
        <v>173</v>
      </c>
      <c r="AE38" t="s">
        <v>173</v>
      </c>
      <c r="AF38" t="s">
        <v>173</v>
      </c>
      <c r="AG38" t="s">
        <v>173</v>
      </c>
      <c r="AH38" t="s">
        <v>173</v>
      </c>
      <c r="AI38" t="s">
        <v>173</v>
      </c>
      <c r="AJ38" t="s">
        <v>173</v>
      </c>
      <c r="AK38" t="s">
        <v>173</v>
      </c>
      <c r="AL38" t="s">
        <v>173</v>
      </c>
      <c r="AM38" t="s">
        <v>173</v>
      </c>
      <c r="AN38" t="s">
        <v>173</v>
      </c>
      <c r="AO38" t="s">
        <v>173</v>
      </c>
      <c r="AP38" t="s">
        <v>173</v>
      </c>
      <c r="AQ38" t="s">
        <v>173</v>
      </c>
      <c r="AR38" t="s">
        <v>173</v>
      </c>
      <c r="AS38" t="s">
        <v>173</v>
      </c>
      <c r="AT38" t="s">
        <v>173</v>
      </c>
      <c r="AU38" t="s">
        <v>173</v>
      </c>
      <c r="AV38" t="s">
        <v>173</v>
      </c>
      <c r="AW38" t="s">
        <v>173</v>
      </c>
      <c r="AX38" t="s">
        <v>173</v>
      </c>
      <c r="AY38" t="s">
        <v>173</v>
      </c>
      <c r="AZ38" t="s">
        <v>173</v>
      </c>
      <c r="BA38" t="s">
        <v>173</v>
      </c>
      <c r="BB38" t="s">
        <v>173</v>
      </c>
      <c r="BC38" t="s">
        <v>173</v>
      </c>
      <c r="BD38" t="s">
        <v>173</v>
      </c>
      <c r="BE38" t="s">
        <v>173</v>
      </c>
      <c r="BF38" t="s">
        <v>173</v>
      </c>
      <c r="BG38" t="s">
        <v>173</v>
      </c>
      <c r="BH38" t="s">
        <v>173</v>
      </c>
      <c r="BI38" t="s">
        <v>173</v>
      </c>
      <c r="BJ38" t="s">
        <v>173</v>
      </c>
      <c r="BK38" t="s">
        <v>173</v>
      </c>
      <c r="BL38" t="s">
        <v>173</v>
      </c>
      <c r="BM38" t="s">
        <v>173</v>
      </c>
      <c r="BN38" t="s">
        <v>173</v>
      </c>
      <c r="BO38" t="s">
        <v>173</v>
      </c>
      <c r="BP38" t="s">
        <v>173</v>
      </c>
      <c r="BQ38" t="s">
        <v>173</v>
      </c>
      <c r="BR38" t="s">
        <v>173</v>
      </c>
      <c r="BS38" t="s">
        <v>173</v>
      </c>
      <c r="BT38" t="s">
        <v>173</v>
      </c>
      <c r="BU38" t="s">
        <v>173</v>
      </c>
      <c r="BV38" t="s">
        <v>173</v>
      </c>
      <c r="BX38" t="s">
        <v>173</v>
      </c>
      <c r="BY38" t="s">
        <v>173</v>
      </c>
      <c r="BZ38" t="s">
        <v>173</v>
      </c>
      <c r="CA38" t="s">
        <v>173</v>
      </c>
      <c r="CB38" t="s">
        <v>173</v>
      </c>
      <c r="CC38" t="s">
        <v>173</v>
      </c>
      <c r="CD38" t="s">
        <v>173</v>
      </c>
      <c r="CE38" t="s">
        <v>173</v>
      </c>
      <c r="CF38" t="s">
        <v>173</v>
      </c>
      <c r="CG38" t="s">
        <v>173</v>
      </c>
      <c r="CH38" t="s">
        <v>173</v>
      </c>
      <c r="CI38" t="s">
        <v>173</v>
      </c>
      <c r="CJ38" t="s">
        <v>173</v>
      </c>
      <c r="CK38" t="s">
        <v>173</v>
      </c>
      <c r="CL38" t="s">
        <v>173</v>
      </c>
      <c r="CM38" t="s">
        <v>173</v>
      </c>
      <c r="CN38" t="s">
        <v>173</v>
      </c>
      <c r="CO38" t="s">
        <v>173</v>
      </c>
      <c r="CP38" t="s">
        <v>173</v>
      </c>
      <c r="CQ38" t="s">
        <v>173</v>
      </c>
      <c r="CR38" t="s">
        <v>173</v>
      </c>
      <c r="CS38" t="s">
        <v>173</v>
      </c>
      <c r="CT38" t="s">
        <v>173</v>
      </c>
      <c r="CU38" t="s">
        <v>173</v>
      </c>
      <c r="CV38" t="s">
        <v>173</v>
      </c>
      <c r="CW38" t="s">
        <v>173</v>
      </c>
      <c r="CX38" t="s">
        <v>173</v>
      </c>
      <c r="CY38" t="s">
        <v>173</v>
      </c>
      <c r="CZ38" t="s">
        <v>173</v>
      </c>
      <c r="DA38" t="s">
        <v>173</v>
      </c>
      <c r="DB38" t="s">
        <v>173</v>
      </c>
      <c r="DC38" t="s">
        <v>173</v>
      </c>
      <c r="DD38" t="s">
        <v>173</v>
      </c>
      <c r="DE38" t="s">
        <v>173</v>
      </c>
      <c r="DF38" t="s">
        <v>173</v>
      </c>
      <c r="DG38" t="s">
        <v>173</v>
      </c>
      <c r="DH38" t="s">
        <v>173</v>
      </c>
    </row>
    <row r="39" spans="1:112">
      <c r="A39">
        <v>35</v>
      </c>
      <c r="B39" t="s">
        <v>275</v>
      </c>
      <c r="C39" t="s">
        <v>276</v>
      </c>
      <c r="D39">
        <v>2025</v>
      </c>
      <c r="E39" t="s">
        <v>277</v>
      </c>
      <c r="F39" t="s">
        <v>278</v>
      </c>
      <c r="G39" t="s">
        <v>172</v>
      </c>
      <c r="H39" t="s">
        <v>173</v>
      </c>
      <c r="I39" t="s">
        <v>174</v>
      </c>
      <c r="J39" t="s">
        <v>173</v>
      </c>
      <c r="K39" t="s">
        <v>173</v>
      </c>
      <c r="L39" t="s">
        <v>173</v>
      </c>
      <c r="M39" t="s">
        <v>173</v>
      </c>
      <c r="N39" t="s">
        <v>173</v>
      </c>
      <c r="O39" t="s">
        <v>173</v>
      </c>
      <c r="P39" t="s">
        <v>173</v>
      </c>
      <c r="Q39" t="s">
        <v>173</v>
      </c>
      <c r="R39" t="s">
        <v>173</v>
      </c>
      <c r="S39" t="s">
        <v>173</v>
      </c>
      <c r="T39" t="s">
        <v>173</v>
      </c>
      <c r="U39" t="s">
        <v>173</v>
      </c>
      <c r="V39" t="s">
        <v>173</v>
      </c>
      <c r="W39" t="s">
        <v>173</v>
      </c>
      <c r="X39" t="s">
        <v>173</v>
      </c>
      <c r="Y39" t="s">
        <v>173</v>
      </c>
      <c r="Z39" t="s">
        <v>173</v>
      </c>
      <c r="AA39" t="s">
        <v>173</v>
      </c>
      <c r="AB39" t="s">
        <v>173</v>
      </c>
      <c r="AC39" t="s">
        <v>173</v>
      </c>
      <c r="AD39" t="s">
        <v>173</v>
      </c>
      <c r="AE39" t="s">
        <v>173</v>
      </c>
      <c r="AF39" t="s">
        <v>173</v>
      </c>
      <c r="AG39" t="s">
        <v>173</v>
      </c>
      <c r="AH39" t="s">
        <v>173</v>
      </c>
      <c r="AI39" t="s">
        <v>173</v>
      </c>
      <c r="AJ39" t="s">
        <v>173</v>
      </c>
      <c r="AK39" t="s">
        <v>173</v>
      </c>
      <c r="AL39" t="s">
        <v>173</v>
      </c>
      <c r="AM39" t="s">
        <v>173</v>
      </c>
      <c r="AN39" t="s">
        <v>173</v>
      </c>
      <c r="AO39" t="s">
        <v>173</v>
      </c>
      <c r="AP39" t="s">
        <v>173</v>
      </c>
      <c r="AQ39" t="s">
        <v>173</v>
      </c>
      <c r="AR39" t="s">
        <v>173</v>
      </c>
      <c r="AS39" t="s">
        <v>173</v>
      </c>
      <c r="AT39" t="s">
        <v>173</v>
      </c>
      <c r="AU39" t="s">
        <v>173</v>
      </c>
      <c r="AV39" t="s">
        <v>173</v>
      </c>
      <c r="AW39" t="s">
        <v>173</v>
      </c>
      <c r="AX39" t="s">
        <v>173</v>
      </c>
      <c r="AY39" t="s">
        <v>173</v>
      </c>
      <c r="AZ39" t="s">
        <v>173</v>
      </c>
      <c r="BA39" t="s">
        <v>173</v>
      </c>
      <c r="BB39" t="s">
        <v>173</v>
      </c>
      <c r="BC39" t="s">
        <v>173</v>
      </c>
      <c r="BD39" t="s">
        <v>173</v>
      </c>
      <c r="BE39" t="s">
        <v>173</v>
      </c>
      <c r="BF39" t="s">
        <v>173</v>
      </c>
      <c r="BG39" t="s">
        <v>173</v>
      </c>
      <c r="BH39" t="s">
        <v>173</v>
      </c>
      <c r="BI39" t="s">
        <v>173</v>
      </c>
      <c r="BJ39" t="s">
        <v>173</v>
      </c>
      <c r="BK39" t="s">
        <v>173</v>
      </c>
      <c r="BL39" t="s">
        <v>173</v>
      </c>
      <c r="BM39" t="s">
        <v>173</v>
      </c>
      <c r="BN39" t="s">
        <v>173</v>
      </c>
      <c r="BO39" t="s">
        <v>173</v>
      </c>
      <c r="BP39" t="s">
        <v>173</v>
      </c>
      <c r="BQ39" t="s">
        <v>173</v>
      </c>
      <c r="BR39" t="s">
        <v>173</v>
      </c>
      <c r="BS39" t="s">
        <v>173</v>
      </c>
      <c r="BT39" t="s">
        <v>173</v>
      </c>
      <c r="BU39" t="s">
        <v>173</v>
      </c>
      <c r="BV39" t="s">
        <v>173</v>
      </c>
      <c r="BX39" t="s">
        <v>173</v>
      </c>
      <c r="BY39" t="s">
        <v>173</v>
      </c>
      <c r="BZ39" t="s">
        <v>173</v>
      </c>
      <c r="CA39" t="s">
        <v>173</v>
      </c>
      <c r="CB39" t="s">
        <v>173</v>
      </c>
      <c r="CC39" t="s">
        <v>173</v>
      </c>
      <c r="CD39" t="s">
        <v>173</v>
      </c>
      <c r="CE39" t="s">
        <v>173</v>
      </c>
      <c r="CF39" t="s">
        <v>173</v>
      </c>
      <c r="CG39" t="s">
        <v>173</v>
      </c>
      <c r="CH39" t="s">
        <v>173</v>
      </c>
      <c r="CI39" t="s">
        <v>173</v>
      </c>
      <c r="CJ39" t="s">
        <v>173</v>
      </c>
      <c r="CK39" t="s">
        <v>173</v>
      </c>
      <c r="CL39" t="s">
        <v>173</v>
      </c>
      <c r="CM39" t="s">
        <v>173</v>
      </c>
      <c r="CN39" t="s">
        <v>173</v>
      </c>
      <c r="CO39" t="s">
        <v>173</v>
      </c>
      <c r="CP39" t="s">
        <v>173</v>
      </c>
      <c r="CQ39" t="s">
        <v>173</v>
      </c>
      <c r="CR39" t="s">
        <v>173</v>
      </c>
      <c r="CS39" t="s">
        <v>173</v>
      </c>
      <c r="CT39" t="s">
        <v>173</v>
      </c>
      <c r="CU39" t="s">
        <v>173</v>
      </c>
      <c r="CV39" t="s">
        <v>173</v>
      </c>
      <c r="CW39" t="s">
        <v>173</v>
      </c>
      <c r="CX39" t="s">
        <v>173</v>
      </c>
      <c r="CY39" t="s">
        <v>173</v>
      </c>
      <c r="CZ39" t="s">
        <v>173</v>
      </c>
      <c r="DA39" t="s">
        <v>173</v>
      </c>
      <c r="DB39" t="s">
        <v>173</v>
      </c>
      <c r="DC39" t="s">
        <v>173</v>
      </c>
      <c r="DD39" t="s">
        <v>173</v>
      </c>
      <c r="DE39" t="s">
        <v>173</v>
      </c>
      <c r="DF39" t="s">
        <v>173</v>
      </c>
      <c r="DG39" t="s">
        <v>173</v>
      </c>
      <c r="DH39" t="s">
        <v>173</v>
      </c>
    </row>
    <row r="40" spans="1:112">
      <c r="A40">
        <v>36</v>
      </c>
      <c r="B40" t="s">
        <v>279</v>
      </c>
      <c r="C40" t="s">
        <v>280</v>
      </c>
      <c r="D40">
        <v>2025</v>
      </c>
      <c r="E40" t="s">
        <v>238</v>
      </c>
      <c r="F40" t="s">
        <v>281</v>
      </c>
      <c r="G40" t="s">
        <v>172</v>
      </c>
      <c r="H40" t="s">
        <v>173</v>
      </c>
      <c r="I40" t="s">
        <v>174</v>
      </c>
      <c r="J40" t="s">
        <v>173</v>
      </c>
      <c r="K40" t="s">
        <v>173</v>
      </c>
      <c r="L40" t="s">
        <v>173</v>
      </c>
      <c r="M40" t="s">
        <v>173</v>
      </c>
      <c r="N40" t="s">
        <v>173</v>
      </c>
      <c r="O40" t="s">
        <v>173</v>
      </c>
      <c r="P40" t="s">
        <v>173</v>
      </c>
      <c r="Q40" t="s">
        <v>173</v>
      </c>
      <c r="R40" t="s">
        <v>173</v>
      </c>
      <c r="S40" t="s">
        <v>173</v>
      </c>
      <c r="T40" t="s">
        <v>173</v>
      </c>
      <c r="U40" t="s">
        <v>173</v>
      </c>
      <c r="V40" t="s">
        <v>173</v>
      </c>
      <c r="W40" t="s">
        <v>173</v>
      </c>
      <c r="X40" t="s">
        <v>173</v>
      </c>
      <c r="Y40" t="s">
        <v>173</v>
      </c>
      <c r="Z40" t="s">
        <v>173</v>
      </c>
      <c r="AA40" t="s">
        <v>173</v>
      </c>
      <c r="AB40" t="s">
        <v>173</v>
      </c>
      <c r="AC40" t="s">
        <v>173</v>
      </c>
      <c r="AD40" t="s">
        <v>173</v>
      </c>
      <c r="AE40" t="s">
        <v>173</v>
      </c>
      <c r="AF40" t="s">
        <v>173</v>
      </c>
      <c r="AG40" t="s">
        <v>173</v>
      </c>
      <c r="AH40" t="s">
        <v>173</v>
      </c>
      <c r="AI40" t="s">
        <v>173</v>
      </c>
      <c r="AJ40" t="s">
        <v>173</v>
      </c>
      <c r="AK40" t="s">
        <v>173</v>
      </c>
      <c r="AL40" t="s">
        <v>173</v>
      </c>
      <c r="AM40" t="s">
        <v>173</v>
      </c>
      <c r="AN40" t="s">
        <v>173</v>
      </c>
      <c r="AO40" t="s">
        <v>173</v>
      </c>
      <c r="AP40" t="s">
        <v>173</v>
      </c>
      <c r="AQ40" t="s">
        <v>173</v>
      </c>
      <c r="AR40" t="s">
        <v>173</v>
      </c>
      <c r="AS40" t="s">
        <v>173</v>
      </c>
      <c r="AT40" t="s">
        <v>173</v>
      </c>
      <c r="AU40" t="s">
        <v>173</v>
      </c>
      <c r="AV40" t="s">
        <v>173</v>
      </c>
      <c r="AW40" t="s">
        <v>173</v>
      </c>
      <c r="AX40" t="s">
        <v>173</v>
      </c>
      <c r="AY40" t="s">
        <v>173</v>
      </c>
      <c r="AZ40" t="s">
        <v>173</v>
      </c>
      <c r="BA40" t="s">
        <v>173</v>
      </c>
      <c r="BB40" t="s">
        <v>173</v>
      </c>
      <c r="BC40" t="s">
        <v>173</v>
      </c>
      <c r="BD40" t="s">
        <v>173</v>
      </c>
      <c r="BE40" t="s">
        <v>173</v>
      </c>
      <c r="BF40" t="s">
        <v>173</v>
      </c>
      <c r="BG40" t="s">
        <v>173</v>
      </c>
      <c r="BH40" t="s">
        <v>173</v>
      </c>
      <c r="BI40" t="s">
        <v>173</v>
      </c>
      <c r="BJ40" t="s">
        <v>173</v>
      </c>
      <c r="BK40" t="s">
        <v>173</v>
      </c>
      <c r="BL40" t="s">
        <v>173</v>
      </c>
      <c r="BM40" t="s">
        <v>173</v>
      </c>
      <c r="BN40" t="s">
        <v>173</v>
      </c>
      <c r="BO40" t="s">
        <v>173</v>
      </c>
      <c r="BP40" t="s">
        <v>173</v>
      </c>
      <c r="BQ40" t="s">
        <v>173</v>
      </c>
      <c r="BR40" t="s">
        <v>173</v>
      </c>
      <c r="BS40" t="s">
        <v>173</v>
      </c>
      <c r="BT40" t="s">
        <v>173</v>
      </c>
      <c r="BU40" t="s">
        <v>173</v>
      </c>
      <c r="BV40" t="s">
        <v>173</v>
      </c>
      <c r="BX40" t="s">
        <v>173</v>
      </c>
      <c r="BY40" t="s">
        <v>173</v>
      </c>
      <c r="BZ40" t="s">
        <v>173</v>
      </c>
      <c r="CA40" t="s">
        <v>173</v>
      </c>
      <c r="CB40" t="s">
        <v>173</v>
      </c>
      <c r="CC40" t="s">
        <v>173</v>
      </c>
      <c r="CD40" t="s">
        <v>173</v>
      </c>
      <c r="CE40" t="s">
        <v>173</v>
      </c>
      <c r="CF40" t="s">
        <v>173</v>
      </c>
      <c r="CG40" t="s">
        <v>173</v>
      </c>
      <c r="CH40" t="s">
        <v>173</v>
      </c>
      <c r="CI40" t="s">
        <v>173</v>
      </c>
      <c r="CJ40" t="s">
        <v>173</v>
      </c>
      <c r="CK40" t="s">
        <v>173</v>
      </c>
      <c r="CL40" t="s">
        <v>173</v>
      </c>
      <c r="CM40" t="s">
        <v>173</v>
      </c>
      <c r="CN40" t="s">
        <v>173</v>
      </c>
      <c r="CO40" t="s">
        <v>173</v>
      </c>
      <c r="CP40" t="s">
        <v>173</v>
      </c>
      <c r="CQ40" t="s">
        <v>173</v>
      </c>
      <c r="CR40" t="s">
        <v>173</v>
      </c>
      <c r="CS40" t="s">
        <v>173</v>
      </c>
      <c r="CT40" t="s">
        <v>173</v>
      </c>
      <c r="CU40" t="s">
        <v>173</v>
      </c>
      <c r="CV40" t="s">
        <v>173</v>
      </c>
      <c r="CW40" t="s">
        <v>173</v>
      </c>
      <c r="CX40" t="s">
        <v>173</v>
      </c>
      <c r="CY40" t="s">
        <v>173</v>
      </c>
      <c r="CZ40" t="s">
        <v>173</v>
      </c>
      <c r="DA40" t="s">
        <v>173</v>
      </c>
      <c r="DB40" t="s">
        <v>173</v>
      </c>
      <c r="DC40" t="s">
        <v>173</v>
      </c>
      <c r="DD40" t="s">
        <v>173</v>
      </c>
      <c r="DE40" t="s">
        <v>173</v>
      </c>
      <c r="DF40" t="s">
        <v>173</v>
      </c>
      <c r="DG40" t="s">
        <v>173</v>
      </c>
      <c r="DH40" t="s">
        <v>173</v>
      </c>
    </row>
    <row r="41" spans="1:112">
      <c r="A41">
        <v>37</v>
      </c>
      <c r="B41" t="s">
        <v>282</v>
      </c>
      <c r="C41" t="s">
        <v>283</v>
      </c>
      <c r="D41">
        <v>2025</v>
      </c>
      <c r="E41" t="s">
        <v>242</v>
      </c>
      <c r="F41" t="s">
        <v>284</v>
      </c>
      <c r="G41" t="s">
        <v>172</v>
      </c>
      <c r="H41" t="s">
        <v>173</v>
      </c>
      <c r="I41" t="s">
        <v>174</v>
      </c>
      <c r="J41" t="s">
        <v>173</v>
      </c>
      <c r="K41" t="s">
        <v>173</v>
      </c>
      <c r="L41" t="s">
        <v>173</v>
      </c>
      <c r="M41" t="s">
        <v>173</v>
      </c>
      <c r="N41" t="s">
        <v>173</v>
      </c>
      <c r="O41" t="s">
        <v>173</v>
      </c>
      <c r="P41" t="s">
        <v>173</v>
      </c>
      <c r="Q41" t="s">
        <v>173</v>
      </c>
      <c r="R41" t="s">
        <v>173</v>
      </c>
      <c r="S41" t="s">
        <v>173</v>
      </c>
      <c r="T41" t="s">
        <v>173</v>
      </c>
      <c r="U41" t="s">
        <v>173</v>
      </c>
      <c r="V41" t="s">
        <v>173</v>
      </c>
      <c r="W41" t="s">
        <v>173</v>
      </c>
      <c r="X41" t="s">
        <v>173</v>
      </c>
      <c r="Y41" t="s">
        <v>173</v>
      </c>
      <c r="Z41" t="s">
        <v>173</v>
      </c>
      <c r="AA41" t="s">
        <v>173</v>
      </c>
      <c r="AB41" t="s">
        <v>173</v>
      </c>
      <c r="AC41" t="s">
        <v>173</v>
      </c>
      <c r="AD41" t="s">
        <v>173</v>
      </c>
      <c r="AE41" t="s">
        <v>173</v>
      </c>
      <c r="AF41" t="s">
        <v>173</v>
      </c>
      <c r="AG41" t="s">
        <v>173</v>
      </c>
      <c r="AH41" t="s">
        <v>173</v>
      </c>
      <c r="AI41" t="s">
        <v>173</v>
      </c>
      <c r="AJ41" t="s">
        <v>173</v>
      </c>
      <c r="AK41" t="s">
        <v>173</v>
      </c>
      <c r="AL41" t="s">
        <v>173</v>
      </c>
      <c r="AM41" t="s">
        <v>173</v>
      </c>
      <c r="AN41" t="s">
        <v>173</v>
      </c>
      <c r="AO41" t="s">
        <v>173</v>
      </c>
      <c r="AP41" t="s">
        <v>173</v>
      </c>
      <c r="AQ41" t="s">
        <v>173</v>
      </c>
      <c r="AR41" t="s">
        <v>173</v>
      </c>
      <c r="AS41" t="s">
        <v>173</v>
      </c>
      <c r="AT41" t="s">
        <v>173</v>
      </c>
      <c r="AU41" t="s">
        <v>173</v>
      </c>
      <c r="AV41" t="s">
        <v>173</v>
      </c>
      <c r="AW41" t="s">
        <v>173</v>
      </c>
      <c r="AX41" t="s">
        <v>173</v>
      </c>
      <c r="AY41" t="s">
        <v>173</v>
      </c>
      <c r="AZ41" t="s">
        <v>173</v>
      </c>
      <c r="BA41" t="s">
        <v>173</v>
      </c>
      <c r="BB41" t="s">
        <v>173</v>
      </c>
      <c r="BC41" t="s">
        <v>173</v>
      </c>
      <c r="BD41" t="s">
        <v>173</v>
      </c>
      <c r="BE41" t="s">
        <v>173</v>
      </c>
      <c r="BF41" t="s">
        <v>173</v>
      </c>
      <c r="BG41" t="s">
        <v>173</v>
      </c>
      <c r="BH41" t="s">
        <v>173</v>
      </c>
      <c r="BI41" t="s">
        <v>173</v>
      </c>
      <c r="BJ41" t="s">
        <v>173</v>
      </c>
      <c r="BK41" t="s">
        <v>173</v>
      </c>
      <c r="BL41" t="s">
        <v>173</v>
      </c>
      <c r="BM41" t="s">
        <v>173</v>
      </c>
      <c r="BN41" t="s">
        <v>173</v>
      </c>
      <c r="BO41" t="s">
        <v>173</v>
      </c>
      <c r="BP41" t="s">
        <v>173</v>
      </c>
      <c r="BQ41" t="s">
        <v>173</v>
      </c>
      <c r="BR41" t="s">
        <v>173</v>
      </c>
      <c r="BS41" t="s">
        <v>173</v>
      </c>
      <c r="BT41" t="s">
        <v>173</v>
      </c>
      <c r="BU41" t="s">
        <v>173</v>
      </c>
      <c r="BV41" t="s">
        <v>173</v>
      </c>
      <c r="BX41" t="s">
        <v>173</v>
      </c>
      <c r="BY41" t="s">
        <v>173</v>
      </c>
      <c r="BZ41" t="s">
        <v>173</v>
      </c>
      <c r="CA41" t="s">
        <v>173</v>
      </c>
      <c r="CB41" t="s">
        <v>173</v>
      </c>
      <c r="CC41" t="s">
        <v>173</v>
      </c>
      <c r="CD41" t="s">
        <v>173</v>
      </c>
      <c r="CE41" t="s">
        <v>173</v>
      </c>
      <c r="CF41" t="s">
        <v>173</v>
      </c>
      <c r="CG41" t="s">
        <v>173</v>
      </c>
      <c r="CH41" t="s">
        <v>173</v>
      </c>
      <c r="CI41" t="s">
        <v>173</v>
      </c>
      <c r="CJ41" t="s">
        <v>173</v>
      </c>
      <c r="CK41" t="s">
        <v>173</v>
      </c>
      <c r="CL41" t="s">
        <v>173</v>
      </c>
      <c r="CM41" t="s">
        <v>173</v>
      </c>
      <c r="CN41" t="s">
        <v>173</v>
      </c>
      <c r="CO41" t="s">
        <v>173</v>
      </c>
      <c r="CP41" t="s">
        <v>173</v>
      </c>
      <c r="CQ41" t="s">
        <v>173</v>
      </c>
      <c r="CR41" t="s">
        <v>173</v>
      </c>
      <c r="CS41" t="s">
        <v>173</v>
      </c>
      <c r="CT41" t="s">
        <v>173</v>
      </c>
      <c r="CU41" t="s">
        <v>173</v>
      </c>
      <c r="CV41" t="s">
        <v>173</v>
      </c>
      <c r="CW41" t="s">
        <v>173</v>
      </c>
      <c r="CX41" t="s">
        <v>173</v>
      </c>
      <c r="CY41" t="s">
        <v>173</v>
      </c>
      <c r="CZ41" t="s">
        <v>173</v>
      </c>
      <c r="DA41" t="s">
        <v>173</v>
      </c>
      <c r="DB41" t="s">
        <v>173</v>
      </c>
      <c r="DC41" t="s">
        <v>173</v>
      </c>
      <c r="DD41" t="s">
        <v>173</v>
      </c>
      <c r="DE41" t="s">
        <v>173</v>
      </c>
      <c r="DF41" t="s">
        <v>173</v>
      </c>
      <c r="DG41" t="s">
        <v>173</v>
      </c>
      <c r="DH41" t="s">
        <v>173</v>
      </c>
    </row>
    <row r="42" spans="1:112">
      <c r="A42">
        <v>38</v>
      </c>
      <c r="B42" t="s">
        <v>285</v>
      </c>
      <c r="C42" t="s">
        <v>286</v>
      </c>
      <c r="D42">
        <v>2025</v>
      </c>
      <c r="E42" t="s">
        <v>287</v>
      </c>
      <c r="F42" t="s">
        <v>288</v>
      </c>
      <c r="G42" t="s">
        <v>172</v>
      </c>
      <c r="H42" t="s">
        <v>173</v>
      </c>
      <c r="I42" t="s">
        <v>174</v>
      </c>
      <c r="J42" t="s">
        <v>173</v>
      </c>
      <c r="K42" t="s">
        <v>173</v>
      </c>
      <c r="L42" t="s">
        <v>173</v>
      </c>
      <c r="M42" t="s">
        <v>173</v>
      </c>
      <c r="N42" t="s">
        <v>173</v>
      </c>
      <c r="O42" t="s">
        <v>173</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173</v>
      </c>
      <c r="AH42" t="s">
        <v>173</v>
      </c>
      <c r="AI42" t="s">
        <v>173</v>
      </c>
      <c r="AJ42" t="s">
        <v>173</v>
      </c>
      <c r="AK42" t="s">
        <v>173</v>
      </c>
      <c r="AL42" t="s">
        <v>173</v>
      </c>
      <c r="AM42" t="s">
        <v>173</v>
      </c>
      <c r="AN42" t="s">
        <v>173</v>
      </c>
      <c r="AO42" t="s">
        <v>173</v>
      </c>
      <c r="AP42" t="s">
        <v>173</v>
      </c>
      <c r="AQ42" t="s">
        <v>173</v>
      </c>
      <c r="AR42" t="s">
        <v>173</v>
      </c>
      <c r="AS42" t="s">
        <v>173</v>
      </c>
      <c r="AT42" t="s">
        <v>173</v>
      </c>
      <c r="AU42" t="s">
        <v>173</v>
      </c>
      <c r="AV42" t="s">
        <v>173</v>
      </c>
      <c r="AW42" t="s">
        <v>173</v>
      </c>
      <c r="AX42" t="s">
        <v>173</v>
      </c>
      <c r="AY42" t="s">
        <v>173</v>
      </c>
      <c r="AZ42" t="s">
        <v>173</v>
      </c>
      <c r="BA42" t="s">
        <v>173</v>
      </c>
      <c r="BB42" t="s">
        <v>173</v>
      </c>
      <c r="BC42" t="s">
        <v>173</v>
      </c>
      <c r="BD42" t="s">
        <v>173</v>
      </c>
      <c r="BE42" t="s">
        <v>173</v>
      </c>
      <c r="BF42" t="s">
        <v>173</v>
      </c>
      <c r="BG42" t="s">
        <v>173</v>
      </c>
      <c r="BH42" t="s">
        <v>173</v>
      </c>
      <c r="BI42" t="s">
        <v>173</v>
      </c>
      <c r="BJ42" t="s">
        <v>173</v>
      </c>
      <c r="BK42" t="s">
        <v>173</v>
      </c>
      <c r="BL42" t="s">
        <v>173</v>
      </c>
      <c r="BM42" t="s">
        <v>173</v>
      </c>
      <c r="BN42" t="s">
        <v>173</v>
      </c>
      <c r="BO42" t="s">
        <v>173</v>
      </c>
      <c r="BP42" t="s">
        <v>173</v>
      </c>
      <c r="BQ42" t="s">
        <v>173</v>
      </c>
      <c r="BR42" t="s">
        <v>173</v>
      </c>
      <c r="BS42" t="s">
        <v>173</v>
      </c>
      <c r="BT42" t="s">
        <v>173</v>
      </c>
      <c r="BU42" t="s">
        <v>173</v>
      </c>
      <c r="BV42" t="s">
        <v>173</v>
      </c>
      <c r="BX42" t="s">
        <v>173</v>
      </c>
      <c r="BY42" t="s">
        <v>173</v>
      </c>
      <c r="BZ42" t="s">
        <v>173</v>
      </c>
      <c r="CA42" t="s">
        <v>173</v>
      </c>
      <c r="CB42" t="s">
        <v>173</v>
      </c>
      <c r="CC42" t="s">
        <v>173</v>
      </c>
      <c r="CD42" t="s">
        <v>173</v>
      </c>
      <c r="CE42" t="s">
        <v>173</v>
      </c>
      <c r="CF42" t="s">
        <v>173</v>
      </c>
      <c r="CG42" t="s">
        <v>173</v>
      </c>
      <c r="CH42" t="s">
        <v>173</v>
      </c>
      <c r="CI42" t="s">
        <v>173</v>
      </c>
      <c r="CJ42" t="s">
        <v>173</v>
      </c>
      <c r="CK42" t="s">
        <v>173</v>
      </c>
      <c r="CL42" t="s">
        <v>173</v>
      </c>
      <c r="CM42" t="s">
        <v>173</v>
      </c>
      <c r="CN42" t="s">
        <v>173</v>
      </c>
      <c r="CO42" t="s">
        <v>173</v>
      </c>
      <c r="CP42" t="s">
        <v>173</v>
      </c>
      <c r="CQ42" t="s">
        <v>173</v>
      </c>
      <c r="CR42" t="s">
        <v>173</v>
      </c>
      <c r="CS42" t="s">
        <v>173</v>
      </c>
      <c r="CT42" t="s">
        <v>173</v>
      </c>
      <c r="CU42" t="s">
        <v>173</v>
      </c>
      <c r="CV42" t="s">
        <v>173</v>
      </c>
      <c r="CW42" t="s">
        <v>173</v>
      </c>
      <c r="CX42" t="s">
        <v>173</v>
      </c>
      <c r="CY42" t="s">
        <v>173</v>
      </c>
      <c r="CZ42" t="s">
        <v>173</v>
      </c>
      <c r="DA42" t="s">
        <v>173</v>
      </c>
      <c r="DB42" t="s">
        <v>173</v>
      </c>
      <c r="DC42" t="s">
        <v>173</v>
      </c>
      <c r="DD42" t="s">
        <v>173</v>
      </c>
      <c r="DE42" t="s">
        <v>173</v>
      </c>
      <c r="DF42" t="s">
        <v>173</v>
      </c>
      <c r="DG42" t="s">
        <v>173</v>
      </c>
      <c r="DH42" t="s">
        <v>173</v>
      </c>
    </row>
    <row r="43" spans="1:112">
      <c r="A43">
        <v>40</v>
      </c>
      <c r="B43" t="s">
        <v>289</v>
      </c>
      <c r="C43" t="s">
        <v>290</v>
      </c>
      <c r="D43">
        <v>2025</v>
      </c>
      <c r="E43" t="s">
        <v>291</v>
      </c>
      <c r="F43" t="s">
        <v>292</v>
      </c>
      <c r="G43" t="s">
        <v>172</v>
      </c>
      <c r="H43" t="s">
        <v>173</v>
      </c>
      <c r="I43" t="s">
        <v>197</v>
      </c>
      <c r="J43" t="s">
        <v>173</v>
      </c>
      <c r="K43" t="s">
        <v>173</v>
      </c>
      <c r="L43" t="s">
        <v>173</v>
      </c>
      <c r="M43" t="s">
        <v>173</v>
      </c>
      <c r="N43" t="s">
        <v>173</v>
      </c>
      <c r="O43" t="s">
        <v>173</v>
      </c>
      <c r="P43" t="s">
        <v>173</v>
      </c>
      <c r="Q43" t="s">
        <v>173</v>
      </c>
      <c r="R43" t="s">
        <v>173</v>
      </c>
      <c r="S43" t="s">
        <v>173</v>
      </c>
      <c r="T43" t="s">
        <v>173</v>
      </c>
      <c r="U43" t="s">
        <v>173</v>
      </c>
      <c r="V43" t="s">
        <v>173</v>
      </c>
      <c r="W43" t="s">
        <v>173</v>
      </c>
      <c r="X43" t="s">
        <v>173</v>
      </c>
      <c r="Y43" t="s">
        <v>173</v>
      </c>
      <c r="Z43" t="s">
        <v>173</v>
      </c>
      <c r="AA43" t="s">
        <v>173</v>
      </c>
      <c r="AB43" t="s">
        <v>173</v>
      </c>
      <c r="AC43" t="s">
        <v>173</v>
      </c>
      <c r="AD43" t="s">
        <v>173</v>
      </c>
      <c r="AE43" t="s">
        <v>173</v>
      </c>
      <c r="AF43" t="s">
        <v>173</v>
      </c>
      <c r="AG43" t="s">
        <v>173</v>
      </c>
      <c r="AH43" t="s">
        <v>173</v>
      </c>
      <c r="AI43" t="s">
        <v>173</v>
      </c>
      <c r="AJ43" t="s">
        <v>173</v>
      </c>
      <c r="AK43" t="s">
        <v>173</v>
      </c>
      <c r="AL43" t="s">
        <v>173</v>
      </c>
      <c r="AM43" t="s">
        <v>173</v>
      </c>
      <c r="AN43" t="s">
        <v>173</v>
      </c>
      <c r="AO43" t="s">
        <v>173</v>
      </c>
      <c r="AP43" t="s">
        <v>173</v>
      </c>
      <c r="AQ43" t="s">
        <v>173</v>
      </c>
      <c r="AR43" t="s">
        <v>173</v>
      </c>
      <c r="AS43" t="s">
        <v>173</v>
      </c>
      <c r="AT43" t="s">
        <v>173</v>
      </c>
      <c r="AU43" t="s">
        <v>173</v>
      </c>
      <c r="AV43" t="s">
        <v>173</v>
      </c>
      <c r="AW43" t="s">
        <v>173</v>
      </c>
      <c r="AX43" t="s">
        <v>173</v>
      </c>
      <c r="AY43" t="s">
        <v>173</v>
      </c>
      <c r="AZ43" t="s">
        <v>173</v>
      </c>
      <c r="BA43" t="s">
        <v>173</v>
      </c>
      <c r="BB43" t="s">
        <v>173</v>
      </c>
      <c r="BC43" t="s">
        <v>173</v>
      </c>
      <c r="BD43" t="s">
        <v>173</v>
      </c>
      <c r="BE43" t="s">
        <v>173</v>
      </c>
      <c r="BF43" t="s">
        <v>173</v>
      </c>
      <c r="BG43" t="s">
        <v>173</v>
      </c>
      <c r="BH43" t="s">
        <v>173</v>
      </c>
      <c r="BI43" t="s">
        <v>173</v>
      </c>
      <c r="BJ43" t="s">
        <v>173</v>
      </c>
      <c r="BK43" t="s">
        <v>173</v>
      </c>
      <c r="BL43" t="s">
        <v>173</v>
      </c>
      <c r="BM43" t="s">
        <v>173</v>
      </c>
      <c r="BN43" t="s">
        <v>173</v>
      </c>
      <c r="BO43" t="s">
        <v>173</v>
      </c>
      <c r="BP43" t="s">
        <v>173</v>
      </c>
      <c r="BQ43" t="s">
        <v>173</v>
      </c>
      <c r="BR43" t="s">
        <v>173</v>
      </c>
      <c r="BS43" t="s">
        <v>173</v>
      </c>
      <c r="BT43" t="s">
        <v>173</v>
      </c>
      <c r="BU43" t="s">
        <v>173</v>
      </c>
      <c r="BV43" t="s">
        <v>173</v>
      </c>
      <c r="BX43" t="s">
        <v>173</v>
      </c>
      <c r="BY43" t="s">
        <v>173</v>
      </c>
      <c r="BZ43" t="s">
        <v>173</v>
      </c>
      <c r="CA43" t="s">
        <v>173</v>
      </c>
      <c r="CB43" t="s">
        <v>173</v>
      </c>
      <c r="CC43" t="s">
        <v>173</v>
      </c>
      <c r="CD43" t="s">
        <v>173</v>
      </c>
      <c r="CE43" t="s">
        <v>173</v>
      </c>
      <c r="CF43" t="s">
        <v>173</v>
      </c>
      <c r="CG43" t="s">
        <v>173</v>
      </c>
      <c r="CH43" t="s">
        <v>173</v>
      </c>
      <c r="CI43" t="s">
        <v>173</v>
      </c>
      <c r="CJ43" t="s">
        <v>173</v>
      </c>
      <c r="CK43" t="s">
        <v>173</v>
      </c>
      <c r="CL43" t="s">
        <v>173</v>
      </c>
      <c r="CM43" t="s">
        <v>173</v>
      </c>
      <c r="CN43" t="s">
        <v>173</v>
      </c>
      <c r="CO43" t="s">
        <v>173</v>
      </c>
      <c r="CP43" t="s">
        <v>173</v>
      </c>
      <c r="CQ43" t="s">
        <v>173</v>
      </c>
      <c r="CR43" t="s">
        <v>173</v>
      </c>
      <c r="CS43" t="s">
        <v>173</v>
      </c>
      <c r="CT43" t="s">
        <v>173</v>
      </c>
      <c r="CU43" t="s">
        <v>173</v>
      </c>
      <c r="CV43" t="s">
        <v>173</v>
      </c>
      <c r="CW43" t="s">
        <v>173</v>
      </c>
      <c r="CX43" t="s">
        <v>173</v>
      </c>
      <c r="CY43" t="s">
        <v>173</v>
      </c>
      <c r="CZ43" t="s">
        <v>173</v>
      </c>
      <c r="DA43" t="s">
        <v>173</v>
      </c>
      <c r="DB43" t="s">
        <v>173</v>
      </c>
      <c r="DC43" t="s">
        <v>173</v>
      </c>
      <c r="DD43" t="s">
        <v>173</v>
      </c>
      <c r="DE43" t="s">
        <v>173</v>
      </c>
      <c r="DF43" t="s">
        <v>173</v>
      </c>
      <c r="DG43" t="s">
        <v>173</v>
      </c>
      <c r="DH43" t="s">
        <v>173</v>
      </c>
    </row>
    <row r="44" spans="1:112">
      <c r="A44">
        <v>41</v>
      </c>
      <c r="B44" t="s">
        <v>293</v>
      </c>
      <c r="C44" t="s">
        <v>294</v>
      </c>
      <c r="D44">
        <v>2025</v>
      </c>
      <c r="E44" t="s">
        <v>295</v>
      </c>
      <c r="F44" t="s">
        <v>296</v>
      </c>
      <c r="G44" t="s">
        <v>172</v>
      </c>
      <c r="H44" t="s">
        <v>173</v>
      </c>
      <c r="I44" t="s">
        <v>174</v>
      </c>
      <c r="J44" t="s">
        <v>173</v>
      </c>
      <c r="K44" t="s">
        <v>173</v>
      </c>
      <c r="L44" t="s">
        <v>173</v>
      </c>
      <c r="M44" t="s">
        <v>173</v>
      </c>
      <c r="N44" t="s">
        <v>173</v>
      </c>
      <c r="O44" t="s">
        <v>173</v>
      </c>
      <c r="P44" t="s">
        <v>173</v>
      </c>
      <c r="Q44" t="s">
        <v>173</v>
      </c>
      <c r="R44" t="s">
        <v>173</v>
      </c>
      <c r="S44" t="s">
        <v>173</v>
      </c>
      <c r="T44" t="s">
        <v>173</v>
      </c>
      <c r="U44" t="s">
        <v>173</v>
      </c>
      <c r="V44" t="s">
        <v>173</v>
      </c>
      <c r="W44" t="s">
        <v>173</v>
      </c>
      <c r="X44" t="s">
        <v>173</v>
      </c>
      <c r="Y44" t="s">
        <v>173</v>
      </c>
      <c r="Z44" t="s">
        <v>173</v>
      </c>
      <c r="AA44" t="s">
        <v>173</v>
      </c>
      <c r="AB44" t="s">
        <v>173</v>
      </c>
      <c r="AC44" t="s">
        <v>173</v>
      </c>
      <c r="AD44" t="s">
        <v>173</v>
      </c>
      <c r="AE44" t="s">
        <v>173</v>
      </c>
      <c r="AF44" t="s">
        <v>173</v>
      </c>
      <c r="AG44" t="s">
        <v>173</v>
      </c>
      <c r="AH44" t="s">
        <v>173</v>
      </c>
      <c r="AI44" t="s">
        <v>173</v>
      </c>
      <c r="AJ44" t="s">
        <v>173</v>
      </c>
      <c r="AK44" t="s">
        <v>173</v>
      </c>
      <c r="AL44" t="s">
        <v>173</v>
      </c>
      <c r="AM44" t="s">
        <v>173</v>
      </c>
      <c r="AN44" t="s">
        <v>173</v>
      </c>
      <c r="AO44" t="s">
        <v>173</v>
      </c>
      <c r="AP44" t="s">
        <v>173</v>
      </c>
      <c r="AQ44" t="s">
        <v>173</v>
      </c>
      <c r="AR44" t="s">
        <v>173</v>
      </c>
      <c r="AS44" t="s">
        <v>173</v>
      </c>
      <c r="AT44" t="s">
        <v>173</v>
      </c>
      <c r="AU44" t="s">
        <v>173</v>
      </c>
      <c r="AV44" t="s">
        <v>173</v>
      </c>
      <c r="AW44" t="s">
        <v>173</v>
      </c>
      <c r="AX44" t="s">
        <v>173</v>
      </c>
      <c r="AY44" t="s">
        <v>173</v>
      </c>
      <c r="AZ44" t="s">
        <v>173</v>
      </c>
      <c r="BA44" t="s">
        <v>173</v>
      </c>
      <c r="BB44" t="s">
        <v>173</v>
      </c>
      <c r="BC44" t="s">
        <v>173</v>
      </c>
      <c r="BD44" t="s">
        <v>173</v>
      </c>
      <c r="BE44" t="s">
        <v>173</v>
      </c>
      <c r="BF44" t="s">
        <v>173</v>
      </c>
      <c r="BG44" t="s">
        <v>173</v>
      </c>
      <c r="BH44" t="s">
        <v>173</v>
      </c>
      <c r="BI44" t="s">
        <v>173</v>
      </c>
      <c r="BJ44" t="s">
        <v>173</v>
      </c>
      <c r="BK44" t="s">
        <v>173</v>
      </c>
      <c r="BL44" t="s">
        <v>173</v>
      </c>
      <c r="BM44" t="s">
        <v>173</v>
      </c>
      <c r="BN44" t="s">
        <v>173</v>
      </c>
      <c r="BO44" t="s">
        <v>173</v>
      </c>
      <c r="BP44" t="s">
        <v>173</v>
      </c>
      <c r="BQ44" t="s">
        <v>173</v>
      </c>
      <c r="BR44" t="s">
        <v>173</v>
      </c>
      <c r="BS44" t="s">
        <v>173</v>
      </c>
      <c r="BT44" t="s">
        <v>173</v>
      </c>
      <c r="BU44" t="s">
        <v>173</v>
      </c>
      <c r="BV44" t="s">
        <v>173</v>
      </c>
      <c r="BX44" t="s">
        <v>173</v>
      </c>
      <c r="BY44" t="s">
        <v>173</v>
      </c>
      <c r="BZ44" t="s">
        <v>173</v>
      </c>
      <c r="CA44" t="s">
        <v>173</v>
      </c>
      <c r="CB44" t="s">
        <v>173</v>
      </c>
      <c r="CC44" t="s">
        <v>173</v>
      </c>
      <c r="CD44" t="s">
        <v>173</v>
      </c>
      <c r="CE44" t="s">
        <v>173</v>
      </c>
      <c r="CF44" t="s">
        <v>173</v>
      </c>
      <c r="CG44" t="s">
        <v>173</v>
      </c>
      <c r="CH44" t="s">
        <v>173</v>
      </c>
      <c r="CI44" t="s">
        <v>173</v>
      </c>
      <c r="CJ44" t="s">
        <v>173</v>
      </c>
      <c r="CK44" t="s">
        <v>173</v>
      </c>
      <c r="CL44" t="s">
        <v>173</v>
      </c>
      <c r="CM44" t="s">
        <v>173</v>
      </c>
      <c r="CN44" t="s">
        <v>173</v>
      </c>
      <c r="CO44" t="s">
        <v>173</v>
      </c>
      <c r="CP44" t="s">
        <v>173</v>
      </c>
      <c r="CQ44" t="s">
        <v>173</v>
      </c>
      <c r="CR44" t="s">
        <v>173</v>
      </c>
      <c r="CS44" t="s">
        <v>173</v>
      </c>
      <c r="CT44" t="s">
        <v>173</v>
      </c>
      <c r="CU44" t="s">
        <v>173</v>
      </c>
      <c r="CV44" t="s">
        <v>173</v>
      </c>
      <c r="CW44" t="s">
        <v>173</v>
      </c>
      <c r="CX44" t="s">
        <v>173</v>
      </c>
      <c r="CY44" t="s">
        <v>173</v>
      </c>
      <c r="CZ44" t="s">
        <v>173</v>
      </c>
      <c r="DA44" t="s">
        <v>173</v>
      </c>
      <c r="DB44" t="s">
        <v>173</v>
      </c>
      <c r="DC44" t="s">
        <v>173</v>
      </c>
      <c r="DD44" t="s">
        <v>173</v>
      </c>
      <c r="DE44" t="s">
        <v>173</v>
      </c>
      <c r="DF44" t="s">
        <v>173</v>
      </c>
      <c r="DG44" t="s">
        <v>173</v>
      </c>
      <c r="DH44" t="s">
        <v>173</v>
      </c>
    </row>
    <row r="45" spans="1:112">
      <c r="A45">
        <v>42</v>
      </c>
      <c r="B45" t="s">
        <v>297</v>
      </c>
      <c r="C45" t="s">
        <v>298</v>
      </c>
      <c r="D45">
        <v>2025</v>
      </c>
      <c r="E45" t="s">
        <v>299</v>
      </c>
      <c r="F45" t="s">
        <v>300</v>
      </c>
      <c r="G45" t="s">
        <v>172</v>
      </c>
      <c r="H45" t="s">
        <v>173</v>
      </c>
      <c r="I45" t="s">
        <v>174</v>
      </c>
      <c r="J45" t="s">
        <v>173</v>
      </c>
      <c r="K45" t="s">
        <v>173</v>
      </c>
      <c r="L45" t="s">
        <v>173</v>
      </c>
      <c r="M45" t="s">
        <v>173</v>
      </c>
      <c r="N45" t="s">
        <v>173</v>
      </c>
      <c r="O45" t="s">
        <v>173</v>
      </c>
      <c r="P45" t="s">
        <v>173</v>
      </c>
      <c r="Q45" t="s">
        <v>173</v>
      </c>
      <c r="R45" t="s">
        <v>173</v>
      </c>
      <c r="S45" t="s">
        <v>173</v>
      </c>
      <c r="T45" t="s">
        <v>173</v>
      </c>
      <c r="U45" t="s">
        <v>173</v>
      </c>
      <c r="V45" t="s">
        <v>173</v>
      </c>
      <c r="W45" t="s">
        <v>173</v>
      </c>
      <c r="X45" t="s">
        <v>173</v>
      </c>
      <c r="Y45" t="s">
        <v>173</v>
      </c>
      <c r="Z45" t="s">
        <v>173</v>
      </c>
      <c r="AA45" t="s">
        <v>173</v>
      </c>
      <c r="AB45" t="s">
        <v>173</v>
      </c>
      <c r="AC45" t="s">
        <v>173</v>
      </c>
      <c r="AD45" t="s">
        <v>173</v>
      </c>
      <c r="AE45" t="s">
        <v>173</v>
      </c>
      <c r="AF45" t="s">
        <v>173</v>
      </c>
      <c r="AG45" t="s">
        <v>173</v>
      </c>
      <c r="AH45" t="s">
        <v>173</v>
      </c>
      <c r="AI45" t="s">
        <v>173</v>
      </c>
      <c r="AJ45" t="s">
        <v>173</v>
      </c>
      <c r="AK45" t="s">
        <v>173</v>
      </c>
      <c r="AL45" t="s">
        <v>173</v>
      </c>
      <c r="AM45" t="s">
        <v>173</v>
      </c>
      <c r="AN45" t="s">
        <v>173</v>
      </c>
      <c r="AO45" t="s">
        <v>173</v>
      </c>
      <c r="AP45" t="s">
        <v>173</v>
      </c>
      <c r="AQ45" t="s">
        <v>173</v>
      </c>
      <c r="AR45" t="s">
        <v>173</v>
      </c>
      <c r="AS45" t="s">
        <v>173</v>
      </c>
      <c r="AT45" t="s">
        <v>173</v>
      </c>
      <c r="AU45" t="s">
        <v>173</v>
      </c>
      <c r="AV45" t="s">
        <v>173</v>
      </c>
      <c r="AW45" t="s">
        <v>173</v>
      </c>
      <c r="AX45" t="s">
        <v>173</v>
      </c>
      <c r="AY45" t="s">
        <v>173</v>
      </c>
      <c r="AZ45" t="s">
        <v>173</v>
      </c>
      <c r="BA45" t="s">
        <v>173</v>
      </c>
      <c r="BB45" t="s">
        <v>173</v>
      </c>
      <c r="BC45" t="s">
        <v>173</v>
      </c>
      <c r="BD45" t="s">
        <v>173</v>
      </c>
      <c r="BE45" t="s">
        <v>173</v>
      </c>
      <c r="BF45" t="s">
        <v>173</v>
      </c>
      <c r="BG45" t="s">
        <v>173</v>
      </c>
      <c r="BH45" t="s">
        <v>173</v>
      </c>
      <c r="BI45" t="s">
        <v>173</v>
      </c>
      <c r="BJ45" t="s">
        <v>173</v>
      </c>
      <c r="BK45" t="s">
        <v>173</v>
      </c>
      <c r="BL45" t="s">
        <v>173</v>
      </c>
      <c r="BM45" t="s">
        <v>173</v>
      </c>
      <c r="BN45" t="s">
        <v>173</v>
      </c>
      <c r="BO45" t="s">
        <v>173</v>
      </c>
      <c r="BP45" t="s">
        <v>173</v>
      </c>
      <c r="BQ45" t="s">
        <v>173</v>
      </c>
      <c r="BR45" t="s">
        <v>173</v>
      </c>
      <c r="BS45" t="s">
        <v>173</v>
      </c>
      <c r="BT45" t="s">
        <v>173</v>
      </c>
      <c r="BU45" t="s">
        <v>173</v>
      </c>
      <c r="BV45" t="s">
        <v>173</v>
      </c>
      <c r="BX45" t="s">
        <v>173</v>
      </c>
      <c r="BY45" t="s">
        <v>173</v>
      </c>
      <c r="BZ45" t="s">
        <v>173</v>
      </c>
      <c r="CA45" t="s">
        <v>173</v>
      </c>
      <c r="CB45" t="s">
        <v>173</v>
      </c>
      <c r="CC45" t="s">
        <v>173</v>
      </c>
      <c r="CD45" t="s">
        <v>173</v>
      </c>
      <c r="CE45" t="s">
        <v>173</v>
      </c>
      <c r="CF45" t="s">
        <v>173</v>
      </c>
      <c r="CG45" t="s">
        <v>173</v>
      </c>
      <c r="CH45" t="s">
        <v>173</v>
      </c>
      <c r="CI45" t="s">
        <v>173</v>
      </c>
      <c r="CJ45" t="s">
        <v>173</v>
      </c>
      <c r="CK45" t="s">
        <v>173</v>
      </c>
      <c r="CL45" t="s">
        <v>173</v>
      </c>
      <c r="CM45" t="s">
        <v>173</v>
      </c>
      <c r="CN45" t="s">
        <v>173</v>
      </c>
      <c r="CO45" t="s">
        <v>173</v>
      </c>
      <c r="CP45" t="s">
        <v>173</v>
      </c>
      <c r="CQ45" t="s">
        <v>173</v>
      </c>
      <c r="CR45" t="s">
        <v>173</v>
      </c>
      <c r="CS45" t="s">
        <v>173</v>
      </c>
      <c r="CT45" t="s">
        <v>173</v>
      </c>
      <c r="CU45" t="s">
        <v>173</v>
      </c>
      <c r="CV45" t="s">
        <v>173</v>
      </c>
      <c r="CW45" t="s">
        <v>173</v>
      </c>
      <c r="CX45" t="s">
        <v>173</v>
      </c>
      <c r="CY45" t="s">
        <v>173</v>
      </c>
      <c r="CZ45" t="s">
        <v>173</v>
      </c>
      <c r="DA45" t="s">
        <v>173</v>
      </c>
      <c r="DB45" t="s">
        <v>173</v>
      </c>
      <c r="DC45" t="s">
        <v>173</v>
      </c>
      <c r="DD45" t="s">
        <v>173</v>
      </c>
      <c r="DE45" t="s">
        <v>173</v>
      </c>
      <c r="DF45" t="s">
        <v>173</v>
      </c>
      <c r="DG45" t="s">
        <v>173</v>
      </c>
      <c r="DH45" t="s">
        <v>173</v>
      </c>
    </row>
    <row r="46" spans="1:112">
      <c r="A46">
        <v>43</v>
      </c>
      <c r="B46" t="s">
        <v>301</v>
      </c>
      <c r="C46" t="s">
        <v>302</v>
      </c>
      <c r="D46">
        <v>2025</v>
      </c>
      <c r="E46" t="s">
        <v>303</v>
      </c>
      <c r="F46" t="s">
        <v>304</v>
      </c>
      <c r="G46" t="s">
        <v>172</v>
      </c>
      <c r="H46" t="s">
        <v>173</v>
      </c>
      <c r="I46" t="s">
        <v>174</v>
      </c>
      <c r="J46" t="s">
        <v>173</v>
      </c>
      <c r="K46" t="s">
        <v>173</v>
      </c>
      <c r="L46" t="s">
        <v>173</v>
      </c>
      <c r="M46" t="s">
        <v>173</v>
      </c>
      <c r="N46" t="s">
        <v>173</v>
      </c>
      <c r="O46" t="s">
        <v>173</v>
      </c>
      <c r="P46" t="s">
        <v>173</v>
      </c>
      <c r="Q46" t="s">
        <v>173</v>
      </c>
      <c r="R46" t="s">
        <v>173</v>
      </c>
      <c r="S46" t="s">
        <v>173</v>
      </c>
      <c r="T46" t="s">
        <v>173</v>
      </c>
      <c r="U46" t="s">
        <v>173</v>
      </c>
      <c r="V46" t="s">
        <v>173</v>
      </c>
      <c r="W46" t="s">
        <v>173</v>
      </c>
      <c r="X46" t="s">
        <v>173</v>
      </c>
      <c r="Y46" t="s">
        <v>173</v>
      </c>
      <c r="Z46" t="s">
        <v>173</v>
      </c>
      <c r="AA46" t="s">
        <v>173</v>
      </c>
      <c r="AB46" t="s">
        <v>173</v>
      </c>
      <c r="AC46" t="s">
        <v>173</v>
      </c>
      <c r="AD46" t="s">
        <v>173</v>
      </c>
      <c r="AE46" t="s">
        <v>173</v>
      </c>
      <c r="AF46" t="s">
        <v>173</v>
      </c>
      <c r="AG46" t="s">
        <v>173</v>
      </c>
      <c r="AH46" t="s">
        <v>173</v>
      </c>
      <c r="AI46" t="s">
        <v>173</v>
      </c>
      <c r="AJ46" t="s">
        <v>173</v>
      </c>
      <c r="AK46" t="s">
        <v>173</v>
      </c>
      <c r="AL46" t="s">
        <v>173</v>
      </c>
      <c r="AM46" t="s">
        <v>173</v>
      </c>
      <c r="AN46" t="s">
        <v>173</v>
      </c>
      <c r="AO46" t="s">
        <v>173</v>
      </c>
      <c r="AP46" t="s">
        <v>173</v>
      </c>
      <c r="AQ46" t="s">
        <v>173</v>
      </c>
      <c r="AR46" t="s">
        <v>173</v>
      </c>
      <c r="AS46" t="s">
        <v>173</v>
      </c>
      <c r="AT46" t="s">
        <v>173</v>
      </c>
      <c r="AU46" t="s">
        <v>173</v>
      </c>
      <c r="AV46" t="s">
        <v>173</v>
      </c>
      <c r="AW46" t="s">
        <v>173</v>
      </c>
      <c r="AX46" t="s">
        <v>173</v>
      </c>
      <c r="AY46" t="s">
        <v>173</v>
      </c>
      <c r="AZ46" t="s">
        <v>173</v>
      </c>
      <c r="BA46" t="s">
        <v>173</v>
      </c>
      <c r="BB46" t="s">
        <v>173</v>
      </c>
      <c r="BC46" t="s">
        <v>173</v>
      </c>
      <c r="BD46" t="s">
        <v>173</v>
      </c>
      <c r="BE46" t="s">
        <v>173</v>
      </c>
      <c r="BF46" t="s">
        <v>173</v>
      </c>
      <c r="BG46" t="s">
        <v>173</v>
      </c>
      <c r="BH46" t="s">
        <v>173</v>
      </c>
      <c r="BI46" t="s">
        <v>173</v>
      </c>
      <c r="BJ46" t="s">
        <v>173</v>
      </c>
      <c r="BK46" t="s">
        <v>173</v>
      </c>
      <c r="BL46" t="s">
        <v>173</v>
      </c>
      <c r="BM46" t="s">
        <v>173</v>
      </c>
      <c r="BN46" t="s">
        <v>173</v>
      </c>
      <c r="BO46" t="s">
        <v>173</v>
      </c>
      <c r="BP46" t="s">
        <v>173</v>
      </c>
      <c r="BQ46" t="s">
        <v>173</v>
      </c>
      <c r="BR46" t="s">
        <v>173</v>
      </c>
      <c r="BS46" t="s">
        <v>173</v>
      </c>
      <c r="BT46" t="s">
        <v>173</v>
      </c>
      <c r="BU46" t="s">
        <v>173</v>
      </c>
      <c r="BV46" t="s">
        <v>173</v>
      </c>
      <c r="BX46" t="s">
        <v>173</v>
      </c>
      <c r="BY46" t="s">
        <v>173</v>
      </c>
      <c r="BZ46" t="s">
        <v>173</v>
      </c>
      <c r="CA46" t="s">
        <v>173</v>
      </c>
      <c r="CB46" t="s">
        <v>173</v>
      </c>
      <c r="CC46" t="s">
        <v>173</v>
      </c>
      <c r="CD46" t="s">
        <v>173</v>
      </c>
      <c r="CE46" t="s">
        <v>173</v>
      </c>
      <c r="CF46" t="s">
        <v>173</v>
      </c>
      <c r="CG46" t="s">
        <v>173</v>
      </c>
      <c r="CH46" t="s">
        <v>173</v>
      </c>
      <c r="CI46" t="s">
        <v>173</v>
      </c>
      <c r="CJ46" t="s">
        <v>173</v>
      </c>
      <c r="CK46" t="s">
        <v>173</v>
      </c>
      <c r="CL46" t="s">
        <v>173</v>
      </c>
      <c r="CM46" t="s">
        <v>173</v>
      </c>
      <c r="CN46" t="s">
        <v>173</v>
      </c>
      <c r="CO46" t="s">
        <v>173</v>
      </c>
      <c r="CP46" t="s">
        <v>173</v>
      </c>
      <c r="CQ46" t="s">
        <v>173</v>
      </c>
      <c r="CR46" t="s">
        <v>173</v>
      </c>
      <c r="CS46" t="s">
        <v>173</v>
      </c>
      <c r="CT46" t="s">
        <v>173</v>
      </c>
      <c r="CU46" t="s">
        <v>173</v>
      </c>
      <c r="CV46" t="s">
        <v>173</v>
      </c>
      <c r="CW46" t="s">
        <v>173</v>
      </c>
      <c r="CX46" t="s">
        <v>173</v>
      </c>
      <c r="CY46" t="s">
        <v>173</v>
      </c>
      <c r="CZ46" t="s">
        <v>173</v>
      </c>
      <c r="DA46" t="s">
        <v>173</v>
      </c>
      <c r="DB46" t="s">
        <v>173</v>
      </c>
      <c r="DC46" t="s">
        <v>173</v>
      </c>
      <c r="DD46" t="s">
        <v>173</v>
      </c>
      <c r="DE46" t="s">
        <v>173</v>
      </c>
      <c r="DF46" t="s">
        <v>173</v>
      </c>
      <c r="DG46" t="s">
        <v>173</v>
      </c>
      <c r="DH46" t="s">
        <v>173</v>
      </c>
    </row>
    <row r="47" spans="1:112">
      <c r="A47">
        <v>45</v>
      </c>
      <c r="B47" t="s">
        <v>305</v>
      </c>
      <c r="C47" t="s">
        <v>306</v>
      </c>
      <c r="D47">
        <v>2025</v>
      </c>
      <c r="E47" t="s">
        <v>307</v>
      </c>
      <c r="F47" t="s">
        <v>308</v>
      </c>
      <c r="G47" t="s">
        <v>172</v>
      </c>
      <c r="H47" t="s">
        <v>173</v>
      </c>
      <c r="I47" t="s">
        <v>197</v>
      </c>
      <c r="J47" t="s">
        <v>173</v>
      </c>
      <c r="K47" t="s">
        <v>173</v>
      </c>
      <c r="L47" t="s">
        <v>173</v>
      </c>
      <c r="M47" t="s">
        <v>173</v>
      </c>
      <c r="N47" t="s">
        <v>173</v>
      </c>
      <c r="O47" t="s">
        <v>173</v>
      </c>
      <c r="P47" t="s">
        <v>173</v>
      </c>
      <c r="Q47" t="s">
        <v>173</v>
      </c>
      <c r="R47" t="s">
        <v>173</v>
      </c>
      <c r="S47" t="s">
        <v>173</v>
      </c>
      <c r="T47" t="s">
        <v>173</v>
      </c>
      <c r="U47" t="s">
        <v>173</v>
      </c>
      <c r="V47" t="s">
        <v>173</v>
      </c>
      <c r="W47" t="s">
        <v>173</v>
      </c>
      <c r="X47" t="s">
        <v>173</v>
      </c>
      <c r="Y47" t="s">
        <v>173</v>
      </c>
      <c r="Z47" t="s">
        <v>173</v>
      </c>
      <c r="AA47" t="s">
        <v>173</v>
      </c>
      <c r="AB47" t="s">
        <v>173</v>
      </c>
      <c r="AC47" t="s">
        <v>173</v>
      </c>
      <c r="AD47" t="s">
        <v>173</v>
      </c>
      <c r="AE47" t="s">
        <v>173</v>
      </c>
      <c r="AF47" t="s">
        <v>173</v>
      </c>
      <c r="AG47" t="s">
        <v>173</v>
      </c>
      <c r="AH47" t="s">
        <v>173</v>
      </c>
      <c r="AI47" t="s">
        <v>173</v>
      </c>
      <c r="AJ47" t="s">
        <v>173</v>
      </c>
      <c r="AK47" t="s">
        <v>173</v>
      </c>
      <c r="AL47" t="s">
        <v>173</v>
      </c>
      <c r="AM47" t="s">
        <v>173</v>
      </c>
      <c r="AN47" t="s">
        <v>173</v>
      </c>
      <c r="AO47" t="s">
        <v>173</v>
      </c>
      <c r="AP47" t="s">
        <v>173</v>
      </c>
      <c r="AQ47" t="s">
        <v>173</v>
      </c>
      <c r="AR47" t="s">
        <v>173</v>
      </c>
      <c r="AS47" t="s">
        <v>173</v>
      </c>
      <c r="AT47" t="s">
        <v>173</v>
      </c>
      <c r="AU47" t="s">
        <v>173</v>
      </c>
      <c r="AV47" t="s">
        <v>173</v>
      </c>
      <c r="AW47" t="s">
        <v>173</v>
      </c>
      <c r="AX47" t="s">
        <v>173</v>
      </c>
      <c r="AY47" t="s">
        <v>173</v>
      </c>
      <c r="AZ47" t="s">
        <v>173</v>
      </c>
      <c r="BA47" t="s">
        <v>173</v>
      </c>
      <c r="BB47" t="s">
        <v>173</v>
      </c>
      <c r="BC47" t="s">
        <v>173</v>
      </c>
      <c r="BD47" t="s">
        <v>173</v>
      </c>
      <c r="BE47" t="s">
        <v>173</v>
      </c>
      <c r="BF47" t="s">
        <v>173</v>
      </c>
      <c r="BG47" t="s">
        <v>173</v>
      </c>
      <c r="BH47" t="s">
        <v>173</v>
      </c>
      <c r="BI47" t="s">
        <v>173</v>
      </c>
      <c r="BJ47" t="s">
        <v>173</v>
      </c>
      <c r="BK47" t="s">
        <v>173</v>
      </c>
      <c r="BL47" t="s">
        <v>173</v>
      </c>
      <c r="BM47" t="s">
        <v>173</v>
      </c>
      <c r="BN47" t="s">
        <v>173</v>
      </c>
      <c r="BO47" t="s">
        <v>173</v>
      </c>
      <c r="BP47" t="s">
        <v>173</v>
      </c>
      <c r="BQ47" t="s">
        <v>173</v>
      </c>
      <c r="BR47" t="s">
        <v>173</v>
      </c>
      <c r="BS47" t="s">
        <v>173</v>
      </c>
      <c r="BT47" t="s">
        <v>173</v>
      </c>
      <c r="BU47" t="s">
        <v>173</v>
      </c>
      <c r="BV47" t="s">
        <v>173</v>
      </c>
      <c r="BX47" t="s">
        <v>173</v>
      </c>
      <c r="BY47" t="s">
        <v>173</v>
      </c>
      <c r="BZ47" t="s">
        <v>173</v>
      </c>
      <c r="CA47" t="s">
        <v>173</v>
      </c>
      <c r="CB47" t="s">
        <v>173</v>
      </c>
      <c r="CC47" t="s">
        <v>173</v>
      </c>
      <c r="CD47" t="s">
        <v>173</v>
      </c>
      <c r="CE47" t="s">
        <v>173</v>
      </c>
      <c r="CF47" t="s">
        <v>173</v>
      </c>
      <c r="CG47" t="s">
        <v>173</v>
      </c>
      <c r="CH47" t="s">
        <v>173</v>
      </c>
      <c r="CI47" t="s">
        <v>173</v>
      </c>
      <c r="CJ47" t="s">
        <v>173</v>
      </c>
      <c r="CK47" t="s">
        <v>173</v>
      </c>
      <c r="CL47" t="s">
        <v>173</v>
      </c>
      <c r="CM47" t="s">
        <v>173</v>
      </c>
      <c r="CN47" t="s">
        <v>173</v>
      </c>
      <c r="CO47" t="s">
        <v>173</v>
      </c>
      <c r="CP47" t="s">
        <v>173</v>
      </c>
      <c r="CQ47" t="s">
        <v>173</v>
      </c>
      <c r="CR47" t="s">
        <v>173</v>
      </c>
      <c r="CS47" t="s">
        <v>173</v>
      </c>
      <c r="CT47" t="s">
        <v>173</v>
      </c>
      <c r="CU47" t="s">
        <v>173</v>
      </c>
      <c r="CV47" t="s">
        <v>173</v>
      </c>
      <c r="CW47" t="s">
        <v>173</v>
      </c>
      <c r="CX47" t="s">
        <v>173</v>
      </c>
      <c r="CY47" t="s">
        <v>173</v>
      </c>
      <c r="CZ47" t="s">
        <v>173</v>
      </c>
      <c r="DA47" t="s">
        <v>173</v>
      </c>
      <c r="DB47" t="s">
        <v>173</v>
      </c>
      <c r="DC47" t="s">
        <v>173</v>
      </c>
      <c r="DD47" t="s">
        <v>173</v>
      </c>
      <c r="DE47" t="s">
        <v>173</v>
      </c>
      <c r="DF47" t="s">
        <v>173</v>
      </c>
      <c r="DG47" t="s">
        <v>173</v>
      </c>
      <c r="DH47" t="s">
        <v>173</v>
      </c>
    </row>
    <row r="48" spans="1:112">
      <c r="A48">
        <v>46</v>
      </c>
      <c r="B48" t="s">
        <v>309</v>
      </c>
      <c r="C48" t="s">
        <v>310</v>
      </c>
      <c r="D48">
        <v>2025</v>
      </c>
      <c r="E48" t="s">
        <v>311</v>
      </c>
      <c r="F48" t="s">
        <v>312</v>
      </c>
      <c r="G48" t="s">
        <v>172</v>
      </c>
      <c r="H48" t="s">
        <v>173</v>
      </c>
      <c r="I48" t="s">
        <v>197</v>
      </c>
      <c r="J48" t="s">
        <v>173</v>
      </c>
      <c r="K48" t="s">
        <v>173</v>
      </c>
      <c r="L48" t="s">
        <v>173</v>
      </c>
      <c r="M48" t="s">
        <v>173</v>
      </c>
      <c r="N48" t="s">
        <v>173</v>
      </c>
      <c r="O48" t="s">
        <v>173</v>
      </c>
      <c r="P48" t="s">
        <v>173</v>
      </c>
      <c r="Q48" t="s">
        <v>173</v>
      </c>
      <c r="R48" t="s">
        <v>173</v>
      </c>
      <c r="S48" t="s">
        <v>173</v>
      </c>
      <c r="T48" t="s">
        <v>173</v>
      </c>
      <c r="U48" t="s">
        <v>173</v>
      </c>
      <c r="V48" t="s">
        <v>173</v>
      </c>
      <c r="W48" t="s">
        <v>173</v>
      </c>
      <c r="X48" t="s">
        <v>173</v>
      </c>
      <c r="Y48" t="s">
        <v>173</v>
      </c>
      <c r="Z48" t="s">
        <v>173</v>
      </c>
      <c r="AA48" t="s">
        <v>173</v>
      </c>
      <c r="AB48" t="s">
        <v>173</v>
      </c>
      <c r="AC48" t="s">
        <v>173</v>
      </c>
      <c r="AD48" t="s">
        <v>173</v>
      </c>
      <c r="AE48" t="s">
        <v>173</v>
      </c>
      <c r="AF48" t="s">
        <v>173</v>
      </c>
      <c r="AG48" t="s">
        <v>173</v>
      </c>
      <c r="AH48" t="s">
        <v>173</v>
      </c>
      <c r="AI48" t="s">
        <v>173</v>
      </c>
      <c r="AJ48" t="s">
        <v>173</v>
      </c>
      <c r="AK48" t="s">
        <v>173</v>
      </c>
      <c r="AL48" t="s">
        <v>173</v>
      </c>
      <c r="AM48" t="s">
        <v>173</v>
      </c>
      <c r="AN48" t="s">
        <v>173</v>
      </c>
      <c r="AO48" t="s">
        <v>173</v>
      </c>
      <c r="AP48" t="s">
        <v>173</v>
      </c>
      <c r="AQ48" t="s">
        <v>173</v>
      </c>
      <c r="AR48" t="s">
        <v>173</v>
      </c>
      <c r="AS48" t="s">
        <v>173</v>
      </c>
      <c r="AT48" t="s">
        <v>173</v>
      </c>
      <c r="AU48" t="s">
        <v>173</v>
      </c>
      <c r="AV48" t="s">
        <v>173</v>
      </c>
      <c r="AW48" t="s">
        <v>173</v>
      </c>
      <c r="AX48" t="s">
        <v>173</v>
      </c>
      <c r="AY48" t="s">
        <v>173</v>
      </c>
      <c r="AZ48" t="s">
        <v>173</v>
      </c>
      <c r="BA48" t="s">
        <v>173</v>
      </c>
      <c r="BB48" t="s">
        <v>173</v>
      </c>
      <c r="BC48" t="s">
        <v>173</v>
      </c>
      <c r="BD48" t="s">
        <v>173</v>
      </c>
      <c r="BE48" t="s">
        <v>173</v>
      </c>
      <c r="BF48" t="s">
        <v>173</v>
      </c>
      <c r="BG48" t="s">
        <v>173</v>
      </c>
      <c r="BH48" t="s">
        <v>173</v>
      </c>
      <c r="BI48" t="s">
        <v>173</v>
      </c>
      <c r="BJ48" t="s">
        <v>173</v>
      </c>
      <c r="BK48" t="s">
        <v>173</v>
      </c>
      <c r="BL48" t="s">
        <v>173</v>
      </c>
      <c r="BM48" t="s">
        <v>173</v>
      </c>
      <c r="BN48" t="s">
        <v>173</v>
      </c>
      <c r="BO48" t="s">
        <v>173</v>
      </c>
      <c r="BP48" t="s">
        <v>173</v>
      </c>
      <c r="BQ48" t="s">
        <v>173</v>
      </c>
      <c r="BR48" t="s">
        <v>173</v>
      </c>
      <c r="BS48" t="s">
        <v>173</v>
      </c>
      <c r="BT48" t="s">
        <v>173</v>
      </c>
      <c r="BU48" t="s">
        <v>173</v>
      </c>
      <c r="BV48" t="s">
        <v>173</v>
      </c>
      <c r="BX48" t="s">
        <v>173</v>
      </c>
      <c r="BY48" t="s">
        <v>173</v>
      </c>
      <c r="BZ48" t="s">
        <v>173</v>
      </c>
      <c r="CA48" t="s">
        <v>173</v>
      </c>
      <c r="CB48" t="s">
        <v>173</v>
      </c>
      <c r="CC48" t="s">
        <v>173</v>
      </c>
      <c r="CD48" t="s">
        <v>173</v>
      </c>
      <c r="CE48" t="s">
        <v>173</v>
      </c>
      <c r="CF48" t="s">
        <v>173</v>
      </c>
      <c r="CG48" t="s">
        <v>173</v>
      </c>
      <c r="CH48" t="s">
        <v>173</v>
      </c>
      <c r="CI48" t="s">
        <v>173</v>
      </c>
      <c r="CJ48" t="s">
        <v>173</v>
      </c>
      <c r="CK48" t="s">
        <v>173</v>
      </c>
      <c r="CL48" t="s">
        <v>173</v>
      </c>
      <c r="CM48" t="s">
        <v>173</v>
      </c>
      <c r="CN48" t="s">
        <v>173</v>
      </c>
      <c r="CO48" t="s">
        <v>173</v>
      </c>
      <c r="CP48" t="s">
        <v>173</v>
      </c>
      <c r="CQ48" t="s">
        <v>173</v>
      </c>
      <c r="CR48" t="s">
        <v>173</v>
      </c>
      <c r="CS48" t="s">
        <v>173</v>
      </c>
      <c r="CT48" t="s">
        <v>173</v>
      </c>
      <c r="CU48" t="s">
        <v>173</v>
      </c>
      <c r="CV48" t="s">
        <v>173</v>
      </c>
      <c r="CW48" t="s">
        <v>173</v>
      </c>
      <c r="CX48" t="s">
        <v>173</v>
      </c>
      <c r="CY48" t="s">
        <v>173</v>
      </c>
      <c r="CZ48" t="s">
        <v>173</v>
      </c>
      <c r="DA48" t="s">
        <v>173</v>
      </c>
      <c r="DB48" t="s">
        <v>173</v>
      </c>
      <c r="DC48" t="s">
        <v>173</v>
      </c>
      <c r="DD48" t="s">
        <v>173</v>
      </c>
      <c r="DE48" t="s">
        <v>173</v>
      </c>
      <c r="DF48" t="s">
        <v>173</v>
      </c>
      <c r="DG48" t="s">
        <v>173</v>
      </c>
      <c r="DH48" t="s">
        <v>173</v>
      </c>
    </row>
    <row r="49" spans="1:112">
      <c r="A49">
        <v>47</v>
      </c>
      <c r="B49" t="s">
        <v>313</v>
      </c>
      <c r="C49" t="s">
        <v>314</v>
      </c>
      <c r="D49">
        <v>2025</v>
      </c>
      <c r="E49" t="s">
        <v>311</v>
      </c>
      <c r="F49" t="s">
        <v>315</v>
      </c>
      <c r="G49" t="s">
        <v>172</v>
      </c>
      <c r="H49" t="s">
        <v>173</v>
      </c>
      <c r="I49" t="s">
        <v>174</v>
      </c>
      <c r="J49" t="s">
        <v>173</v>
      </c>
      <c r="K49" t="s">
        <v>173</v>
      </c>
      <c r="L49" t="s">
        <v>173</v>
      </c>
      <c r="M49" t="s">
        <v>173</v>
      </c>
      <c r="N49" t="s">
        <v>173</v>
      </c>
      <c r="O49" t="s">
        <v>173</v>
      </c>
      <c r="P49" t="s">
        <v>173</v>
      </c>
      <c r="Q49" t="s">
        <v>173</v>
      </c>
      <c r="R49" t="s">
        <v>173</v>
      </c>
      <c r="S49" t="s">
        <v>173</v>
      </c>
      <c r="T49" t="s">
        <v>173</v>
      </c>
      <c r="U49" t="s">
        <v>173</v>
      </c>
      <c r="V49" t="s">
        <v>173</v>
      </c>
      <c r="W49" t="s">
        <v>173</v>
      </c>
      <c r="X49" t="s">
        <v>173</v>
      </c>
      <c r="Y49" t="s">
        <v>173</v>
      </c>
      <c r="Z49" t="s">
        <v>173</v>
      </c>
      <c r="AA49" t="s">
        <v>173</v>
      </c>
      <c r="AB49" t="s">
        <v>173</v>
      </c>
      <c r="AC49" t="s">
        <v>173</v>
      </c>
      <c r="AD49" t="s">
        <v>173</v>
      </c>
      <c r="AE49" t="s">
        <v>173</v>
      </c>
      <c r="AF49" t="s">
        <v>173</v>
      </c>
      <c r="AG49" t="s">
        <v>173</v>
      </c>
      <c r="AH49" t="s">
        <v>173</v>
      </c>
      <c r="AI49" t="s">
        <v>173</v>
      </c>
      <c r="AJ49" t="s">
        <v>173</v>
      </c>
      <c r="AK49" t="s">
        <v>173</v>
      </c>
      <c r="AL49" t="s">
        <v>173</v>
      </c>
      <c r="AM49" t="s">
        <v>173</v>
      </c>
      <c r="AN49" t="s">
        <v>173</v>
      </c>
      <c r="AO49" t="s">
        <v>173</v>
      </c>
      <c r="AP49" t="s">
        <v>173</v>
      </c>
      <c r="AQ49" t="s">
        <v>173</v>
      </c>
      <c r="AR49" t="s">
        <v>173</v>
      </c>
      <c r="AS49" t="s">
        <v>173</v>
      </c>
      <c r="AT49" t="s">
        <v>173</v>
      </c>
      <c r="AU49" t="s">
        <v>173</v>
      </c>
      <c r="AV49" t="s">
        <v>173</v>
      </c>
      <c r="AW49" t="s">
        <v>173</v>
      </c>
      <c r="AX49" t="s">
        <v>173</v>
      </c>
      <c r="AY49" t="s">
        <v>173</v>
      </c>
      <c r="AZ49" t="s">
        <v>173</v>
      </c>
      <c r="BA49" t="s">
        <v>173</v>
      </c>
      <c r="BB49" t="s">
        <v>173</v>
      </c>
      <c r="BC49" t="s">
        <v>173</v>
      </c>
      <c r="BD49" t="s">
        <v>173</v>
      </c>
      <c r="BE49" t="s">
        <v>173</v>
      </c>
      <c r="BF49" t="s">
        <v>173</v>
      </c>
      <c r="BG49" t="s">
        <v>173</v>
      </c>
      <c r="BH49" t="s">
        <v>173</v>
      </c>
      <c r="BI49" t="s">
        <v>173</v>
      </c>
      <c r="BJ49" t="s">
        <v>173</v>
      </c>
      <c r="BK49" t="s">
        <v>173</v>
      </c>
      <c r="BL49" t="s">
        <v>173</v>
      </c>
      <c r="BM49" t="s">
        <v>173</v>
      </c>
      <c r="BN49" t="s">
        <v>173</v>
      </c>
      <c r="BO49" t="s">
        <v>173</v>
      </c>
      <c r="BP49" t="s">
        <v>173</v>
      </c>
      <c r="BQ49" t="s">
        <v>173</v>
      </c>
      <c r="BR49" t="s">
        <v>173</v>
      </c>
      <c r="BS49" t="s">
        <v>173</v>
      </c>
      <c r="BT49" t="s">
        <v>173</v>
      </c>
      <c r="BU49" t="s">
        <v>173</v>
      </c>
      <c r="BV49" t="s">
        <v>173</v>
      </c>
      <c r="BX49" t="s">
        <v>173</v>
      </c>
      <c r="BY49" t="s">
        <v>173</v>
      </c>
      <c r="BZ49" t="s">
        <v>173</v>
      </c>
      <c r="CA49" t="s">
        <v>173</v>
      </c>
      <c r="CB49" t="s">
        <v>173</v>
      </c>
      <c r="CC49" t="s">
        <v>173</v>
      </c>
      <c r="CD49" t="s">
        <v>173</v>
      </c>
      <c r="CE49" t="s">
        <v>173</v>
      </c>
      <c r="CF49" t="s">
        <v>173</v>
      </c>
      <c r="CG49" t="s">
        <v>173</v>
      </c>
      <c r="CH49" t="s">
        <v>173</v>
      </c>
      <c r="CI49" t="s">
        <v>173</v>
      </c>
      <c r="CJ49" t="s">
        <v>173</v>
      </c>
      <c r="CK49" t="s">
        <v>173</v>
      </c>
      <c r="CL49" t="s">
        <v>173</v>
      </c>
      <c r="CM49" t="s">
        <v>173</v>
      </c>
      <c r="CN49" t="s">
        <v>173</v>
      </c>
      <c r="CO49" t="s">
        <v>173</v>
      </c>
      <c r="CP49" t="s">
        <v>173</v>
      </c>
      <c r="CQ49" t="s">
        <v>173</v>
      </c>
      <c r="CR49" t="s">
        <v>173</v>
      </c>
      <c r="CS49" t="s">
        <v>173</v>
      </c>
      <c r="CT49" t="s">
        <v>173</v>
      </c>
      <c r="CU49" t="s">
        <v>173</v>
      </c>
      <c r="CV49" t="s">
        <v>173</v>
      </c>
      <c r="CW49" t="s">
        <v>173</v>
      </c>
      <c r="CX49" t="s">
        <v>173</v>
      </c>
      <c r="CY49" t="s">
        <v>173</v>
      </c>
      <c r="CZ49" t="s">
        <v>173</v>
      </c>
      <c r="DA49" t="s">
        <v>173</v>
      </c>
      <c r="DB49" t="s">
        <v>173</v>
      </c>
      <c r="DC49" t="s">
        <v>173</v>
      </c>
      <c r="DD49" t="s">
        <v>173</v>
      </c>
      <c r="DE49" t="s">
        <v>173</v>
      </c>
      <c r="DF49" t="s">
        <v>173</v>
      </c>
      <c r="DG49" t="s">
        <v>173</v>
      </c>
      <c r="DH49" t="s">
        <v>173</v>
      </c>
    </row>
    <row r="50" spans="1:112">
      <c r="A50">
        <v>48</v>
      </c>
      <c r="B50" t="s">
        <v>316</v>
      </c>
      <c r="C50" t="s">
        <v>317</v>
      </c>
      <c r="D50">
        <v>2025</v>
      </c>
      <c r="E50" t="s">
        <v>318</v>
      </c>
      <c r="F50" t="s">
        <v>319</v>
      </c>
      <c r="G50" t="s">
        <v>172</v>
      </c>
      <c r="H50" t="s">
        <v>173</v>
      </c>
      <c r="I50" t="s">
        <v>174</v>
      </c>
      <c r="J50" t="s">
        <v>173</v>
      </c>
      <c r="K50" t="s">
        <v>173</v>
      </c>
      <c r="L50" t="s">
        <v>173</v>
      </c>
      <c r="M50" t="s">
        <v>173</v>
      </c>
      <c r="N50" t="s">
        <v>173</v>
      </c>
      <c r="O50" t="s">
        <v>173</v>
      </c>
      <c r="P50" t="s">
        <v>173</v>
      </c>
      <c r="Q50" t="s">
        <v>173</v>
      </c>
      <c r="R50" t="s">
        <v>173</v>
      </c>
      <c r="S50" t="s">
        <v>173</v>
      </c>
      <c r="T50" t="s">
        <v>173</v>
      </c>
      <c r="U50" t="s">
        <v>173</v>
      </c>
      <c r="V50" t="s">
        <v>173</v>
      </c>
      <c r="W50" t="s">
        <v>173</v>
      </c>
      <c r="X50" t="s">
        <v>173</v>
      </c>
      <c r="Y50" t="s">
        <v>173</v>
      </c>
      <c r="Z50" t="s">
        <v>173</v>
      </c>
      <c r="AA50" t="s">
        <v>173</v>
      </c>
      <c r="AB50" t="s">
        <v>173</v>
      </c>
      <c r="AC50" t="s">
        <v>173</v>
      </c>
      <c r="AD50" t="s">
        <v>173</v>
      </c>
      <c r="AE50" t="s">
        <v>173</v>
      </c>
      <c r="AF50" t="s">
        <v>173</v>
      </c>
      <c r="AG50" t="s">
        <v>173</v>
      </c>
      <c r="AH50" t="s">
        <v>173</v>
      </c>
      <c r="AI50" t="s">
        <v>173</v>
      </c>
      <c r="AJ50" t="s">
        <v>173</v>
      </c>
      <c r="AK50" t="s">
        <v>173</v>
      </c>
      <c r="AL50" t="s">
        <v>173</v>
      </c>
      <c r="AM50" t="s">
        <v>173</v>
      </c>
      <c r="AN50" t="s">
        <v>173</v>
      </c>
      <c r="AO50" t="s">
        <v>173</v>
      </c>
      <c r="AP50" t="s">
        <v>173</v>
      </c>
      <c r="AQ50" t="s">
        <v>173</v>
      </c>
      <c r="AR50" t="s">
        <v>173</v>
      </c>
      <c r="AS50" t="s">
        <v>173</v>
      </c>
      <c r="AT50" t="s">
        <v>173</v>
      </c>
      <c r="AU50" t="s">
        <v>173</v>
      </c>
      <c r="AV50" t="s">
        <v>173</v>
      </c>
      <c r="AW50" t="s">
        <v>173</v>
      </c>
      <c r="AX50" t="s">
        <v>173</v>
      </c>
      <c r="AY50" t="s">
        <v>173</v>
      </c>
      <c r="AZ50" t="s">
        <v>173</v>
      </c>
      <c r="BA50" t="s">
        <v>173</v>
      </c>
      <c r="BB50" t="s">
        <v>173</v>
      </c>
      <c r="BC50" t="s">
        <v>173</v>
      </c>
      <c r="BD50" t="s">
        <v>173</v>
      </c>
      <c r="BE50" t="s">
        <v>173</v>
      </c>
      <c r="BF50" t="s">
        <v>173</v>
      </c>
      <c r="BG50" t="s">
        <v>173</v>
      </c>
      <c r="BH50" t="s">
        <v>173</v>
      </c>
      <c r="BI50" t="s">
        <v>173</v>
      </c>
      <c r="BJ50" t="s">
        <v>173</v>
      </c>
      <c r="BK50" t="s">
        <v>173</v>
      </c>
      <c r="BL50" t="s">
        <v>173</v>
      </c>
      <c r="BM50" t="s">
        <v>173</v>
      </c>
      <c r="BN50" t="s">
        <v>173</v>
      </c>
      <c r="BO50" t="s">
        <v>173</v>
      </c>
      <c r="BP50" t="s">
        <v>173</v>
      </c>
      <c r="BQ50" t="s">
        <v>173</v>
      </c>
      <c r="BR50" t="s">
        <v>173</v>
      </c>
      <c r="BS50" t="s">
        <v>173</v>
      </c>
      <c r="BT50" t="s">
        <v>173</v>
      </c>
      <c r="BU50" t="s">
        <v>173</v>
      </c>
      <c r="BV50" t="s">
        <v>173</v>
      </c>
      <c r="BX50" t="s">
        <v>173</v>
      </c>
      <c r="BY50" t="s">
        <v>173</v>
      </c>
      <c r="BZ50" t="s">
        <v>173</v>
      </c>
      <c r="CA50" t="s">
        <v>173</v>
      </c>
      <c r="CB50" t="s">
        <v>173</v>
      </c>
      <c r="CC50" t="s">
        <v>173</v>
      </c>
      <c r="CD50" t="s">
        <v>173</v>
      </c>
      <c r="CE50" t="s">
        <v>173</v>
      </c>
      <c r="CF50" t="s">
        <v>173</v>
      </c>
      <c r="CG50" t="s">
        <v>173</v>
      </c>
      <c r="CH50" t="s">
        <v>173</v>
      </c>
      <c r="CI50" t="s">
        <v>173</v>
      </c>
      <c r="CJ50" t="s">
        <v>173</v>
      </c>
      <c r="CK50" t="s">
        <v>173</v>
      </c>
      <c r="CL50" t="s">
        <v>173</v>
      </c>
      <c r="CM50" t="s">
        <v>173</v>
      </c>
      <c r="CN50" t="s">
        <v>173</v>
      </c>
      <c r="CO50" t="s">
        <v>173</v>
      </c>
      <c r="CP50" t="s">
        <v>173</v>
      </c>
      <c r="CQ50" t="s">
        <v>173</v>
      </c>
      <c r="CR50" t="s">
        <v>173</v>
      </c>
      <c r="CS50" t="s">
        <v>173</v>
      </c>
      <c r="CT50" t="s">
        <v>173</v>
      </c>
      <c r="CU50" t="s">
        <v>173</v>
      </c>
      <c r="CV50" t="s">
        <v>173</v>
      </c>
      <c r="CW50" t="s">
        <v>173</v>
      </c>
      <c r="CX50" t="s">
        <v>173</v>
      </c>
      <c r="CY50" t="s">
        <v>173</v>
      </c>
      <c r="CZ50" t="s">
        <v>173</v>
      </c>
      <c r="DA50" t="s">
        <v>173</v>
      </c>
      <c r="DB50" t="s">
        <v>173</v>
      </c>
      <c r="DC50" t="s">
        <v>173</v>
      </c>
      <c r="DD50" t="s">
        <v>173</v>
      </c>
      <c r="DE50" t="s">
        <v>173</v>
      </c>
      <c r="DF50" t="s">
        <v>173</v>
      </c>
      <c r="DG50" t="s">
        <v>173</v>
      </c>
      <c r="DH50" t="s">
        <v>173</v>
      </c>
    </row>
    <row r="51" spans="1:112">
      <c r="A51">
        <v>49</v>
      </c>
      <c r="B51" t="s">
        <v>320</v>
      </c>
      <c r="C51" t="s">
        <v>321</v>
      </c>
      <c r="D51">
        <v>2025</v>
      </c>
      <c r="E51" t="s">
        <v>299</v>
      </c>
      <c r="F51" t="s">
        <v>322</v>
      </c>
      <c r="G51" t="s">
        <v>172</v>
      </c>
      <c r="H51" t="s">
        <v>173</v>
      </c>
      <c r="I51" t="s">
        <v>197</v>
      </c>
      <c r="J51" t="s">
        <v>173</v>
      </c>
      <c r="K51" t="s">
        <v>173</v>
      </c>
      <c r="L51" t="s">
        <v>173</v>
      </c>
      <c r="M51" t="s">
        <v>173</v>
      </c>
      <c r="N51" t="s">
        <v>173</v>
      </c>
      <c r="O51" t="s">
        <v>173</v>
      </c>
      <c r="P51" t="s">
        <v>173</v>
      </c>
      <c r="Q51" t="s">
        <v>173</v>
      </c>
      <c r="R51" t="s">
        <v>173</v>
      </c>
      <c r="S51" t="s">
        <v>173</v>
      </c>
      <c r="T51" t="s">
        <v>173</v>
      </c>
      <c r="U51" t="s">
        <v>173</v>
      </c>
      <c r="V51" t="s">
        <v>173</v>
      </c>
      <c r="W51" t="s">
        <v>173</v>
      </c>
      <c r="X51" t="s">
        <v>173</v>
      </c>
      <c r="Y51" t="s">
        <v>173</v>
      </c>
      <c r="Z51" t="s">
        <v>173</v>
      </c>
      <c r="AA51" t="s">
        <v>173</v>
      </c>
      <c r="AB51" t="s">
        <v>173</v>
      </c>
      <c r="AC51" t="s">
        <v>173</v>
      </c>
      <c r="AD51" t="s">
        <v>173</v>
      </c>
      <c r="AE51" t="s">
        <v>173</v>
      </c>
      <c r="AF51" t="s">
        <v>173</v>
      </c>
      <c r="AG51" t="s">
        <v>173</v>
      </c>
      <c r="AH51" t="s">
        <v>173</v>
      </c>
      <c r="AI51" t="s">
        <v>173</v>
      </c>
      <c r="AJ51" t="s">
        <v>173</v>
      </c>
      <c r="AK51" t="s">
        <v>173</v>
      </c>
      <c r="AL51" t="s">
        <v>173</v>
      </c>
      <c r="AM51" t="s">
        <v>173</v>
      </c>
      <c r="AN51" t="s">
        <v>173</v>
      </c>
      <c r="AO51" t="s">
        <v>173</v>
      </c>
      <c r="AP51" t="s">
        <v>173</v>
      </c>
      <c r="AQ51" t="s">
        <v>173</v>
      </c>
      <c r="AR51" t="s">
        <v>173</v>
      </c>
      <c r="AS51" t="s">
        <v>173</v>
      </c>
      <c r="AT51" t="s">
        <v>173</v>
      </c>
      <c r="AU51" t="s">
        <v>173</v>
      </c>
      <c r="AV51" t="s">
        <v>173</v>
      </c>
      <c r="AW51" t="s">
        <v>173</v>
      </c>
      <c r="AX51" t="s">
        <v>173</v>
      </c>
      <c r="AY51" t="s">
        <v>173</v>
      </c>
      <c r="AZ51" t="s">
        <v>173</v>
      </c>
      <c r="BA51" t="s">
        <v>173</v>
      </c>
      <c r="BB51" t="s">
        <v>173</v>
      </c>
      <c r="BC51" t="s">
        <v>173</v>
      </c>
      <c r="BD51" t="s">
        <v>173</v>
      </c>
      <c r="BE51" t="s">
        <v>173</v>
      </c>
      <c r="BF51" t="s">
        <v>173</v>
      </c>
      <c r="BG51" t="s">
        <v>173</v>
      </c>
      <c r="BH51" t="s">
        <v>173</v>
      </c>
      <c r="BI51" t="s">
        <v>173</v>
      </c>
      <c r="BJ51" t="s">
        <v>173</v>
      </c>
      <c r="BK51" t="s">
        <v>173</v>
      </c>
      <c r="BL51" t="s">
        <v>173</v>
      </c>
      <c r="BM51" t="s">
        <v>173</v>
      </c>
      <c r="BN51" t="s">
        <v>173</v>
      </c>
      <c r="BO51" t="s">
        <v>173</v>
      </c>
      <c r="BP51" t="s">
        <v>173</v>
      </c>
      <c r="BQ51" t="s">
        <v>173</v>
      </c>
      <c r="BR51" t="s">
        <v>173</v>
      </c>
      <c r="BS51" t="s">
        <v>173</v>
      </c>
      <c r="BT51" t="s">
        <v>173</v>
      </c>
      <c r="BU51" t="s">
        <v>173</v>
      </c>
      <c r="BV51" t="s">
        <v>173</v>
      </c>
      <c r="BX51" t="s">
        <v>173</v>
      </c>
      <c r="BY51" t="s">
        <v>173</v>
      </c>
      <c r="BZ51" t="s">
        <v>173</v>
      </c>
      <c r="CA51" t="s">
        <v>173</v>
      </c>
      <c r="CB51" t="s">
        <v>173</v>
      </c>
      <c r="CC51" t="s">
        <v>173</v>
      </c>
      <c r="CD51" t="s">
        <v>173</v>
      </c>
      <c r="CE51" t="s">
        <v>173</v>
      </c>
      <c r="CF51" t="s">
        <v>173</v>
      </c>
      <c r="CG51" t="s">
        <v>173</v>
      </c>
      <c r="CH51" t="s">
        <v>173</v>
      </c>
      <c r="CI51" t="s">
        <v>173</v>
      </c>
      <c r="CJ51" t="s">
        <v>173</v>
      </c>
      <c r="CK51" t="s">
        <v>173</v>
      </c>
      <c r="CL51" t="s">
        <v>173</v>
      </c>
      <c r="CM51" t="s">
        <v>173</v>
      </c>
      <c r="CN51" t="s">
        <v>173</v>
      </c>
      <c r="CO51" t="s">
        <v>173</v>
      </c>
      <c r="CP51" t="s">
        <v>173</v>
      </c>
      <c r="CQ51" t="s">
        <v>173</v>
      </c>
      <c r="CR51" t="s">
        <v>173</v>
      </c>
      <c r="CS51" t="s">
        <v>173</v>
      </c>
      <c r="CT51" t="s">
        <v>173</v>
      </c>
      <c r="CU51" t="s">
        <v>173</v>
      </c>
      <c r="CV51" t="s">
        <v>173</v>
      </c>
      <c r="CW51" t="s">
        <v>173</v>
      </c>
      <c r="CX51" t="s">
        <v>173</v>
      </c>
      <c r="CY51" t="s">
        <v>173</v>
      </c>
      <c r="CZ51" t="s">
        <v>173</v>
      </c>
      <c r="DA51" t="s">
        <v>173</v>
      </c>
      <c r="DB51" t="s">
        <v>173</v>
      </c>
      <c r="DC51" t="s">
        <v>173</v>
      </c>
      <c r="DD51" t="s">
        <v>173</v>
      </c>
      <c r="DE51" t="s">
        <v>173</v>
      </c>
      <c r="DF51" t="s">
        <v>173</v>
      </c>
      <c r="DG51" t="s">
        <v>173</v>
      </c>
      <c r="DH51" t="s">
        <v>173</v>
      </c>
    </row>
    <row r="52" spans="1:112">
      <c r="A52">
        <v>49</v>
      </c>
      <c r="B52" t="s">
        <v>320</v>
      </c>
      <c r="C52" t="s">
        <v>321</v>
      </c>
      <c r="D52">
        <v>2025</v>
      </c>
      <c r="E52" t="s">
        <v>299</v>
      </c>
      <c r="F52" t="s">
        <v>322</v>
      </c>
      <c r="G52" t="s">
        <v>172</v>
      </c>
      <c r="H52" t="s">
        <v>173</v>
      </c>
      <c r="I52" t="s">
        <v>197</v>
      </c>
      <c r="J52" t="s">
        <v>173</v>
      </c>
      <c r="K52" t="s">
        <v>173</v>
      </c>
      <c r="L52" t="s">
        <v>173</v>
      </c>
      <c r="M52" t="s">
        <v>173</v>
      </c>
      <c r="N52" t="s">
        <v>173</v>
      </c>
      <c r="O52" t="s">
        <v>173</v>
      </c>
      <c r="P52" t="s">
        <v>173</v>
      </c>
      <c r="Q52" t="s">
        <v>173</v>
      </c>
      <c r="R52" t="s">
        <v>173</v>
      </c>
      <c r="S52" t="s">
        <v>173</v>
      </c>
      <c r="T52" t="s">
        <v>173</v>
      </c>
      <c r="U52" t="s">
        <v>173</v>
      </c>
      <c r="V52" t="s">
        <v>173</v>
      </c>
      <c r="W52" t="s">
        <v>173</v>
      </c>
      <c r="X52" t="s">
        <v>173</v>
      </c>
      <c r="Y52" t="s">
        <v>173</v>
      </c>
      <c r="Z52" t="s">
        <v>173</v>
      </c>
      <c r="AA52" t="s">
        <v>173</v>
      </c>
      <c r="AB52" t="s">
        <v>173</v>
      </c>
      <c r="AC52" t="s">
        <v>173</v>
      </c>
      <c r="AD52" t="s">
        <v>173</v>
      </c>
      <c r="AE52" t="s">
        <v>173</v>
      </c>
      <c r="AF52" t="s">
        <v>173</v>
      </c>
      <c r="AG52" t="s">
        <v>173</v>
      </c>
      <c r="AH52" t="s">
        <v>173</v>
      </c>
      <c r="AI52" t="s">
        <v>173</v>
      </c>
      <c r="AJ52" t="s">
        <v>173</v>
      </c>
      <c r="AK52" t="s">
        <v>173</v>
      </c>
      <c r="AL52" t="s">
        <v>173</v>
      </c>
      <c r="AM52" t="s">
        <v>173</v>
      </c>
      <c r="AN52" t="s">
        <v>173</v>
      </c>
      <c r="AO52" t="s">
        <v>173</v>
      </c>
      <c r="AP52" t="s">
        <v>173</v>
      </c>
      <c r="AQ52" t="s">
        <v>173</v>
      </c>
      <c r="AR52" t="s">
        <v>173</v>
      </c>
      <c r="AS52" t="s">
        <v>173</v>
      </c>
      <c r="AT52" t="s">
        <v>173</v>
      </c>
      <c r="AU52" t="s">
        <v>173</v>
      </c>
      <c r="AV52" t="s">
        <v>173</v>
      </c>
      <c r="AW52" t="s">
        <v>173</v>
      </c>
      <c r="AX52" t="s">
        <v>173</v>
      </c>
      <c r="AY52" t="s">
        <v>173</v>
      </c>
      <c r="AZ52" t="s">
        <v>173</v>
      </c>
      <c r="BA52" t="s">
        <v>173</v>
      </c>
      <c r="BB52" t="s">
        <v>173</v>
      </c>
      <c r="BC52" t="s">
        <v>173</v>
      </c>
      <c r="BD52" t="s">
        <v>173</v>
      </c>
      <c r="BE52" t="s">
        <v>173</v>
      </c>
      <c r="BF52" t="s">
        <v>173</v>
      </c>
      <c r="BG52" t="s">
        <v>173</v>
      </c>
      <c r="BH52" t="s">
        <v>173</v>
      </c>
      <c r="BI52" t="s">
        <v>173</v>
      </c>
      <c r="BJ52" t="s">
        <v>173</v>
      </c>
      <c r="BK52" t="s">
        <v>173</v>
      </c>
      <c r="BL52" t="s">
        <v>173</v>
      </c>
      <c r="BM52" t="s">
        <v>173</v>
      </c>
      <c r="BN52" t="s">
        <v>173</v>
      </c>
      <c r="BO52" t="s">
        <v>173</v>
      </c>
      <c r="BP52" t="s">
        <v>173</v>
      </c>
      <c r="BQ52" t="s">
        <v>173</v>
      </c>
      <c r="BR52" t="s">
        <v>173</v>
      </c>
      <c r="BS52" t="s">
        <v>173</v>
      </c>
      <c r="BT52" t="s">
        <v>173</v>
      </c>
      <c r="BU52" t="s">
        <v>173</v>
      </c>
      <c r="BV52" t="s">
        <v>173</v>
      </c>
      <c r="BX52" t="s">
        <v>173</v>
      </c>
      <c r="BY52" t="s">
        <v>173</v>
      </c>
      <c r="BZ52" t="s">
        <v>173</v>
      </c>
      <c r="CA52" t="s">
        <v>173</v>
      </c>
      <c r="CB52" t="s">
        <v>173</v>
      </c>
      <c r="CC52" t="s">
        <v>173</v>
      </c>
      <c r="CD52" t="s">
        <v>173</v>
      </c>
      <c r="CE52" t="s">
        <v>173</v>
      </c>
      <c r="CF52" t="s">
        <v>173</v>
      </c>
      <c r="CG52" t="s">
        <v>173</v>
      </c>
      <c r="CH52" t="s">
        <v>173</v>
      </c>
      <c r="CI52" t="s">
        <v>173</v>
      </c>
      <c r="CJ52" t="s">
        <v>173</v>
      </c>
      <c r="CK52" t="s">
        <v>173</v>
      </c>
      <c r="CL52" t="s">
        <v>173</v>
      </c>
      <c r="CM52" t="s">
        <v>173</v>
      </c>
      <c r="CN52" t="s">
        <v>173</v>
      </c>
      <c r="CO52" t="s">
        <v>173</v>
      </c>
      <c r="CP52" t="s">
        <v>173</v>
      </c>
      <c r="CQ52" t="s">
        <v>173</v>
      </c>
      <c r="CR52" t="s">
        <v>173</v>
      </c>
      <c r="CS52" t="s">
        <v>173</v>
      </c>
      <c r="CT52" t="s">
        <v>173</v>
      </c>
      <c r="CU52" t="s">
        <v>173</v>
      </c>
      <c r="CV52" t="s">
        <v>173</v>
      </c>
      <c r="CW52" t="s">
        <v>173</v>
      </c>
      <c r="CX52" t="s">
        <v>173</v>
      </c>
      <c r="CY52" t="s">
        <v>173</v>
      </c>
      <c r="CZ52" t="s">
        <v>173</v>
      </c>
      <c r="DA52" t="s">
        <v>173</v>
      </c>
      <c r="DB52" t="s">
        <v>173</v>
      </c>
      <c r="DC52" t="s">
        <v>173</v>
      </c>
      <c r="DD52" t="s">
        <v>173</v>
      </c>
      <c r="DE52" t="s">
        <v>173</v>
      </c>
      <c r="DF52" t="s">
        <v>173</v>
      </c>
      <c r="DG52" t="s">
        <v>173</v>
      </c>
      <c r="DH52" t="s">
        <v>173</v>
      </c>
    </row>
    <row r="53" spans="1:112">
      <c r="A53">
        <v>49</v>
      </c>
      <c r="B53" t="s">
        <v>320</v>
      </c>
      <c r="C53" t="s">
        <v>321</v>
      </c>
      <c r="D53">
        <v>2025</v>
      </c>
      <c r="E53" t="s">
        <v>299</v>
      </c>
      <c r="F53" t="s">
        <v>322</v>
      </c>
      <c r="G53" t="s">
        <v>172</v>
      </c>
      <c r="H53" t="s">
        <v>173</v>
      </c>
      <c r="I53" t="s">
        <v>197</v>
      </c>
      <c r="J53" t="s">
        <v>173</v>
      </c>
      <c r="K53" t="s">
        <v>173</v>
      </c>
      <c r="L53" t="s">
        <v>173</v>
      </c>
      <c r="M53" t="s">
        <v>173</v>
      </c>
      <c r="N53" t="s">
        <v>173</v>
      </c>
      <c r="O53" t="s">
        <v>173</v>
      </c>
      <c r="P53" t="s">
        <v>173</v>
      </c>
      <c r="Q53" t="s">
        <v>173</v>
      </c>
      <c r="R53" t="s">
        <v>173</v>
      </c>
      <c r="S53" t="s">
        <v>173</v>
      </c>
      <c r="T53" t="s">
        <v>173</v>
      </c>
      <c r="U53" t="s">
        <v>173</v>
      </c>
      <c r="V53" t="s">
        <v>173</v>
      </c>
      <c r="W53" t="s">
        <v>173</v>
      </c>
      <c r="X53" t="s">
        <v>173</v>
      </c>
      <c r="Y53" t="s">
        <v>173</v>
      </c>
      <c r="Z53" t="s">
        <v>173</v>
      </c>
      <c r="AA53" t="s">
        <v>173</v>
      </c>
      <c r="AB53" t="s">
        <v>173</v>
      </c>
      <c r="AC53" t="s">
        <v>173</v>
      </c>
      <c r="AD53" t="s">
        <v>173</v>
      </c>
      <c r="AE53" t="s">
        <v>173</v>
      </c>
      <c r="AF53" t="s">
        <v>173</v>
      </c>
      <c r="AG53" t="s">
        <v>173</v>
      </c>
      <c r="AH53" t="s">
        <v>173</v>
      </c>
      <c r="AI53" t="s">
        <v>173</v>
      </c>
      <c r="AJ53" t="s">
        <v>173</v>
      </c>
      <c r="AK53" t="s">
        <v>173</v>
      </c>
      <c r="AL53" t="s">
        <v>173</v>
      </c>
      <c r="AM53" t="s">
        <v>173</v>
      </c>
      <c r="AN53" t="s">
        <v>173</v>
      </c>
      <c r="AO53" t="s">
        <v>173</v>
      </c>
      <c r="AP53" t="s">
        <v>173</v>
      </c>
      <c r="AQ53" t="s">
        <v>173</v>
      </c>
      <c r="AR53" t="s">
        <v>173</v>
      </c>
      <c r="AS53" t="s">
        <v>173</v>
      </c>
      <c r="AT53" t="s">
        <v>173</v>
      </c>
      <c r="AU53" t="s">
        <v>173</v>
      </c>
      <c r="AV53" t="s">
        <v>173</v>
      </c>
      <c r="AW53" t="s">
        <v>173</v>
      </c>
      <c r="AX53" t="s">
        <v>173</v>
      </c>
      <c r="AY53" t="s">
        <v>173</v>
      </c>
      <c r="AZ53" t="s">
        <v>173</v>
      </c>
      <c r="BA53" t="s">
        <v>173</v>
      </c>
      <c r="BB53" t="s">
        <v>173</v>
      </c>
      <c r="BC53" t="s">
        <v>173</v>
      </c>
      <c r="BD53" t="s">
        <v>173</v>
      </c>
      <c r="BE53" t="s">
        <v>173</v>
      </c>
      <c r="BF53" t="s">
        <v>173</v>
      </c>
      <c r="BG53" t="s">
        <v>173</v>
      </c>
      <c r="BH53" t="s">
        <v>173</v>
      </c>
      <c r="BI53" t="s">
        <v>173</v>
      </c>
      <c r="BJ53" t="s">
        <v>173</v>
      </c>
      <c r="BK53" t="s">
        <v>173</v>
      </c>
      <c r="BL53" t="s">
        <v>173</v>
      </c>
      <c r="BM53" t="s">
        <v>173</v>
      </c>
      <c r="BN53" t="s">
        <v>173</v>
      </c>
      <c r="BO53" t="s">
        <v>173</v>
      </c>
      <c r="BP53" t="s">
        <v>173</v>
      </c>
      <c r="BQ53" t="s">
        <v>173</v>
      </c>
      <c r="BR53" t="s">
        <v>173</v>
      </c>
      <c r="BS53" t="s">
        <v>173</v>
      </c>
      <c r="BT53" t="s">
        <v>173</v>
      </c>
      <c r="BU53" t="s">
        <v>173</v>
      </c>
      <c r="BV53" t="s">
        <v>173</v>
      </c>
      <c r="BX53" t="s">
        <v>173</v>
      </c>
      <c r="BY53" t="s">
        <v>173</v>
      </c>
      <c r="BZ53" t="s">
        <v>173</v>
      </c>
      <c r="CA53" t="s">
        <v>173</v>
      </c>
      <c r="CB53" t="s">
        <v>173</v>
      </c>
      <c r="CC53" t="s">
        <v>173</v>
      </c>
      <c r="CD53" t="s">
        <v>173</v>
      </c>
      <c r="CE53" t="s">
        <v>173</v>
      </c>
      <c r="CF53" t="s">
        <v>173</v>
      </c>
      <c r="CG53" t="s">
        <v>173</v>
      </c>
      <c r="CH53" t="s">
        <v>173</v>
      </c>
      <c r="CI53" t="s">
        <v>173</v>
      </c>
      <c r="CJ53" t="s">
        <v>173</v>
      </c>
      <c r="CK53" t="s">
        <v>173</v>
      </c>
      <c r="CL53" t="s">
        <v>173</v>
      </c>
      <c r="CM53" t="s">
        <v>173</v>
      </c>
      <c r="CN53" t="s">
        <v>173</v>
      </c>
      <c r="CO53" t="s">
        <v>173</v>
      </c>
      <c r="CP53" t="s">
        <v>173</v>
      </c>
      <c r="CQ53" t="s">
        <v>173</v>
      </c>
      <c r="CR53" t="s">
        <v>173</v>
      </c>
      <c r="CS53" t="s">
        <v>173</v>
      </c>
      <c r="CT53" t="s">
        <v>173</v>
      </c>
      <c r="CU53" t="s">
        <v>173</v>
      </c>
      <c r="CV53" t="s">
        <v>173</v>
      </c>
      <c r="CW53" t="s">
        <v>173</v>
      </c>
      <c r="CX53" t="s">
        <v>173</v>
      </c>
      <c r="CY53" t="s">
        <v>173</v>
      </c>
      <c r="CZ53" t="s">
        <v>173</v>
      </c>
      <c r="DA53" t="s">
        <v>173</v>
      </c>
      <c r="DB53" t="s">
        <v>173</v>
      </c>
      <c r="DC53" t="s">
        <v>173</v>
      </c>
      <c r="DD53" t="s">
        <v>173</v>
      </c>
      <c r="DE53" t="s">
        <v>173</v>
      </c>
      <c r="DF53" t="s">
        <v>173</v>
      </c>
      <c r="DG53" t="s">
        <v>173</v>
      </c>
      <c r="DH53" t="s">
        <v>173</v>
      </c>
    </row>
    <row r="54" spans="1:112">
      <c r="A54">
        <v>49</v>
      </c>
      <c r="B54" t="s">
        <v>320</v>
      </c>
      <c r="C54" t="s">
        <v>321</v>
      </c>
      <c r="D54">
        <v>2025</v>
      </c>
      <c r="E54" t="s">
        <v>299</v>
      </c>
      <c r="F54" t="s">
        <v>322</v>
      </c>
      <c r="G54" t="s">
        <v>172</v>
      </c>
      <c r="H54" t="s">
        <v>173</v>
      </c>
      <c r="I54" t="s">
        <v>197</v>
      </c>
      <c r="J54" t="s">
        <v>173</v>
      </c>
      <c r="K54" t="s">
        <v>173</v>
      </c>
      <c r="L54" t="s">
        <v>173</v>
      </c>
      <c r="M54" t="s">
        <v>173</v>
      </c>
      <c r="N54" t="s">
        <v>173</v>
      </c>
      <c r="O54" t="s">
        <v>173</v>
      </c>
      <c r="P54" t="s">
        <v>173</v>
      </c>
      <c r="Q54" t="s">
        <v>173</v>
      </c>
      <c r="R54" t="s">
        <v>173</v>
      </c>
      <c r="S54" t="s">
        <v>173</v>
      </c>
      <c r="T54" t="s">
        <v>173</v>
      </c>
      <c r="U54" t="s">
        <v>173</v>
      </c>
      <c r="V54" t="s">
        <v>173</v>
      </c>
      <c r="W54" t="s">
        <v>173</v>
      </c>
      <c r="X54" t="s">
        <v>173</v>
      </c>
      <c r="Y54" t="s">
        <v>173</v>
      </c>
      <c r="Z54" t="s">
        <v>173</v>
      </c>
      <c r="AA54" t="s">
        <v>173</v>
      </c>
      <c r="AB54" t="s">
        <v>173</v>
      </c>
      <c r="AC54" t="s">
        <v>173</v>
      </c>
      <c r="AD54" t="s">
        <v>173</v>
      </c>
      <c r="AE54" t="s">
        <v>173</v>
      </c>
      <c r="AF54" t="s">
        <v>173</v>
      </c>
      <c r="AG54" t="s">
        <v>173</v>
      </c>
      <c r="AH54" t="s">
        <v>173</v>
      </c>
      <c r="AI54" t="s">
        <v>173</v>
      </c>
      <c r="AJ54" t="s">
        <v>173</v>
      </c>
      <c r="AK54" t="s">
        <v>173</v>
      </c>
      <c r="AL54" t="s">
        <v>173</v>
      </c>
      <c r="AM54" t="s">
        <v>173</v>
      </c>
      <c r="AN54" t="s">
        <v>173</v>
      </c>
      <c r="AO54" t="s">
        <v>173</v>
      </c>
      <c r="AP54" t="s">
        <v>173</v>
      </c>
      <c r="AQ54" t="s">
        <v>173</v>
      </c>
      <c r="AR54" t="s">
        <v>173</v>
      </c>
      <c r="AS54" t="s">
        <v>173</v>
      </c>
      <c r="AT54" t="s">
        <v>173</v>
      </c>
      <c r="AU54" t="s">
        <v>173</v>
      </c>
      <c r="AV54" t="s">
        <v>173</v>
      </c>
      <c r="AW54" t="s">
        <v>173</v>
      </c>
      <c r="AX54" t="s">
        <v>173</v>
      </c>
      <c r="AY54" t="s">
        <v>173</v>
      </c>
      <c r="AZ54" t="s">
        <v>173</v>
      </c>
      <c r="BA54" t="s">
        <v>173</v>
      </c>
      <c r="BB54" t="s">
        <v>173</v>
      </c>
      <c r="BC54" t="s">
        <v>173</v>
      </c>
      <c r="BD54" t="s">
        <v>173</v>
      </c>
      <c r="BE54" t="s">
        <v>173</v>
      </c>
      <c r="BF54" t="s">
        <v>173</v>
      </c>
      <c r="BG54" t="s">
        <v>173</v>
      </c>
      <c r="BH54" t="s">
        <v>173</v>
      </c>
      <c r="BI54" t="s">
        <v>173</v>
      </c>
      <c r="BJ54" t="s">
        <v>173</v>
      </c>
      <c r="BK54" t="s">
        <v>173</v>
      </c>
      <c r="BL54" t="s">
        <v>173</v>
      </c>
      <c r="BM54" t="s">
        <v>173</v>
      </c>
      <c r="BN54" t="s">
        <v>173</v>
      </c>
      <c r="BO54" t="s">
        <v>173</v>
      </c>
      <c r="BP54" t="s">
        <v>173</v>
      </c>
      <c r="BQ54" t="s">
        <v>173</v>
      </c>
      <c r="BR54" t="s">
        <v>173</v>
      </c>
      <c r="BS54" t="s">
        <v>173</v>
      </c>
      <c r="BT54" t="s">
        <v>173</v>
      </c>
      <c r="BU54" t="s">
        <v>173</v>
      </c>
      <c r="BV54" t="s">
        <v>173</v>
      </c>
      <c r="BX54" t="s">
        <v>173</v>
      </c>
      <c r="BY54" t="s">
        <v>173</v>
      </c>
      <c r="BZ54" t="s">
        <v>173</v>
      </c>
      <c r="CA54" t="s">
        <v>173</v>
      </c>
      <c r="CB54" t="s">
        <v>173</v>
      </c>
      <c r="CC54" t="s">
        <v>173</v>
      </c>
      <c r="CD54" t="s">
        <v>173</v>
      </c>
      <c r="CE54" t="s">
        <v>173</v>
      </c>
      <c r="CF54" t="s">
        <v>173</v>
      </c>
      <c r="CG54" t="s">
        <v>173</v>
      </c>
      <c r="CH54" t="s">
        <v>173</v>
      </c>
      <c r="CI54" t="s">
        <v>173</v>
      </c>
      <c r="CJ54" t="s">
        <v>173</v>
      </c>
      <c r="CK54" t="s">
        <v>173</v>
      </c>
      <c r="CL54" t="s">
        <v>173</v>
      </c>
      <c r="CM54" t="s">
        <v>173</v>
      </c>
      <c r="CN54" t="s">
        <v>173</v>
      </c>
      <c r="CO54" t="s">
        <v>173</v>
      </c>
      <c r="CP54" t="s">
        <v>173</v>
      </c>
      <c r="CQ54" t="s">
        <v>173</v>
      </c>
      <c r="CR54" t="s">
        <v>173</v>
      </c>
      <c r="CS54" t="s">
        <v>173</v>
      </c>
      <c r="CT54" t="s">
        <v>173</v>
      </c>
      <c r="CU54" t="s">
        <v>173</v>
      </c>
      <c r="CV54" t="s">
        <v>173</v>
      </c>
      <c r="CW54" t="s">
        <v>173</v>
      </c>
      <c r="CX54" t="s">
        <v>173</v>
      </c>
      <c r="CY54" t="s">
        <v>173</v>
      </c>
      <c r="CZ54" t="s">
        <v>173</v>
      </c>
      <c r="DA54" t="s">
        <v>173</v>
      </c>
      <c r="DB54" t="s">
        <v>173</v>
      </c>
      <c r="DC54" t="s">
        <v>173</v>
      </c>
      <c r="DD54" t="s">
        <v>173</v>
      </c>
      <c r="DE54" t="s">
        <v>173</v>
      </c>
      <c r="DF54" t="s">
        <v>173</v>
      </c>
      <c r="DG54" t="s">
        <v>173</v>
      </c>
      <c r="DH54" t="s">
        <v>173</v>
      </c>
    </row>
    <row r="55" spans="1:112">
      <c r="A55">
        <v>49</v>
      </c>
      <c r="B55" t="s">
        <v>320</v>
      </c>
      <c r="C55" t="s">
        <v>321</v>
      </c>
      <c r="D55">
        <v>2025</v>
      </c>
      <c r="E55" t="s">
        <v>299</v>
      </c>
      <c r="F55" t="s">
        <v>322</v>
      </c>
      <c r="G55" t="s">
        <v>172</v>
      </c>
      <c r="H55" t="s">
        <v>173</v>
      </c>
      <c r="I55" t="s">
        <v>197</v>
      </c>
      <c r="J55" t="s">
        <v>173</v>
      </c>
      <c r="K55" t="s">
        <v>173</v>
      </c>
      <c r="L55" t="s">
        <v>173</v>
      </c>
      <c r="M55" t="s">
        <v>173</v>
      </c>
      <c r="N55" t="s">
        <v>173</v>
      </c>
      <c r="O55" t="s">
        <v>173</v>
      </c>
      <c r="P55" t="s">
        <v>173</v>
      </c>
      <c r="Q55" t="s">
        <v>173</v>
      </c>
      <c r="R55" t="s">
        <v>173</v>
      </c>
      <c r="S55" t="s">
        <v>173</v>
      </c>
      <c r="T55" t="s">
        <v>173</v>
      </c>
      <c r="U55" t="s">
        <v>173</v>
      </c>
      <c r="V55" t="s">
        <v>173</v>
      </c>
      <c r="W55" t="s">
        <v>173</v>
      </c>
      <c r="X55" t="s">
        <v>173</v>
      </c>
      <c r="Y55" t="s">
        <v>173</v>
      </c>
      <c r="Z55" t="s">
        <v>173</v>
      </c>
      <c r="AA55" t="s">
        <v>173</v>
      </c>
      <c r="AB55" t="s">
        <v>173</v>
      </c>
      <c r="AC55" t="s">
        <v>173</v>
      </c>
      <c r="AD55" t="s">
        <v>173</v>
      </c>
      <c r="AE55" t="s">
        <v>173</v>
      </c>
      <c r="AF55" t="s">
        <v>173</v>
      </c>
      <c r="AG55" t="s">
        <v>173</v>
      </c>
      <c r="AH55" t="s">
        <v>173</v>
      </c>
      <c r="AI55" t="s">
        <v>173</v>
      </c>
      <c r="AJ55" t="s">
        <v>173</v>
      </c>
      <c r="AK55" t="s">
        <v>173</v>
      </c>
      <c r="AL55" t="s">
        <v>173</v>
      </c>
      <c r="AM55" t="s">
        <v>173</v>
      </c>
      <c r="AN55" t="s">
        <v>173</v>
      </c>
      <c r="AO55" t="s">
        <v>173</v>
      </c>
      <c r="AP55" t="s">
        <v>173</v>
      </c>
      <c r="AQ55" t="s">
        <v>173</v>
      </c>
      <c r="AR55" t="s">
        <v>173</v>
      </c>
      <c r="AS55" t="s">
        <v>173</v>
      </c>
      <c r="AT55" t="s">
        <v>173</v>
      </c>
      <c r="AU55" t="s">
        <v>173</v>
      </c>
      <c r="AV55" t="s">
        <v>173</v>
      </c>
      <c r="AW55" t="s">
        <v>173</v>
      </c>
      <c r="AX55" t="s">
        <v>173</v>
      </c>
      <c r="AY55" t="s">
        <v>173</v>
      </c>
      <c r="AZ55" t="s">
        <v>173</v>
      </c>
      <c r="BA55" t="s">
        <v>173</v>
      </c>
      <c r="BB55" t="s">
        <v>173</v>
      </c>
      <c r="BC55" t="s">
        <v>173</v>
      </c>
      <c r="BD55" t="s">
        <v>173</v>
      </c>
      <c r="BE55" t="s">
        <v>173</v>
      </c>
      <c r="BF55" t="s">
        <v>173</v>
      </c>
      <c r="BG55" t="s">
        <v>173</v>
      </c>
      <c r="BH55" t="s">
        <v>173</v>
      </c>
      <c r="BI55" t="s">
        <v>173</v>
      </c>
      <c r="BJ55" t="s">
        <v>173</v>
      </c>
      <c r="BK55" t="s">
        <v>173</v>
      </c>
      <c r="BL55" t="s">
        <v>173</v>
      </c>
      <c r="BM55" t="s">
        <v>173</v>
      </c>
      <c r="BN55" t="s">
        <v>173</v>
      </c>
      <c r="BO55" t="s">
        <v>173</v>
      </c>
      <c r="BP55" t="s">
        <v>173</v>
      </c>
      <c r="BQ55" t="s">
        <v>173</v>
      </c>
      <c r="BR55" t="s">
        <v>173</v>
      </c>
      <c r="BS55" t="s">
        <v>173</v>
      </c>
      <c r="BT55" t="s">
        <v>173</v>
      </c>
      <c r="BU55" t="s">
        <v>173</v>
      </c>
      <c r="BV55" t="s">
        <v>173</v>
      </c>
      <c r="BX55" t="s">
        <v>173</v>
      </c>
      <c r="BY55" t="s">
        <v>173</v>
      </c>
      <c r="BZ55" t="s">
        <v>173</v>
      </c>
      <c r="CA55" t="s">
        <v>173</v>
      </c>
      <c r="CB55" t="s">
        <v>173</v>
      </c>
      <c r="CC55" t="s">
        <v>173</v>
      </c>
      <c r="CD55" t="s">
        <v>173</v>
      </c>
      <c r="CE55" t="s">
        <v>173</v>
      </c>
      <c r="CF55" t="s">
        <v>173</v>
      </c>
      <c r="CG55" t="s">
        <v>173</v>
      </c>
      <c r="CH55" t="s">
        <v>173</v>
      </c>
      <c r="CI55" t="s">
        <v>173</v>
      </c>
      <c r="CJ55" t="s">
        <v>173</v>
      </c>
      <c r="CK55" t="s">
        <v>173</v>
      </c>
      <c r="CL55" t="s">
        <v>173</v>
      </c>
      <c r="CM55" t="s">
        <v>173</v>
      </c>
      <c r="CN55" t="s">
        <v>173</v>
      </c>
      <c r="CO55" t="s">
        <v>173</v>
      </c>
      <c r="CP55" t="s">
        <v>173</v>
      </c>
      <c r="CQ55" t="s">
        <v>173</v>
      </c>
      <c r="CR55" t="s">
        <v>173</v>
      </c>
      <c r="CS55" t="s">
        <v>173</v>
      </c>
      <c r="CT55" t="s">
        <v>173</v>
      </c>
      <c r="CU55" t="s">
        <v>173</v>
      </c>
      <c r="CV55" t="s">
        <v>173</v>
      </c>
      <c r="CW55" t="s">
        <v>173</v>
      </c>
      <c r="CX55" t="s">
        <v>173</v>
      </c>
      <c r="CY55" t="s">
        <v>173</v>
      </c>
      <c r="CZ55" t="s">
        <v>173</v>
      </c>
      <c r="DA55" t="s">
        <v>173</v>
      </c>
      <c r="DB55" t="s">
        <v>173</v>
      </c>
      <c r="DC55" t="s">
        <v>173</v>
      </c>
      <c r="DD55" t="s">
        <v>173</v>
      </c>
      <c r="DE55" t="s">
        <v>173</v>
      </c>
      <c r="DF55" t="s">
        <v>173</v>
      </c>
      <c r="DG55" t="s">
        <v>173</v>
      </c>
      <c r="DH55" t="s">
        <v>173</v>
      </c>
    </row>
    <row r="56" spans="1:112">
      <c r="A56">
        <v>49</v>
      </c>
      <c r="B56" t="s">
        <v>320</v>
      </c>
      <c r="C56" t="s">
        <v>321</v>
      </c>
      <c r="D56">
        <v>2025</v>
      </c>
      <c r="E56" t="s">
        <v>299</v>
      </c>
      <c r="F56" t="s">
        <v>322</v>
      </c>
      <c r="G56" t="s">
        <v>172</v>
      </c>
      <c r="H56" t="s">
        <v>173</v>
      </c>
      <c r="I56" t="s">
        <v>197</v>
      </c>
      <c r="J56" t="s">
        <v>173</v>
      </c>
      <c r="K56" t="s">
        <v>173</v>
      </c>
      <c r="L56" t="s">
        <v>173</v>
      </c>
      <c r="M56" t="s">
        <v>173</v>
      </c>
      <c r="N56" t="s">
        <v>173</v>
      </c>
      <c r="O56" t="s">
        <v>173</v>
      </c>
      <c r="P56" t="s">
        <v>173</v>
      </c>
      <c r="Q56" t="s">
        <v>173</v>
      </c>
      <c r="R56" t="s">
        <v>173</v>
      </c>
      <c r="S56" t="s">
        <v>173</v>
      </c>
      <c r="T56" t="s">
        <v>173</v>
      </c>
      <c r="U56" t="s">
        <v>173</v>
      </c>
      <c r="V56" t="s">
        <v>173</v>
      </c>
      <c r="W56" t="s">
        <v>173</v>
      </c>
      <c r="X56" t="s">
        <v>173</v>
      </c>
      <c r="Y56" t="s">
        <v>173</v>
      </c>
      <c r="Z56" t="s">
        <v>173</v>
      </c>
      <c r="AA56" t="s">
        <v>173</v>
      </c>
      <c r="AB56" t="s">
        <v>173</v>
      </c>
      <c r="AC56" t="s">
        <v>173</v>
      </c>
      <c r="AD56" t="s">
        <v>173</v>
      </c>
      <c r="AE56" t="s">
        <v>173</v>
      </c>
      <c r="AF56" t="s">
        <v>173</v>
      </c>
      <c r="AG56" t="s">
        <v>173</v>
      </c>
      <c r="AH56" t="s">
        <v>173</v>
      </c>
      <c r="AI56" t="s">
        <v>173</v>
      </c>
      <c r="AJ56" t="s">
        <v>173</v>
      </c>
      <c r="AK56" t="s">
        <v>173</v>
      </c>
      <c r="AL56" t="s">
        <v>173</v>
      </c>
      <c r="AM56" t="s">
        <v>173</v>
      </c>
      <c r="AN56" t="s">
        <v>173</v>
      </c>
      <c r="AO56" t="s">
        <v>173</v>
      </c>
      <c r="AP56" t="s">
        <v>173</v>
      </c>
      <c r="AQ56" t="s">
        <v>173</v>
      </c>
      <c r="AR56" t="s">
        <v>173</v>
      </c>
      <c r="AS56" t="s">
        <v>173</v>
      </c>
      <c r="AT56" t="s">
        <v>173</v>
      </c>
      <c r="AU56" t="s">
        <v>173</v>
      </c>
      <c r="AV56" t="s">
        <v>173</v>
      </c>
      <c r="AW56" t="s">
        <v>173</v>
      </c>
      <c r="AX56" t="s">
        <v>173</v>
      </c>
      <c r="AY56" t="s">
        <v>173</v>
      </c>
      <c r="AZ56" t="s">
        <v>173</v>
      </c>
      <c r="BA56" t="s">
        <v>173</v>
      </c>
      <c r="BB56" t="s">
        <v>173</v>
      </c>
      <c r="BC56" t="s">
        <v>173</v>
      </c>
      <c r="BD56" t="s">
        <v>173</v>
      </c>
      <c r="BE56" t="s">
        <v>173</v>
      </c>
      <c r="BF56" t="s">
        <v>173</v>
      </c>
      <c r="BG56" t="s">
        <v>173</v>
      </c>
      <c r="BH56" t="s">
        <v>173</v>
      </c>
      <c r="BI56" t="s">
        <v>173</v>
      </c>
      <c r="BJ56" t="s">
        <v>173</v>
      </c>
      <c r="BK56" t="s">
        <v>173</v>
      </c>
      <c r="BL56" t="s">
        <v>173</v>
      </c>
      <c r="BM56" t="s">
        <v>173</v>
      </c>
      <c r="BN56" t="s">
        <v>173</v>
      </c>
      <c r="BO56" t="s">
        <v>173</v>
      </c>
      <c r="BP56" t="s">
        <v>173</v>
      </c>
      <c r="BQ56" t="s">
        <v>173</v>
      </c>
      <c r="BR56" t="s">
        <v>173</v>
      </c>
      <c r="BS56" t="s">
        <v>173</v>
      </c>
      <c r="BT56" t="s">
        <v>173</v>
      </c>
      <c r="BU56" t="s">
        <v>173</v>
      </c>
      <c r="BV56" t="s">
        <v>173</v>
      </c>
      <c r="BX56" t="s">
        <v>173</v>
      </c>
      <c r="BY56" t="s">
        <v>173</v>
      </c>
      <c r="BZ56" t="s">
        <v>173</v>
      </c>
      <c r="CA56" t="s">
        <v>173</v>
      </c>
      <c r="CB56" t="s">
        <v>173</v>
      </c>
      <c r="CC56" t="s">
        <v>173</v>
      </c>
      <c r="CD56" t="s">
        <v>173</v>
      </c>
      <c r="CE56" t="s">
        <v>173</v>
      </c>
      <c r="CF56" t="s">
        <v>173</v>
      </c>
      <c r="CG56" t="s">
        <v>173</v>
      </c>
      <c r="CH56" t="s">
        <v>173</v>
      </c>
      <c r="CI56" t="s">
        <v>173</v>
      </c>
      <c r="CJ56" t="s">
        <v>173</v>
      </c>
      <c r="CK56" t="s">
        <v>173</v>
      </c>
      <c r="CL56" t="s">
        <v>173</v>
      </c>
      <c r="CM56" t="s">
        <v>173</v>
      </c>
      <c r="CN56" t="s">
        <v>173</v>
      </c>
      <c r="CO56" t="s">
        <v>173</v>
      </c>
      <c r="CP56" t="s">
        <v>173</v>
      </c>
      <c r="CQ56" t="s">
        <v>173</v>
      </c>
      <c r="CR56" t="s">
        <v>173</v>
      </c>
      <c r="CS56" t="s">
        <v>173</v>
      </c>
      <c r="CT56" t="s">
        <v>173</v>
      </c>
      <c r="CU56" t="s">
        <v>173</v>
      </c>
      <c r="CV56" t="s">
        <v>173</v>
      </c>
      <c r="CW56" t="s">
        <v>173</v>
      </c>
      <c r="CX56" t="s">
        <v>173</v>
      </c>
      <c r="CY56" t="s">
        <v>173</v>
      </c>
      <c r="CZ56" t="s">
        <v>173</v>
      </c>
      <c r="DA56" t="s">
        <v>173</v>
      </c>
      <c r="DB56" t="s">
        <v>173</v>
      </c>
      <c r="DC56" t="s">
        <v>173</v>
      </c>
      <c r="DD56" t="s">
        <v>173</v>
      </c>
      <c r="DE56" t="s">
        <v>173</v>
      </c>
      <c r="DF56" t="s">
        <v>173</v>
      </c>
      <c r="DG56" t="s">
        <v>173</v>
      </c>
      <c r="DH56" t="s">
        <v>173</v>
      </c>
    </row>
    <row r="57" spans="1:112">
      <c r="A57">
        <v>50</v>
      </c>
      <c r="B57" t="s">
        <v>323</v>
      </c>
      <c r="C57" t="s">
        <v>324</v>
      </c>
      <c r="D57">
        <v>2024</v>
      </c>
      <c r="E57" t="s">
        <v>177</v>
      </c>
      <c r="F57" t="s">
        <v>325</v>
      </c>
      <c r="G57" t="s">
        <v>172</v>
      </c>
      <c r="H57" t="s">
        <v>173</v>
      </c>
      <c r="I57" t="s">
        <v>197</v>
      </c>
      <c r="J57" t="s">
        <v>173</v>
      </c>
      <c r="K57" t="s">
        <v>173</v>
      </c>
      <c r="L57" t="s">
        <v>173</v>
      </c>
      <c r="M57" t="s">
        <v>173</v>
      </c>
      <c r="N57" t="s">
        <v>173</v>
      </c>
      <c r="O57" t="s">
        <v>173</v>
      </c>
      <c r="P57" t="s">
        <v>173</v>
      </c>
      <c r="Q57" t="s">
        <v>173</v>
      </c>
      <c r="R57" t="s">
        <v>173</v>
      </c>
      <c r="S57" t="s">
        <v>173</v>
      </c>
      <c r="T57" t="s">
        <v>173</v>
      </c>
      <c r="U57" t="s">
        <v>173</v>
      </c>
      <c r="V57" t="s">
        <v>173</v>
      </c>
      <c r="W57" t="s">
        <v>173</v>
      </c>
      <c r="X57" t="s">
        <v>173</v>
      </c>
      <c r="Y57" t="s">
        <v>173</v>
      </c>
      <c r="Z57" t="s">
        <v>173</v>
      </c>
      <c r="AA57" t="s">
        <v>173</v>
      </c>
      <c r="AB57" t="s">
        <v>173</v>
      </c>
      <c r="AC57" t="s">
        <v>173</v>
      </c>
      <c r="AD57" t="s">
        <v>173</v>
      </c>
      <c r="AE57" t="s">
        <v>173</v>
      </c>
      <c r="AF57" t="s">
        <v>173</v>
      </c>
      <c r="AG57" t="s">
        <v>173</v>
      </c>
      <c r="AH57" t="s">
        <v>173</v>
      </c>
      <c r="AI57" t="s">
        <v>173</v>
      </c>
      <c r="AJ57" t="s">
        <v>173</v>
      </c>
      <c r="AK57" t="s">
        <v>173</v>
      </c>
      <c r="AL57" t="s">
        <v>173</v>
      </c>
      <c r="AM57" t="s">
        <v>173</v>
      </c>
      <c r="AN57" t="s">
        <v>173</v>
      </c>
      <c r="AO57" t="s">
        <v>173</v>
      </c>
      <c r="AP57" t="s">
        <v>173</v>
      </c>
      <c r="AQ57" t="s">
        <v>173</v>
      </c>
      <c r="AR57" t="s">
        <v>173</v>
      </c>
      <c r="AS57" t="s">
        <v>173</v>
      </c>
      <c r="AT57" t="s">
        <v>173</v>
      </c>
      <c r="AU57" t="s">
        <v>173</v>
      </c>
      <c r="AV57" t="s">
        <v>173</v>
      </c>
      <c r="AW57" t="s">
        <v>173</v>
      </c>
      <c r="AX57" t="s">
        <v>173</v>
      </c>
      <c r="AY57" t="s">
        <v>173</v>
      </c>
      <c r="AZ57" t="s">
        <v>173</v>
      </c>
      <c r="BA57" t="s">
        <v>173</v>
      </c>
      <c r="BB57" t="s">
        <v>173</v>
      </c>
      <c r="BC57" t="s">
        <v>173</v>
      </c>
      <c r="BD57" t="s">
        <v>173</v>
      </c>
      <c r="BE57" t="s">
        <v>173</v>
      </c>
      <c r="BF57" t="s">
        <v>173</v>
      </c>
      <c r="BG57" t="s">
        <v>173</v>
      </c>
      <c r="BH57" t="s">
        <v>173</v>
      </c>
      <c r="BI57" t="s">
        <v>173</v>
      </c>
      <c r="BJ57" t="s">
        <v>173</v>
      </c>
      <c r="BK57" t="s">
        <v>173</v>
      </c>
      <c r="BL57" t="s">
        <v>173</v>
      </c>
      <c r="BM57" t="s">
        <v>173</v>
      </c>
      <c r="BN57" t="s">
        <v>173</v>
      </c>
      <c r="BO57" t="s">
        <v>173</v>
      </c>
      <c r="BP57" t="s">
        <v>173</v>
      </c>
      <c r="BQ57" t="s">
        <v>173</v>
      </c>
      <c r="BR57" t="s">
        <v>173</v>
      </c>
      <c r="BS57" t="s">
        <v>173</v>
      </c>
      <c r="BT57" t="s">
        <v>173</v>
      </c>
      <c r="BU57" t="s">
        <v>173</v>
      </c>
      <c r="BV57" t="s">
        <v>173</v>
      </c>
      <c r="BX57" t="s">
        <v>173</v>
      </c>
      <c r="BY57" t="s">
        <v>173</v>
      </c>
      <c r="BZ57" t="s">
        <v>173</v>
      </c>
      <c r="CA57" t="s">
        <v>173</v>
      </c>
      <c r="CB57" t="s">
        <v>173</v>
      </c>
      <c r="CC57" t="s">
        <v>173</v>
      </c>
      <c r="CD57" t="s">
        <v>173</v>
      </c>
      <c r="CE57" t="s">
        <v>173</v>
      </c>
      <c r="CF57" t="s">
        <v>173</v>
      </c>
      <c r="CG57" t="s">
        <v>173</v>
      </c>
      <c r="CH57" t="s">
        <v>173</v>
      </c>
      <c r="CI57" t="s">
        <v>173</v>
      </c>
      <c r="CJ57" t="s">
        <v>173</v>
      </c>
      <c r="CK57" t="s">
        <v>173</v>
      </c>
      <c r="CL57" t="s">
        <v>173</v>
      </c>
      <c r="CM57" t="s">
        <v>173</v>
      </c>
      <c r="CN57" t="s">
        <v>173</v>
      </c>
      <c r="CO57" t="s">
        <v>173</v>
      </c>
      <c r="CP57" t="s">
        <v>173</v>
      </c>
      <c r="CQ57" t="s">
        <v>173</v>
      </c>
      <c r="CR57" t="s">
        <v>173</v>
      </c>
      <c r="CS57" t="s">
        <v>173</v>
      </c>
      <c r="CT57" t="s">
        <v>173</v>
      </c>
      <c r="CU57" t="s">
        <v>173</v>
      </c>
      <c r="CV57" t="s">
        <v>173</v>
      </c>
      <c r="CW57" t="s">
        <v>173</v>
      </c>
      <c r="CX57" t="s">
        <v>173</v>
      </c>
      <c r="CY57" t="s">
        <v>173</v>
      </c>
      <c r="CZ57" t="s">
        <v>173</v>
      </c>
      <c r="DA57" t="s">
        <v>173</v>
      </c>
      <c r="DB57" t="s">
        <v>173</v>
      </c>
      <c r="DC57" t="s">
        <v>173</v>
      </c>
      <c r="DD57" t="s">
        <v>173</v>
      </c>
      <c r="DE57" t="s">
        <v>173</v>
      </c>
      <c r="DF57" t="s">
        <v>173</v>
      </c>
      <c r="DG57" t="s">
        <v>173</v>
      </c>
      <c r="DH57" t="s">
        <v>173</v>
      </c>
    </row>
    <row r="58" spans="1:112">
      <c r="A58">
        <v>51</v>
      </c>
      <c r="B58" t="s">
        <v>326</v>
      </c>
      <c r="C58" t="s">
        <v>327</v>
      </c>
      <c r="D58">
        <v>2024</v>
      </c>
      <c r="E58" t="s">
        <v>177</v>
      </c>
      <c r="F58" t="s">
        <v>328</v>
      </c>
      <c r="G58" t="s">
        <v>172</v>
      </c>
      <c r="H58" t="s">
        <v>173</v>
      </c>
      <c r="I58" t="s">
        <v>174</v>
      </c>
      <c r="J58" t="s">
        <v>173</v>
      </c>
      <c r="K58" t="s">
        <v>173</v>
      </c>
      <c r="L58" t="s">
        <v>173</v>
      </c>
      <c r="M58" t="s">
        <v>173</v>
      </c>
      <c r="N58" t="s">
        <v>173</v>
      </c>
      <c r="O58" t="s">
        <v>173</v>
      </c>
      <c r="P58" t="s">
        <v>173</v>
      </c>
      <c r="Q58" t="s">
        <v>173</v>
      </c>
      <c r="R58" t="s">
        <v>173</v>
      </c>
      <c r="S58" t="s">
        <v>173</v>
      </c>
      <c r="T58" t="s">
        <v>173</v>
      </c>
      <c r="U58" t="s">
        <v>173</v>
      </c>
      <c r="V58" t="s">
        <v>173</v>
      </c>
      <c r="W58" t="s">
        <v>173</v>
      </c>
      <c r="X58" t="s">
        <v>173</v>
      </c>
      <c r="Y58" t="s">
        <v>173</v>
      </c>
      <c r="Z58" t="s">
        <v>173</v>
      </c>
      <c r="AA58" t="s">
        <v>173</v>
      </c>
      <c r="AB58" t="s">
        <v>173</v>
      </c>
      <c r="AC58" t="s">
        <v>173</v>
      </c>
      <c r="AD58" t="s">
        <v>173</v>
      </c>
      <c r="AE58" t="s">
        <v>173</v>
      </c>
      <c r="AF58" t="s">
        <v>173</v>
      </c>
      <c r="AG58" t="s">
        <v>173</v>
      </c>
      <c r="AH58" t="s">
        <v>173</v>
      </c>
      <c r="AI58" t="s">
        <v>173</v>
      </c>
      <c r="AJ58" t="s">
        <v>173</v>
      </c>
      <c r="AK58" t="s">
        <v>173</v>
      </c>
      <c r="AL58" t="s">
        <v>173</v>
      </c>
      <c r="AM58" t="s">
        <v>173</v>
      </c>
      <c r="AN58" t="s">
        <v>173</v>
      </c>
      <c r="AO58" t="s">
        <v>173</v>
      </c>
      <c r="AP58" t="s">
        <v>173</v>
      </c>
      <c r="AQ58" t="s">
        <v>173</v>
      </c>
      <c r="AR58" t="s">
        <v>173</v>
      </c>
      <c r="AS58" t="s">
        <v>173</v>
      </c>
      <c r="AT58" t="s">
        <v>173</v>
      </c>
      <c r="AU58" t="s">
        <v>173</v>
      </c>
      <c r="AV58" t="s">
        <v>173</v>
      </c>
      <c r="AW58" t="s">
        <v>173</v>
      </c>
      <c r="AX58" t="s">
        <v>173</v>
      </c>
      <c r="AY58" t="s">
        <v>173</v>
      </c>
      <c r="AZ58" t="s">
        <v>173</v>
      </c>
      <c r="BA58" t="s">
        <v>173</v>
      </c>
      <c r="BB58" t="s">
        <v>173</v>
      </c>
      <c r="BC58" t="s">
        <v>173</v>
      </c>
      <c r="BD58" t="s">
        <v>173</v>
      </c>
      <c r="BE58" t="s">
        <v>173</v>
      </c>
      <c r="BF58" t="s">
        <v>173</v>
      </c>
      <c r="BG58" t="s">
        <v>173</v>
      </c>
      <c r="BH58" t="s">
        <v>173</v>
      </c>
      <c r="BI58" t="s">
        <v>173</v>
      </c>
      <c r="BJ58" t="s">
        <v>173</v>
      </c>
      <c r="BK58" t="s">
        <v>173</v>
      </c>
      <c r="BL58" t="s">
        <v>173</v>
      </c>
      <c r="BM58" t="s">
        <v>173</v>
      </c>
      <c r="BN58" t="s">
        <v>173</v>
      </c>
      <c r="BO58" t="s">
        <v>173</v>
      </c>
      <c r="BP58" t="s">
        <v>173</v>
      </c>
      <c r="BQ58" t="s">
        <v>173</v>
      </c>
      <c r="BR58" t="s">
        <v>173</v>
      </c>
      <c r="BS58" t="s">
        <v>173</v>
      </c>
      <c r="BT58" t="s">
        <v>173</v>
      </c>
      <c r="BU58" t="s">
        <v>173</v>
      </c>
      <c r="BV58" t="s">
        <v>173</v>
      </c>
      <c r="BX58" t="s">
        <v>173</v>
      </c>
      <c r="BY58" t="s">
        <v>173</v>
      </c>
      <c r="BZ58" t="s">
        <v>173</v>
      </c>
      <c r="CA58" t="s">
        <v>173</v>
      </c>
      <c r="CB58" t="s">
        <v>173</v>
      </c>
      <c r="CC58" t="s">
        <v>173</v>
      </c>
      <c r="CD58" t="s">
        <v>173</v>
      </c>
      <c r="CE58" t="s">
        <v>173</v>
      </c>
      <c r="CF58" t="s">
        <v>173</v>
      </c>
      <c r="CG58" t="s">
        <v>173</v>
      </c>
      <c r="CH58" t="s">
        <v>173</v>
      </c>
      <c r="CI58" t="s">
        <v>173</v>
      </c>
      <c r="CJ58" t="s">
        <v>173</v>
      </c>
      <c r="CK58" t="s">
        <v>173</v>
      </c>
      <c r="CL58" t="s">
        <v>173</v>
      </c>
      <c r="CM58" t="s">
        <v>173</v>
      </c>
      <c r="CN58" t="s">
        <v>173</v>
      </c>
      <c r="CO58" t="s">
        <v>173</v>
      </c>
      <c r="CP58" t="s">
        <v>173</v>
      </c>
      <c r="CQ58" t="s">
        <v>173</v>
      </c>
      <c r="CR58" t="s">
        <v>173</v>
      </c>
      <c r="CS58" t="s">
        <v>173</v>
      </c>
      <c r="CT58" t="s">
        <v>173</v>
      </c>
      <c r="CU58" t="s">
        <v>173</v>
      </c>
      <c r="CV58" t="s">
        <v>173</v>
      </c>
      <c r="CW58" t="s">
        <v>173</v>
      </c>
      <c r="CX58" t="s">
        <v>173</v>
      </c>
      <c r="CY58" t="s">
        <v>173</v>
      </c>
      <c r="CZ58" t="s">
        <v>173</v>
      </c>
      <c r="DA58" t="s">
        <v>173</v>
      </c>
      <c r="DB58" t="s">
        <v>173</v>
      </c>
      <c r="DC58" t="s">
        <v>173</v>
      </c>
      <c r="DD58" t="s">
        <v>173</v>
      </c>
      <c r="DE58" t="s">
        <v>173</v>
      </c>
      <c r="DF58" t="s">
        <v>173</v>
      </c>
      <c r="DG58" t="s">
        <v>173</v>
      </c>
      <c r="DH58" t="s">
        <v>173</v>
      </c>
    </row>
    <row r="59" spans="1:112">
      <c r="A59">
        <v>52</v>
      </c>
      <c r="B59" t="s">
        <v>329</v>
      </c>
      <c r="C59" t="s">
        <v>330</v>
      </c>
      <c r="D59">
        <v>2024</v>
      </c>
      <c r="E59" t="s">
        <v>331</v>
      </c>
      <c r="F59" t="s">
        <v>332</v>
      </c>
      <c r="G59" t="s">
        <v>172</v>
      </c>
      <c r="H59" t="s">
        <v>173</v>
      </c>
      <c r="I59" t="s">
        <v>174</v>
      </c>
      <c r="J59" t="s">
        <v>173</v>
      </c>
      <c r="K59" t="s">
        <v>173</v>
      </c>
      <c r="L59" t="s">
        <v>173</v>
      </c>
      <c r="M59" t="s">
        <v>173</v>
      </c>
      <c r="N59" t="s">
        <v>173</v>
      </c>
      <c r="O59" t="s">
        <v>173</v>
      </c>
      <c r="P59" t="s">
        <v>173</v>
      </c>
      <c r="Q59" t="s">
        <v>173</v>
      </c>
      <c r="R59" t="s">
        <v>173</v>
      </c>
      <c r="S59" t="s">
        <v>173</v>
      </c>
      <c r="T59" t="s">
        <v>173</v>
      </c>
      <c r="U59" t="s">
        <v>173</v>
      </c>
      <c r="V59" t="s">
        <v>173</v>
      </c>
      <c r="W59" t="s">
        <v>173</v>
      </c>
      <c r="X59" t="s">
        <v>173</v>
      </c>
      <c r="Y59" t="s">
        <v>173</v>
      </c>
      <c r="Z59" t="s">
        <v>173</v>
      </c>
      <c r="AA59" t="s">
        <v>173</v>
      </c>
      <c r="AB59" t="s">
        <v>173</v>
      </c>
      <c r="AC59" t="s">
        <v>173</v>
      </c>
      <c r="AD59" t="s">
        <v>173</v>
      </c>
      <c r="AE59" t="s">
        <v>173</v>
      </c>
      <c r="AF59" t="s">
        <v>173</v>
      </c>
      <c r="AG59" t="s">
        <v>173</v>
      </c>
      <c r="AH59" t="s">
        <v>173</v>
      </c>
      <c r="AI59" t="s">
        <v>173</v>
      </c>
      <c r="AJ59" t="s">
        <v>173</v>
      </c>
      <c r="AK59" t="s">
        <v>173</v>
      </c>
      <c r="AL59" t="s">
        <v>173</v>
      </c>
      <c r="AM59" t="s">
        <v>173</v>
      </c>
      <c r="AN59" t="s">
        <v>173</v>
      </c>
      <c r="AO59" t="s">
        <v>173</v>
      </c>
      <c r="AP59" t="s">
        <v>173</v>
      </c>
      <c r="AQ59" t="s">
        <v>173</v>
      </c>
      <c r="AR59" t="s">
        <v>173</v>
      </c>
      <c r="AS59" t="s">
        <v>173</v>
      </c>
      <c r="AT59" t="s">
        <v>173</v>
      </c>
      <c r="AU59" t="s">
        <v>173</v>
      </c>
      <c r="AV59" t="s">
        <v>173</v>
      </c>
      <c r="AW59" t="s">
        <v>173</v>
      </c>
      <c r="AX59" t="s">
        <v>173</v>
      </c>
      <c r="AY59" t="s">
        <v>173</v>
      </c>
      <c r="AZ59" t="s">
        <v>173</v>
      </c>
      <c r="BA59" t="s">
        <v>173</v>
      </c>
      <c r="BB59" t="s">
        <v>173</v>
      </c>
      <c r="BC59" t="s">
        <v>173</v>
      </c>
      <c r="BD59" t="s">
        <v>173</v>
      </c>
      <c r="BE59" t="s">
        <v>173</v>
      </c>
      <c r="BF59" t="s">
        <v>173</v>
      </c>
      <c r="BG59" t="s">
        <v>173</v>
      </c>
      <c r="BH59" t="s">
        <v>173</v>
      </c>
      <c r="BI59" t="s">
        <v>173</v>
      </c>
      <c r="BJ59" t="s">
        <v>173</v>
      </c>
      <c r="BK59" t="s">
        <v>173</v>
      </c>
      <c r="BL59" t="s">
        <v>173</v>
      </c>
      <c r="BM59" t="s">
        <v>173</v>
      </c>
      <c r="BN59" t="s">
        <v>173</v>
      </c>
      <c r="BO59" t="s">
        <v>173</v>
      </c>
      <c r="BP59" t="s">
        <v>173</v>
      </c>
      <c r="BQ59" t="s">
        <v>173</v>
      </c>
      <c r="BR59" t="s">
        <v>173</v>
      </c>
      <c r="BS59" t="s">
        <v>173</v>
      </c>
      <c r="BT59" t="s">
        <v>173</v>
      </c>
      <c r="BU59" t="s">
        <v>173</v>
      </c>
      <c r="BV59" t="s">
        <v>173</v>
      </c>
      <c r="BX59" t="s">
        <v>173</v>
      </c>
      <c r="BY59" t="s">
        <v>173</v>
      </c>
      <c r="BZ59" t="s">
        <v>173</v>
      </c>
      <c r="CA59" t="s">
        <v>173</v>
      </c>
      <c r="CB59" t="s">
        <v>173</v>
      </c>
      <c r="CC59" t="s">
        <v>173</v>
      </c>
      <c r="CD59" t="s">
        <v>173</v>
      </c>
      <c r="CE59" t="s">
        <v>173</v>
      </c>
      <c r="CF59" t="s">
        <v>173</v>
      </c>
      <c r="CG59" t="s">
        <v>173</v>
      </c>
      <c r="CH59" t="s">
        <v>173</v>
      </c>
      <c r="CI59" t="s">
        <v>173</v>
      </c>
      <c r="CJ59" t="s">
        <v>173</v>
      </c>
      <c r="CK59" t="s">
        <v>173</v>
      </c>
      <c r="CL59" t="s">
        <v>173</v>
      </c>
      <c r="CM59" t="s">
        <v>173</v>
      </c>
      <c r="CN59" t="s">
        <v>173</v>
      </c>
      <c r="CO59" t="s">
        <v>173</v>
      </c>
      <c r="CP59" t="s">
        <v>173</v>
      </c>
      <c r="CQ59" t="s">
        <v>173</v>
      </c>
      <c r="CR59" t="s">
        <v>173</v>
      </c>
      <c r="CS59" t="s">
        <v>173</v>
      </c>
      <c r="CT59" t="s">
        <v>173</v>
      </c>
      <c r="CU59" t="s">
        <v>173</v>
      </c>
      <c r="CV59" t="s">
        <v>173</v>
      </c>
      <c r="CW59" t="s">
        <v>173</v>
      </c>
      <c r="CX59" t="s">
        <v>173</v>
      </c>
      <c r="CY59" t="s">
        <v>173</v>
      </c>
      <c r="CZ59" t="s">
        <v>173</v>
      </c>
      <c r="DA59" t="s">
        <v>173</v>
      </c>
      <c r="DB59" t="s">
        <v>173</v>
      </c>
      <c r="DC59" t="s">
        <v>173</v>
      </c>
      <c r="DD59" t="s">
        <v>173</v>
      </c>
      <c r="DE59" t="s">
        <v>173</v>
      </c>
      <c r="DF59" t="s">
        <v>173</v>
      </c>
      <c r="DG59" t="s">
        <v>173</v>
      </c>
      <c r="DH59" t="s">
        <v>173</v>
      </c>
    </row>
    <row r="60" spans="1:112">
      <c r="A60">
        <v>53</v>
      </c>
      <c r="B60" t="s">
        <v>333</v>
      </c>
      <c r="C60" t="s">
        <v>334</v>
      </c>
      <c r="D60">
        <v>2024</v>
      </c>
      <c r="E60" t="s">
        <v>200</v>
      </c>
      <c r="F60" t="s">
        <v>335</v>
      </c>
      <c r="G60" t="s">
        <v>172</v>
      </c>
      <c r="H60">
        <v>0.79</v>
      </c>
      <c r="I60" t="s">
        <v>173</v>
      </c>
      <c r="J60" t="s">
        <v>173</v>
      </c>
      <c r="K60" t="s">
        <v>173</v>
      </c>
      <c r="L60" t="s">
        <v>173</v>
      </c>
      <c r="M60" t="s">
        <v>173</v>
      </c>
      <c r="N60" t="s">
        <v>173</v>
      </c>
      <c r="O60" t="s">
        <v>173</v>
      </c>
      <c r="P60" t="s">
        <v>173</v>
      </c>
      <c r="Q60" t="s">
        <v>173</v>
      </c>
      <c r="R60" t="s">
        <v>173</v>
      </c>
      <c r="S60" t="s">
        <v>173</v>
      </c>
      <c r="T60" t="s">
        <v>173</v>
      </c>
      <c r="U60" t="s">
        <v>173</v>
      </c>
      <c r="V60" t="s">
        <v>173</v>
      </c>
      <c r="W60" t="s">
        <v>173</v>
      </c>
      <c r="X60" t="s">
        <v>173</v>
      </c>
      <c r="Y60" t="s">
        <v>173</v>
      </c>
      <c r="Z60" t="s">
        <v>173</v>
      </c>
      <c r="AA60" t="s">
        <v>173</v>
      </c>
      <c r="AB60" t="s">
        <v>173</v>
      </c>
      <c r="AC60" t="s">
        <v>173</v>
      </c>
      <c r="AD60" t="s">
        <v>173</v>
      </c>
      <c r="AE60" t="s">
        <v>173</v>
      </c>
      <c r="AF60" t="s">
        <v>173</v>
      </c>
      <c r="AG60" t="s">
        <v>173</v>
      </c>
      <c r="AH60" t="s">
        <v>173</v>
      </c>
      <c r="AI60" t="s">
        <v>173</v>
      </c>
      <c r="AJ60" t="s">
        <v>173</v>
      </c>
      <c r="AK60" t="s">
        <v>173</v>
      </c>
      <c r="AL60" t="s">
        <v>173</v>
      </c>
      <c r="AM60" t="s">
        <v>173</v>
      </c>
      <c r="AN60" t="s">
        <v>173</v>
      </c>
      <c r="AO60" t="s">
        <v>173</v>
      </c>
      <c r="AP60" t="s">
        <v>173</v>
      </c>
      <c r="AQ60" t="s">
        <v>173</v>
      </c>
      <c r="AR60" t="s">
        <v>173</v>
      </c>
      <c r="AS60" t="s">
        <v>173</v>
      </c>
      <c r="AT60" t="s">
        <v>173</v>
      </c>
      <c r="AU60" t="s">
        <v>173</v>
      </c>
      <c r="AV60" t="s">
        <v>173</v>
      </c>
      <c r="AW60" t="s">
        <v>173</v>
      </c>
      <c r="AX60" t="s">
        <v>173</v>
      </c>
      <c r="AY60" t="s">
        <v>173</v>
      </c>
      <c r="AZ60" t="s">
        <v>173</v>
      </c>
      <c r="BA60" t="s">
        <v>173</v>
      </c>
      <c r="BB60" t="s">
        <v>173</v>
      </c>
      <c r="BC60" t="s">
        <v>173</v>
      </c>
      <c r="BD60" t="s">
        <v>173</v>
      </c>
      <c r="BE60" t="s">
        <v>173</v>
      </c>
      <c r="BF60" t="s">
        <v>173</v>
      </c>
      <c r="BG60" t="s">
        <v>173</v>
      </c>
      <c r="BH60" t="s">
        <v>173</v>
      </c>
      <c r="BI60" t="s">
        <v>173</v>
      </c>
      <c r="BJ60" t="s">
        <v>173</v>
      </c>
      <c r="BK60" t="s">
        <v>173</v>
      </c>
      <c r="BL60" t="s">
        <v>173</v>
      </c>
      <c r="BM60" t="s">
        <v>173</v>
      </c>
      <c r="BN60" t="s">
        <v>173</v>
      </c>
      <c r="BO60" t="s">
        <v>173</v>
      </c>
      <c r="BP60" t="s">
        <v>173</v>
      </c>
      <c r="BQ60" t="s">
        <v>173</v>
      </c>
      <c r="BR60" t="s">
        <v>173</v>
      </c>
      <c r="BS60" t="s">
        <v>173</v>
      </c>
      <c r="BT60" t="s">
        <v>173</v>
      </c>
      <c r="BU60" t="s">
        <v>173</v>
      </c>
      <c r="BV60" t="s">
        <v>173</v>
      </c>
      <c r="BX60" t="s">
        <v>173</v>
      </c>
      <c r="BY60" t="s">
        <v>173</v>
      </c>
      <c r="BZ60" t="s">
        <v>173</v>
      </c>
      <c r="CA60" t="s">
        <v>173</v>
      </c>
      <c r="CB60" t="s">
        <v>173</v>
      </c>
      <c r="CC60" t="s">
        <v>173</v>
      </c>
      <c r="CD60" t="s">
        <v>173</v>
      </c>
      <c r="CE60" t="s">
        <v>173</v>
      </c>
      <c r="CF60" t="s">
        <v>173</v>
      </c>
      <c r="CG60" t="s">
        <v>173</v>
      </c>
      <c r="CH60" t="s">
        <v>173</v>
      </c>
      <c r="CI60" t="s">
        <v>173</v>
      </c>
      <c r="CJ60" t="s">
        <v>173</v>
      </c>
      <c r="CK60" t="s">
        <v>173</v>
      </c>
      <c r="CL60" t="s">
        <v>173</v>
      </c>
      <c r="CM60" t="s">
        <v>173</v>
      </c>
      <c r="CN60" t="s">
        <v>173</v>
      </c>
      <c r="CO60" t="s">
        <v>173</v>
      </c>
      <c r="CP60" t="s">
        <v>173</v>
      </c>
      <c r="CQ60" t="s">
        <v>173</v>
      </c>
      <c r="CR60" t="s">
        <v>173</v>
      </c>
      <c r="CS60" t="s">
        <v>173</v>
      </c>
      <c r="CT60" t="s">
        <v>173</v>
      </c>
      <c r="CU60" t="s">
        <v>173</v>
      </c>
      <c r="CV60" t="s">
        <v>173</v>
      </c>
      <c r="CW60" t="s">
        <v>173</v>
      </c>
      <c r="CX60" t="s">
        <v>173</v>
      </c>
      <c r="CY60" t="s">
        <v>173</v>
      </c>
      <c r="CZ60" t="s">
        <v>173</v>
      </c>
      <c r="DA60" t="s">
        <v>173</v>
      </c>
      <c r="DB60" t="s">
        <v>173</v>
      </c>
      <c r="DC60" t="s">
        <v>173</v>
      </c>
      <c r="DD60" t="s">
        <v>173</v>
      </c>
      <c r="DE60" t="s">
        <v>173</v>
      </c>
      <c r="DF60" t="s">
        <v>173</v>
      </c>
      <c r="DG60" t="s">
        <v>173</v>
      </c>
      <c r="DH60" t="s">
        <v>173</v>
      </c>
    </row>
    <row r="61" spans="1:112">
      <c r="A61">
        <v>53</v>
      </c>
      <c r="B61" t="s">
        <v>333</v>
      </c>
      <c r="C61" t="s">
        <v>334</v>
      </c>
      <c r="D61">
        <v>2024</v>
      </c>
      <c r="E61" t="s">
        <v>200</v>
      </c>
      <c r="F61" t="s">
        <v>335</v>
      </c>
      <c r="G61" t="s">
        <v>172</v>
      </c>
      <c r="H61">
        <v>0.79</v>
      </c>
      <c r="I61" t="s">
        <v>173</v>
      </c>
      <c r="J61" t="s">
        <v>173</v>
      </c>
      <c r="K61" t="s">
        <v>173</v>
      </c>
      <c r="L61" t="s">
        <v>173</v>
      </c>
      <c r="M61" t="s">
        <v>173</v>
      </c>
      <c r="N61" t="s">
        <v>173</v>
      </c>
      <c r="O61" t="s">
        <v>173</v>
      </c>
      <c r="P61" t="s">
        <v>173</v>
      </c>
      <c r="Q61" t="s">
        <v>173</v>
      </c>
      <c r="R61" t="s">
        <v>173</v>
      </c>
      <c r="S61" t="s">
        <v>173</v>
      </c>
      <c r="T61" t="s">
        <v>173</v>
      </c>
      <c r="U61" t="s">
        <v>173</v>
      </c>
      <c r="V61" t="s">
        <v>173</v>
      </c>
      <c r="W61" t="s">
        <v>173</v>
      </c>
      <c r="X61" t="s">
        <v>173</v>
      </c>
      <c r="Y61" t="s">
        <v>173</v>
      </c>
      <c r="Z61" t="s">
        <v>173</v>
      </c>
      <c r="AA61" t="s">
        <v>173</v>
      </c>
      <c r="AB61" t="s">
        <v>173</v>
      </c>
      <c r="AC61" t="s">
        <v>173</v>
      </c>
      <c r="AD61" t="s">
        <v>173</v>
      </c>
      <c r="AE61" t="s">
        <v>173</v>
      </c>
      <c r="AF61" t="s">
        <v>173</v>
      </c>
      <c r="AG61" t="s">
        <v>173</v>
      </c>
      <c r="AH61" t="s">
        <v>173</v>
      </c>
      <c r="AI61" t="s">
        <v>173</v>
      </c>
      <c r="AJ61" t="s">
        <v>173</v>
      </c>
      <c r="AK61" t="s">
        <v>173</v>
      </c>
      <c r="AL61" t="s">
        <v>173</v>
      </c>
      <c r="AM61" t="s">
        <v>173</v>
      </c>
      <c r="AN61" t="s">
        <v>173</v>
      </c>
      <c r="AO61" t="s">
        <v>173</v>
      </c>
      <c r="AP61" t="s">
        <v>173</v>
      </c>
      <c r="AQ61" t="s">
        <v>173</v>
      </c>
      <c r="AR61" t="s">
        <v>173</v>
      </c>
      <c r="AS61" t="s">
        <v>173</v>
      </c>
      <c r="AT61" t="s">
        <v>173</v>
      </c>
      <c r="AU61" t="s">
        <v>173</v>
      </c>
      <c r="AV61" t="s">
        <v>173</v>
      </c>
      <c r="AW61" t="s">
        <v>173</v>
      </c>
      <c r="AX61" t="s">
        <v>173</v>
      </c>
      <c r="AY61" t="s">
        <v>173</v>
      </c>
      <c r="AZ61" t="s">
        <v>173</v>
      </c>
      <c r="BA61" t="s">
        <v>173</v>
      </c>
      <c r="BB61" t="s">
        <v>173</v>
      </c>
      <c r="BC61" t="s">
        <v>173</v>
      </c>
      <c r="BD61" t="s">
        <v>173</v>
      </c>
      <c r="BE61" t="s">
        <v>173</v>
      </c>
      <c r="BF61" t="s">
        <v>173</v>
      </c>
      <c r="BG61" t="s">
        <v>173</v>
      </c>
      <c r="BH61" t="s">
        <v>173</v>
      </c>
      <c r="BI61" t="s">
        <v>173</v>
      </c>
      <c r="BJ61" t="s">
        <v>173</v>
      </c>
      <c r="BK61" t="s">
        <v>173</v>
      </c>
      <c r="BL61" t="s">
        <v>173</v>
      </c>
      <c r="BM61" t="s">
        <v>173</v>
      </c>
      <c r="BN61" t="s">
        <v>173</v>
      </c>
      <c r="BO61" t="s">
        <v>173</v>
      </c>
      <c r="BP61" t="s">
        <v>173</v>
      </c>
      <c r="BQ61" t="s">
        <v>173</v>
      </c>
      <c r="BR61" t="s">
        <v>173</v>
      </c>
      <c r="BS61" t="s">
        <v>173</v>
      </c>
      <c r="BT61" t="s">
        <v>173</v>
      </c>
      <c r="BU61" t="s">
        <v>173</v>
      </c>
      <c r="BV61" t="s">
        <v>173</v>
      </c>
      <c r="BX61" t="s">
        <v>173</v>
      </c>
      <c r="BY61" t="s">
        <v>173</v>
      </c>
      <c r="BZ61" t="s">
        <v>173</v>
      </c>
      <c r="CA61" t="s">
        <v>173</v>
      </c>
      <c r="CB61" t="s">
        <v>173</v>
      </c>
      <c r="CC61" t="s">
        <v>173</v>
      </c>
      <c r="CD61" t="s">
        <v>173</v>
      </c>
      <c r="CE61" t="s">
        <v>173</v>
      </c>
      <c r="CF61" t="s">
        <v>173</v>
      </c>
      <c r="CG61" t="s">
        <v>173</v>
      </c>
      <c r="CH61" t="s">
        <v>173</v>
      </c>
      <c r="CI61" t="s">
        <v>173</v>
      </c>
      <c r="CJ61" t="s">
        <v>173</v>
      </c>
      <c r="CK61" t="s">
        <v>173</v>
      </c>
      <c r="CL61" t="s">
        <v>173</v>
      </c>
      <c r="CM61" t="s">
        <v>173</v>
      </c>
      <c r="CN61" t="s">
        <v>173</v>
      </c>
      <c r="CO61" t="s">
        <v>173</v>
      </c>
      <c r="CP61" t="s">
        <v>173</v>
      </c>
      <c r="CQ61" t="s">
        <v>173</v>
      </c>
      <c r="CR61" t="s">
        <v>173</v>
      </c>
      <c r="CS61" t="s">
        <v>173</v>
      </c>
      <c r="CT61" t="s">
        <v>173</v>
      </c>
      <c r="CU61" t="s">
        <v>173</v>
      </c>
      <c r="CV61" t="s">
        <v>173</v>
      </c>
      <c r="CW61" t="s">
        <v>173</v>
      </c>
      <c r="CX61" t="s">
        <v>173</v>
      </c>
      <c r="CY61" t="s">
        <v>173</v>
      </c>
      <c r="CZ61" t="s">
        <v>173</v>
      </c>
      <c r="DA61" t="s">
        <v>173</v>
      </c>
      <c r="DB61" t="s">
        <v>173</v>
      </c>
      <c r="DC61" t="s">
        <v>173</v>
      </c>
      <c r="DD61" t="s">
        <v>173</v>
      </c>
      <c r="DE61" t="s">
        <v>173</v>
      </c>
      <c r="DF61" t="s">
        <v>173</v>
      </c>
      <c r="DG61" t="s">
        <v>173</v>
      </c>
      <c r="DH61" t="s">
        <v>173</v>
      </c>
    </row>
    <row r="62" spans="1:112">
      <c r="A62">
        <v>53</v>
      </c>
      <c r="B62" t="s">
        <v>333</v>
      </c>
      <c r="C62" t="s">
        <v>334</v>
      </c>
      <c r="D62">
        <v>2024</v>
      </c>
      <c r="E62" t="s">
        <v>200</v>
      </c>
      <c r="F62" t="s">
        <v>335</v>
      </c>
      <c r="G62" t="s">
        <v>172</v>
      </c>
      <c r="H62">
        <v>0.79</v>
      </c>
      <c r="I62" t="s">
        <v>173</v>
      </c>
      <c r="J62" t="s">
        <v>173</v>
      </c>
      <c r="K62" t="s">
        <v>173</v>
      </c>
      <c r="L62" t="s">
        <v>173</v>
      </c>
      <c r="M62" t="s">
        <v>173</v>
      </c>
      <c r="N62" t="s">
        <v>173</v>
      </c>
      <c r="O62" t="s">
        <v>173</v>
      </c>
      <c r="P62" t="s">
        <v>173</v>
      </c>
      <c r="Q62" t="s">
        <v>173</v>
      </c>
      <c r="R62" t="s">
        <v>173</v>
      </c>
      <c r="S62" t="s">
        <v>173</v>
      </c>
      <c r="T62" t="s">
        <v>173</v>
      </c>
      <c r="U62" t="s">
        <v>173</v>
      </c>
      <c r="V62" t="s">
        <v>173</v>
      </c>
      <c r="W62" t="s">
        <v>173</v>
      </c>
      <c r="X62" t="s">
        <v>173</v>
      </c>
      <c r="Y62" t="s">
        <v>173</v>
      </c>
      <c r="Z62" t="s">
        <v>173</v>
      </c>
      <c r="AA62" t="s">
        <v>173</v>
      </c>
      <c r="AB62" t="s">
        <v>173</v>
      </c>
      <c r="AC62" t="s">
        <v>173</v>
      </c>
      <c r="AD62" t="s">
        <v>173</v>
      </c>
      <c r="AE62" t="s">
        <v>173</v>
      </c>
      <c r="AF62" t="s">
        <v>173</v>
      </c>
      <c r="AG62" t="s">
        <v>173</v>
      </c>
      <c r="AH62" t="s">
        <v>173</v>
      </c>
      <c r="AI62" t="s">
        <v>173</v>
      </c>
      <c r="AJ62" t="s">
        <v>173</v>
      </c>
      <c r="AK62" t="s">
        <v>173</v>
      </c>
      <c r="AL62" t="s">
        <v>173</v>
      </c>
      <c r="AM62" t="s">
        <v>173</v>
      </c>
      <c r="AN62" t="s">
        <v>173</v>
      </c>
      <c r="AO62" t="s">
        <v>173</v>
      </c>
      <c r="AP62" t="s">
        <v>173</v>
      </c>
      <c r="AQ62" t="s">
        <v>173</v>
      </c>
      <c r="AR62" t="s">
        <v>173</v>
      </c>
      <c r="AS62" t="s">
        <v>173</v>
      </c>
      <c r="AT62" t="s">
        <v>173</v>
      </c>
      <c r="AU62" t="s">
        <v>173</v>
      </c>
      <c r="AV62" t="s">
        <v>173</v>
      </c>
      <c r="AW62" t="s">
        <v>173</v>
      </c>
      <c r="AX62" t="s">
        <v>173</v>
      </c>
      <c r="AY62" t="s">
        <v>173</v>
      </c>
      <c r="AZ62" t="s">
        <v>173</v>
      </c>
      <c r="BA62" t="s">
        <v>173</v>
      </c>
      <c r="BB62" t="s">
        <v>173</v>
      </c>
      <c r="BC62" t="s">
        <v>173</v>
      </c>
      <c r="BD62" t="s">
        <v>173</v>
      </c>
      <c r="BE62" t="s">
        <v>173</v>
      </c>
      <c r="BF62" t="s">
        <v>173</v>
      </c>
      <c r="BG62" t="s">
        <v>173</v>
      </c>
      <c r="BH62" t="s">
        <v>173</v>
      </c>
      <c r="BI62" t="s">
        <v>173</v>
      </c>
      <c r="BJ62" t="s">
        <v>173</v>
      </c>
      <c r="BK62" t="s">
        <v>173</v>
      </c>
      <c r="BL62" t="s">
        <v>173</v>
      </c>
      <c r="BM62" t="s">
        <v>173</v>
      </c>
      <c r="BN62" t="s">
        <v>173</v>
      </c>
      <c r="BO62" t="s">
        <v>173</v>
      </c>
      <c r="BP62" t="s">
        <v>173</v>
      </c>
      <c r="BQ62" t="s">
        <v>173</v>
      </c>
      <c r="BR62" t="s">
        <v>173</v>
      </c>
      <c r="BS62" t="s">
        <v>173</v>
      </c>
      <c r="BT62" t="s">
        <v>173</v>
      </c>
      <c r="BU62" t="s">
        <v>173</v>
      </c>
      <c r="BV62" t="s">
        <v>173</v>
      </c>
      <c r="BX62" t="s">
        <v>173</v>
      </c>
      <c r="BY62" t="s">
        <v>173</v>
      </c>
      <c r="BZ62" t="s">
        <v>173</v>
      </c>
      <c r="CA62" t="s">
        <v>173</v>
      </c>
      <c r="CB62" t="s">
        <v>173</v>
      </c>
      <c r="CC62" t="s">
        <v>173</v>
      </c>
      <c r="CD62" t="s">
        <v>173</v>
      </c>
      <c r="CE62" t="s">
        <v>173</v>
      </c>
      <c r="CF62" t="s">
        <v>173</v>
      </c>
      <c r="CG62" t="s">
        <v>173</v>
      </c>
      <c r="CH62" t="s">
        <v>173</v>
      </c>
      <c r="CI62" t="s">
        <v>173</v>
      </c>
      <c r="CJ62" t="s">
        <v>173</v>
      </c>
      <c r="CK62" t="s">
        <v>173</v>
      </c>
      <c r="CL62" t="s">
        <v>173</v>
      </c>
      <c r="CM62" t="s">
        <v>173</v>
      </c>
      <c r="CN62" t="s">
        <v>173</v>
      </c>
      <c r="CO62" t="s">
        <v>173</v>
      </c>
      <c r="CP62" t="s">
        <v>173</v>
      </c>
      <c r="CQ62" t="s">
        <v>173</v>
      </c>
      <c r="CR62" t="s">
        <v>173</v>
      </c>
      <c r="CS62" t="s">
        <v>173</v>
      </c>
      <c r="CT62" t="s">
        <v>173</v>
      </c>
      <c r="CU62" t="s">
        <v>173</v>
      </c>
      <c r="CV62" t="s">
        <v>173</v>
      </c>
      <c r="CW62" t="s">
        <v>173</v>
      </c>
      <c r="CX62" t="s">
        <v>173</v>
      </c>
      <c r="CY62" t="s">
        <v>173</v>
      </c>
      <c r="CZ62" t="s">
        <v>173</v>
      </c>
      <c r="DA62" t="s">
        <v>173</v>
      </c>
      <c r="DB62" t="s">
        <v>173</v>
      </c>
      <c r="DC62" t="s">
        <v>173</v>
      </c>
      <c r="DD62" t="s">
        <v>173</v>
      </c>
      <c r="DE62" t="s">
        <v>173</v>
      </c>
      <c r="DF62" t="s">
        <v>173</v>
      </c>
      <c r="DG62" t="s">
        <v>173</v>
      </c>
      <c r="DH62" t="s">
        <v>173</v>
      </c>
    </row>
    <row r="63" spans="1:112">
      <c r="A63">
        <v>53</v>
      </c>
      <c r="B63" t="s">
        <v>333</v>
      </c>
      <c r="C63" t="s">
        <v>334</v>
      </c>
      <c r="D63">
        <v>2024</v>
      </c>
      <c r="E63" t="s">
        <v>200</v>
      </c>
      <c r="F63" t="s">
        <v>335</v>
      </c>
      <c r="G63" t="s">
        <v>172</v>
      </c>
      <c r="H63">
        <v>0.79</v>
      </c>
      <c r="I63" t="s">
        <v>173</v>
      </c>
      <c r="J63" t="s">
        <v>173</v>
      </c>
      <c r="K63" t="s">
        <v>173</v>
      </c>
      <c r="L63" t="s">
        <v>173</v>
      </c>
      <c r="M63" t="s">
        <v>173</v>
      </c>
      <c r="N63" t="s">
        <v>173</v>
      </c>
      <c r="O63" t="s">
        <v>173</v>
      </c>
      <c r="P63" t="s">
        <v>173</v>
      </c>
      <c r="Q63" t="s">
        <v>173</v>
      </c>
      <c r="R63" t="s">
        <v>173</v>
      </c>
      <c r="S63" t="s">
        <v>173</v>
      </c>
      <c r="T63" t="s">
        <v>173</v>
      </c>
      <c r="U63" t="s">
        <v>173</v>
      </c>
      <c r="V63" t="s">
        <v>173</v>
      </c>
      <c r="W63" t="s">
        <v>173</v>
      </c>
      <c r="X63" t="s">
        <v>173</v>
      </c>
      <c r="Y63" t="s">
        <v>173</v>
      </c>
      <c r="Z63" t="s">
        <v>173</v>
      </c>
      <c r="AA63" t="s">
        <v>173</v>
      </c>
      <c r="AB63" t="s">
        <v>173</v>
      </c>
      <c r="AC63" t="s">
        <v>173</v>
      </c>
      <c r="AD63" t="s">
        <v>173</v>
      </c>
      <c r="AE63" t="s">
        <v>173</v>
      </c>
      <c r="AF63" t="s">
        <v>173</v>
      </c>
      <c r="AG63" t="s">
        <v>173</v>
      </c>
      <c r="AH63" t="s">
        <v>173</v>
      </c>
      <c r="AI63" t="s">
        <v>173</v>
      </c>
      <c r="AJ63" t="s">
        <v>173</v>
      </c>
      <c r="AK63" t="s">
        <v>173</v>
      </c>
      <c r="AL63" t="s">
        <v>173</v>
      </c>
      <c r="AM63" t="s">
        <v>173</v>
      </c>
      <c r="AN63" t="s">
        <v>173</v>
      </c>
      <c r="AO63" t="s">
        <v>173</v>
      </c>
      <c r="AP63" t="s">
        <v>173</v>
      </c>
      <c r="AQ63" t="s">
        <v>173</v>
      </c>
      <c r="AR63" t="s">
        <v>173</v>
      </c>
      <c r="AS63" t="s">
        <v>173</v>
      </c>
      <c r="AT63" t="s">
        <v>173</v>
      </c>
      <c r="AU63" t="s">
        <v>173</v>
      </c>
      <c r="AV63" t="s">
        <v>173</v>
      </c>
      <c r="AW63" t="s">
        <v>173</v>
      </c>
      <c r="AX63" t="s">
        <v>173</v>
      </c>
      <c r="AY63" t="s">
        <v>173</v>
      </c>
      <c r="AZ63" t="s">
        <v>173</v>
      </c>
      <c r="BA63" t="s">
        <v>173</v>
      </c>
      <c r="BB63" t="s">
        <v>173</v>
      </c>
      <c r="BC63" t="s">
        <v>173</v>
      </c>
      <c r="BD63" t="s">
        <v>173</v>
      </c>
      <c r="BE63" t="s">
        <v>173</v>
      </c>
      <c r="BF63" t="s">
        <v>173</v>
      </c>
      <c r="BG63" t="s">
        <v>173</v>
      </c>
      <c r="BH63" t="s">
        <v>173</v>
      </c>
      <c r="BI63" t="s">
        <v>173</v>
      </c>
      <c r="BJ63" t="s">
        <v>173</v>
      </c>
      <c r="BK63" t="s">
        <v>173</v>
      </c>
      <c r="BL63" t="s">
        <v>173</v>
      </c>
      <c r="BM63" t="s">
        <v>173</v>
      </c>
      <c r="BN63" t="s">
        <v>173</v>
      </c>
      <c r="BO63" t="s">
        <v>173</v>
      </c>
      <c r="BP63" t="s">
        <v>173</v>
      </c>
      <c r="BQ63" t="s">
        <v>173</v>
      </c>
      <c r="BR63" t="s">
        <v>173</v>
      </c>
      <c r="BS63" t="s">
        <v>173</v>
      </c>
      <c r="BT63" t="s">
        <v>173</v>
      </c>
      <c r="BU63" t="s">
        <v>173</v>
      </c>
      <c r="BV63" t="s">
        <v>173</v>
      </c>
      <c r="BX63" t="s">
        <v>173</v>
      </c>
      <c r="BY63" t="s">
        <v>173</v>
      </c>
      <c r="BZ63" t="s">
        <v>173</v>
      </c>
      <c r="CA63" t="s">
        <v>173</v>
      </c>
      <c r="CB63" t="s">
        <v>173</v>
      </c>
      <c r="CC63" t="s">
        <v>173</v>
      </c>
      <c r="CD63" t="s">
        <v>173</v>
      </c>
      <c r="CE63" t="s">
        <v>173</v>
      </c>
      <c r="CF63" t="s">
        <v>173</v>
      </c>
      <c r="CG63" t="s">
        <v>173</v>
      </c>
      <c r="CH63" t="s">
        <v>173</v>
      </c>
      <c r="CI63" t="s">
        <v>173</v>
      </c>
      <c r="CJ63" t="s">
        <v>173</v>
      </c>
      <c r="CK63" t="s">
        <v>173</v>
      </c>
      <c r="CL63" t="s">
        <v>173</v>
      </c>
      <c r="CM63" t="s">
        <v>173</v>
      </c>
      <c r="CN63" t="s">
        <v>173</v>
      </c>
      <c r="CO63" t="s">
        <v>173</v>
      </c>
      <c r="CP63" t="s">
        <v>173</v>
      </c>
      <c r="CQ63" t="s">
        <v>173</v>
      </c>
      <c r="CR63" t="s">
        <v>173</v>
      </c>
      <c r="CS63" t="s">
        <v>173</v>
      </c>
      <c r="CT63" t="s">
        <v>173</v>
      </c>
      <c r="CU63" t="s">
        <v>173</v>
      </c>
      <c r="CV63" t="s">
        <v>173</v>
      </c>
      <c r="CW63" t="s">
        <v>173</v>
      </c>
      <c r="CX63" t="s">
        <v>173</v>
      </c>
      <c r="CY63" t="s">
        <v>173</v>
      </c>
      <c r="CZ63" t="s">
        <v>173</v>
      </c>
      <c r="DA63" t="s">
        <v>173</v>
      </c>
      <c r="DB63" t="s">
        <v>173</v>
      </c>
      <c r="DC63" t="s">
        <v>173</v>
      </c>
      <c r="DD63" t="s">
        <v>173</v>
      </c>
      <c r="DE63" t="s">
        <v>173</v>
      </c>
      <c r="DF63" t="s">
        <v>173</v>
      </c>
      <c r="DG63" t="s">
        <v>173</v>
      </c>
      <c r="DH63" t="s">
        <v>173</v>
      </c>
    </row>
    <row r="64" spans="1:112">
      <c r="A64">
        <v>53</v>
      </c>
      <c r="B64" t="s">
        <v>333</v>
      </c>
      <c r="C64" t="s">
        <v>334</v>
      </c>
      <c r="D64">
        <v>2024</v>
      </c>
      <c r="E64" t="s">
        <v>200</v>
      </c>
      <c r="F64" t="s">
        <v>335</v>
      </c>
      <c r="G64" t="s">
        <v>172</v>
      </c>
      <c r="H64">
        <v>0.79</v>
      </c>
      <c r="I64" t="s">
        <v>173</v>
      </c>
      <c r="J64" t="s">
        <v>173</v>
      </c>
      <c r="K64" t="s">
        <v>173</v>
      </c>
      <c r="L64" t="s">
        <v>173</v>
      </c>
      <c r="M64" t="s">
        <v>173</v>
      </c>
      <c r="N64" t="s">
        <v>173</v>
      </c>
      <c r="O64" t="s">
        <v>173</v>
      </c>
      <c r="P64" t="s">
        <v>173</v>
      </c>
      <c r="Q64" t="s">
        <v>173</v>
      </c>
      <c r="R64" t="s">
        <v>173</v>
      </c>
      <c r="S64" t="s">
        <v>173</v>
      </c>
      <c r="T64" t="s">
        <v>173</v>
      </c>
      <c r="U64" t="s">
        <v>173</v>
      </c>
      <c r="V64" t="s">
        <v>173</v>
      </c>
      <c r="W64" t="s">
        <v>173</v>
      </c>
      <c r="X64" t="s">
        <v>173</v>
      </c>
      <c r="Y64" t="s">
        <v>173</v>
      </c>
      <c r="Z64" t="s">
        <v>173</v>
      </c>
      <c r="AA64" t="s">
        <v>173</v>
      </c>
      <c r="AB64" t="s">
        <v>173</v>
      </c>
      <c r="AC64" t="s">
        <v>173</v>
      </c>
      <c r="AD64" t="s">
        <v>173</v>
      </c>
      <c r="AE64" t="s">
        <v>173</v>
      </c>
      <c r="AF64" t="s">
        <v>173</v>
      </c>
      <c r="AG64" t="s">
        <v>173</v>
      </c>
      <c r="AH64" t="s">
        <v>173</v>
      </c>
      <c r="AI64" t="s">
        <v>173</v>
      </c>
      <c r="AJ64" t="s">
        <v>173</v>
      </c>
      <c r="AK64" t="s">
        <v>173</v>
      </c>
      <c r="AL64" t="s">
        <v>173</v>
      </c>
      <c r="AM64" t="s">
        <v>173</v>
      </c>
      <c r="AN64" t="s">
        <v>173</v>
      </c>
      <c r="AO64" t="s">
        <v>173</v>
      </c>
      <c r="AP64" t="s">
        <v>173</v>
      </c>
      <c r="AQ64" t="s">
        <v>173</v>
      </c>
      <c r="AR64" t="s">
        <v>173</v>
      </c>
      <c r="AS64" t="s">
        <v>173</v>
      </c>
      <c r="AT64" t="s">
        <v>173</v>
      </c>
      <c r="AU64" t="s">
        <v>173</v>
      </c>
      <c r="AV64" t="s">
        <v>173</v>
      </c>
      <c r="AW64" t="s">
        <v>173</v>
      </c>
      <c r="AX64" t="s">
        <v>173</v>
      </c>
      <c r="AY64" t="s">
        <v>173</v>
      </c>
      <c r="AZ64" t="s">
        <v>173</v>
      </c>
      <c r="BA64" t="s">
        <v>173</v>
      </c>
      <c r="BB64" t="s">
        <v>173</v>
      </c>
      <c r="BC64" t="s">
        <v>173</v>
      </c>
      <c r="BD64" t="s">
        <v>173</v>
      </c>
      <c r="BE64" t="s">
        <v>173</v>
      </c>
      <c r="BF64" t="s">
        <v>173</v>
      </c>
      <c r="BG64" t="s">
        <v>173</v>
      </c>
      <c r="BH64" t="s">
        <v>173</v>
      </c>
      <c r="BI64" t="s">
        <v>173</v>
      </c>
      <c r="BJ64" t="s">
        <v>173</v>
      </c>
      <c r="BK64" t="s">
        <v>173</v>
      </c>
      <c r="BL64" t="s">
        <v>173</v>
      </c>
      <c r="BM64" t="s">
        <v>173</v>
      </c>
      <c r="BN64" t="s">
        <v>173</v>
      </c>
      <c r="BO64" t="s">
        <v>173</v>
      </c>
      <c r="BP64" t="s">
        <v>173</v>
      </c>
      <c r="BQ64" t="s">
        <v>173</v>
      </c>
      <c r="BR64" t="s">
        <v>173</v>
      </c>
      <c r="BS64" t="s">
        <v>173</v>
      </c>
      <c r="BT64" t="s">
        <v>173</v>
      </c>
      <c r="BU64" t="s">
        <v>173</v>
      </c>
      <c r="BV64" t="s">
        <v>173</v>
      </c>
      <c r="BX64" t="s">
        <v>173</v>
      </c>
      <c r="BY64" t="s">
        <v>173</v>
      </c>
      <c r="BZ64" t="s">
        <v>173</v>
      </c>
      <c r="CA64" t="s">
        <v>173</v>
      </c>
      <c r="CB64" t="s">
        <v>173</v>
      </c>
      <c r="CC64" t="s">
        <v>173</v>
      </c>
      <c r="CD64" t="s">
        <v>173</v>
      </c>
      <c r="CE64" t="s">
        <v>173</v>
      </c>
      <c r="CF64" t="s">
        <v>173</v>
      </c>
      <c r="CG64" t="s">
        <v>173</v>
      </c>
      <c r="CH64" t="s">
        <v>173</v>
      </c>
      <c r="CI64" t="s">
        <v>173</v>
      </c>
      <c r="CJ64" t="s">
        <v>173</v>
      </c>
      <c r="CK64" t="s">
        <v>173</v>
      </c>
      <c r="CL64" t="s">
        <v>173</v>
      </c>
      <c r="CM64" t="s">
        <v>173</v>
      </c>
      <c r="CN64" t="s">
        <v>173</v>
      </c>
      <c r="CO64" t="s">
        <v>173</v>
      </c>
      <c r="CP64" t="s">
        <v>173</v>
      </c>
      <c r="CQ64" t="s">
        <v>173</v>
      </c>
      <c r="CR64" t="s">
        <v>173</v>
      </c>
      <c r="CS64" t="s">
        <v>173</v>
      </c>
      <c r="CT64" t="s">
        <v>173</v>
      </c>
      <c r="CU64" t="s">
        <v>173</v>
      </c>
      <c r="CV64" t="s">
        <v>173</v>
      </c>
      <c r="CW64" t="s">
        <v>173</v>
      </c>
      <c r="CX64" t="s">
        <v>173</v>
      </c>
      <c r="CY64" t="s">
        <v>173</v>
      </c>
      <c r="CZ64" t="s">
        <v>173</v>
      </c>
      <c r="DA64" t="s">
        <v>173</v>
      </c>
      <c r="DB64" t="s">
        <v>173</v>
      </c>
      <c r="DC64" t="s">
        <v>173</v>
      </c>
      <c r="DD64" t="s">
        <v>173</v>
      </c>
      <c r="DE64" t="s">
        <v>173</v>
      </c>
      <c r="DF64" t="s">
        <v>173</v>
      </c>
      <c r="DG64" t="s">
        <v>173</v>
      </c>
      <c r="DH64" t="s">
        <v>173</v>
      </c>
    </row>
    <row r="65" spans="1:112">
      <c r="A65">
        <v>53</v>
      </c>
      <c r="B65" t="s">
        <v>333</v>
      </c>
      <c r="C65" t="s">
        <v>334</v>
      </c>
      <c r="D65">
        <v>2024</v>
      </c>
      <c r="E65" t="s">
        <v>200</v>
      </c>
      <c r="F65" t="s">
        <v>335</v>
      </c>
      <c r="G65" t="s">
        <v>172</v>
      </c>
      <c r="H65">
        <v>0.79</v>
      </c>
      <c r="I65" t="s">
        <v>173</v>
      </c>
      <c r="J65" t="s">
        <v>173</v>
      </c>
      <c r="K65" t="s">
        <v>173</v>
      </c>
      <c r="L65" t="s">
        <v>173</v>
      </c>
      <c r="M65" t="s">
        <v>173</v>
      </c>
      <c r="N65" t="s">
        <v>173</v>
      </c>
      <c r="O65" t="s">
        <v>173</v>
      </c>
      <c r="P65" t="s">
        <v>173</v>
      </c>
      <c r="Q65" t="s">
        <v>173</v>
      </c>
      <c r="R65" t="s">
        <v>173</v>
      </c>
      <c r="S65" t="s">
        <v>173</v>
      </c>
      <c r="T65" t="s">
        <v>173</v>
      </c>
      <c r="U65" t="s">
        <v>173</v>
      </c>
      <c r="V65" t="s">
        <v>173</v>
      </c>
      <c r="W65" t="s">
        <v>173</v>
      </c>
      <c r="X65" t="s">
        <v>173</v>
      </c>
      <c r="Y65" t="s">
        <v>173</v>
      </c>
      <c r="Z65" t="s">
        <v>173</v>
      </c>
      <c r="AA65" t="s">
        <v>173</v>
      </c>
      <c r="AB65" t="s">
        <v>173</v>
      </c>
      <c r="AC65" t="s">
        <v>173</v>
      </c>
      <c r="AD65" t="s">
        <v>173</v>
      </c>
      <c r="AE65" t="s">
        <v>173</v>
      </c>
      <c r="AF65" t="s">
        <v>173</v>
      </c>
      <c r="AG65" t="s">
        <v>173</v>
      </c>
      <c r="AH65" t="s">
        <v>173</v>
      </c>
      <c r="AI65" t="s">
        <v>173</v>
      </c>
      <c r="AJ65" t="s">
        <v>173</v>
      </c>
      <c r="AK65" t="s">
        <v>173</v>
      </c>
      <c r="AL65" t="s">
        <v>173</v>
      </c>
      <c r="AM65" t="s">
        <v>173</v>
      </c>
      <c r="AN65" t="s">
        <v>173</v>
      </c>
      <c r="AO65" t="s">
        <v>173</v>
      </c>
      <c r="AP65" t="s">
        <v>173</v>
      </c>
      <c r="AQ65" t="s">
        <v>173</v>
      </c>
      <c r="AR65" t="s">
        <v>173</v>
      </c>
      <c r="AS65" t="s">
        <v>173</v>
      </c>
      <c r="AT65" t="s">
        <v>173</v>
      </c>
      <c r="AU65" t="s">
        <v>173</v>
      </c>
      <c r="AV65" t="s">
        <v>173</v>
      </c>
      <c r="AW65" t="s">
        <v>173</v>
      </c>
      <c r="AX65" t="s">
        <v>173</v>
      </c>
      <c r="AY65" t="s">
        <v>173</v>
      </c>
      <c r="AZ65" t="s">
        <v>173</v>
      </c>
      <c r="BA65" t="s">
        <v>173</v>
      </c>
      <c r="BB65" t="s">
        <v>173</v>
      </c>
      <c r="BC65" t="s">
        <v>173</v>
      </c>
      <c r="BD65" t="s">
        <v>173</v>
      </c>
      <c r="BE65" t="s">
        <v>173</v>
      </c>
      <c r="BF65" t="s">
        <v>173</v>
      </c>
      <c r="BG65" t="s">
        <v>173</v>
      </c>
      <c r="BH65" t="s">
        <v>173</v>
      </c>
      <c r="BI65" t="s">
        <v>173</v>
      </c>
      <c r="BJ65" t="s">
        <v>173</v>
      </c>
      <c r="BK65" t="s">
        <v>173</v>
      </c>
      <c r="BL65" t="s">
        <v>173</v>
      </c>
      <c r="BM65" t="s">
        <v>173</v>
      </c>
      <c r="BN65" t="s">
        <v>173</v>
      </c>
      <c r="BO65" t="s">
        <v>173</v>
      </c>
      <c r="BP65" t="s">
        <v>173</v>
      </c>
      <c r="BQ65" t="s">
        <v>173</v>
      </c>
      <c r="BR65" t="s">
        <v>173</v>
      </c>
      <c r="BS65" t="s">
        <v>173</v>
      </c>
      <c r="BT65" t="s">
        <v>173</v>
      </c>
      <c r="BU65" t="s">
        <v>173</v>
      </c>
      <c r="BV65" t="s">
        <v>173</v>
      </c>
      <c r="BX65" t="s">
        <v>173</v>
      </c>
      <c r="BY65" t="s">
        <v>173</v>
      </c>
      <c r="BZ65" t="s">
        <v>173</v>
      </c>
      <c r="CA65" t="s">
        <v>173</v>
      </c>
      <c r="CB65" t="s">
        <v>173</v>
      </c>
      <c r="CC65" t="s">
        <v>173</v>
      </c>
      <c r="CD65" t="s">
        <v>173</v>
      </c>
      <c r="CE65" t="s">
        <v>173</v>
      </c>
      <c r="CF65" t="s">
        <v>173</v>
      </c>
      <c r="CG65" t="s">
        <v>173</v>
      </c>
      <c r="CH65" t="s">
        <v>173</v>
      </c>
      <c r="CI65" t="s">
        <v>173</v>
      </c>
      <c r="CJ65" t="s">
        <v>173</v>
      </c>
      <c r="CK65" t="s">
        <v>173</v>
      </c>
      <c r="CL65" t="s">
        <v>173</v>
      </c>
      <c r="CM65" t="s">
        <v>173</v>
      </c>
      <c r="CN65" t="s">
        <v>173</v>
      </c>
      <c r="CO65" t="s">
        <v>173</v>
      </c>
      <c r="CP65" t="s">
        <v>173</v>
      </c>
      <c r="CQ65" t="s">
        <v>173</v>
      </c>
      <c r="CR65" t="s">
        <v>173</v>
      </c>
      <c r="CS65" t="s">
        <v>173</v>
      </c>
      <c r="CT65" t="s">
        <v>173</v>
      </c>
      <c r="CU65" t="s">
        <v>173</v>
      </c>
      <c r="CV65" t="s">
        <v>173</v>
      </c>
      <c r="CW65" t="s">
        <v>173</v>
      </c>
      <c r="CX65" t="s">
        <v>173</v>
      </c>
      <c r="CY65" t="s">
        <v>173</v>
      </c>
      <c r="CZ65" t="s">
        <v>173</v>
      </c>
      <c r="DA65" t="s">
        <v>173</v>
      </c>
      <c r="DB65" t="s">
        <v>173</v>
      </c>
      <c r="DC65" t="s">
        <v>173</v>
      </c>
      <c r="DD65" t="s">
        <v>173</v>
      </c>
      <c r="DE65" t="s">
        <v>173</v>
      </c>
      <c r="DF65" t="s">
        <v>173</v>
      </c>
      <c r="DG65" t="s">
        <v>173</v>
      </c>
      <c r="DH65" t="s">
        <v>173</v>
      </c>
    </row>
    <row r="66" spans="1:112">
      <c r="A66">
        <v>53</v>
      </c>
      <c r="B66" t="s">
        <v>333</v>
      </c>
      <c r="C66" t="s">
        <v>334</v>
      </c>
      <c r="D66">
        <v>2024</v>
      </c>
      <c r="E66" t="s">
        <v>200</v>
      </c>
      <c r="F66" t="s">
        <v>335</v>
      </c>
      <c r="G66" t="s">
        <v>172</v>
      </c>
      <c r="H66">
        <v>0.79</v>
      </c>
      <c r="I66" t="s">
        <v>173</v>
      </c>
      <c r="J66" t="s">
        <v>173</v>
      </c>
      <c r="K66" t="s">
        <v>173</v>
      </c>
      <c r="L66" t="s">
        <v>173</v>
      </c>
      <c r="M66" t="s">
        <v>173</v>
      </c>
      <c r="N66" t="s">
        <v>173</v>
      </c>
      <c r="O66" t="s">
        <v>173</v>
      </c>
      <c r="P66" t="s">
        <v>173</v>
      </c>
      <c r="Q66" t="s">
        <v>173</v>
      </c>
      <c r="R66" t="s">
        <v>173</v>
      </c>
      <c r="S66" t="s">
        <v>173</v>
      </c>
      <c r="T66" t="s">
        <v>173</v>
      </c>
      <c r="U66" t="s">
        <v>173</v>
      </c>
      <c r="V66" t="s">
        <v>173</v>
      </c>
      <c r="W66" t="s">
        <v>173</v>
      </c>
      <c r="X66" t="s">
        <v>173</v>
      </c>
      <c r="Y66" t="s">
        <v>173</v>
      </c>
      <c r="Z66" t="s">
        <v>173</v>
      </c>
      <c r="AA66" t="s">
        <v>173</v>
      </c>
      <c r="AB66" t="s">
        <v>173</v>
      </c>
      <c r="AC66" t="s">
        <v>173</v>
      </c>
      <c r="AD66" t="s">
        <v>173</v>
      </c>
      <c r="AE66" t="s">
        <v>173</v>
      </c>
      <c r="AF66" t="s">
        <v>173</v>
      </c>
      <c r="AG66" t="s">
        <v>173</v>
      </c>
      <c r="AH66" t="s">
        <v>173</v>
      </c>
      <c r="AI66" t="s">
        <v>173</v>
      </c>
      <c r="AJ66" t="s">
        <v>173</v>
      </c>
      <c r="AK66" t="s">
        <v>173</v>
      </c>
      <c r="AL66" t="s">
        <v>173</v>
      </c>
      <c r="AM66" t="s">
        <v>173</v>
      </c>
      <c r="AN66" t="s">
        <v>173</v>
      </c>
      <c r="AO66" t="s">
        <v>173</v>
      </c>
      <c r="AP66" t="s">
        <v>173</v>
      </c>
      <c r="AQ66" t="s">
        <v>173</v>
      </c>
      <c r="AR66" t="s">
        <v>173</v>
      </c>
      <c r="AS66" t="s">
        <v>173</v>
      </c>
      <c r="AT66" t="s">
        <v>173</v>
      </c>
      <c r="AU66" t="s">
        <v>173</v>
      </c>
      <c r="AV66" t="s">
        <v>173</v>
      </c>
      <c r="AW66" t="s">
        <v>173</v>
      </c>
      <c r="AX66" t="s">
        <v>173</v>
      </c>
      <c r="AY66" t="s">
        <v>173</v>
      </c>
      <c r="AZ66" t="s">
        <v>173</v>
      </c>
      <c r="BA66" t="s">
        <v>173</v>
      </c>
      <c r="BB66" t="s">
        <v>173</v>
      </c>
      <c r="BC66" t="s">
        <v>173</v>
      </c>
      <c r="BD66" t="s">
        <v>173</v>
      </c>
      <c r="BE66" t="s">
        <v>173</v>
      </c>
      <c r="BF66" t="s">
        <v>173</v>
      </c>
      <c r="BG66" t="s">
        <v>173</v>
      </c>
      <c r="BH66" t="s">
        <v>173</v>
      </c>
      <c r="BI66" t="s">
        <v>173</v>
      </c>
      <c r="BJ66" t="s">
        <v>173</v>
      </c>
      <c r="BK66" t="s">
        <v>173</v>
      </c>
      <c r="BL66" t="s">
        <v>173</v>
      </c>
      <c r="BM66" t="s">
        <v>173</v>
      </c>
      <c r="BN66" t="s">
        <v>173</v>
      </c>
      <c r="BO66" t="s">
        <v>173</v>
      </c>
      <c r="BP66" t="s">
        <v>173</v>
      </c>
      <c r="BQ66" t="s">
        <v>173</v>
      </c>
      <c r="BR66" t="s">
        <v>173</v>
      </c>
      <c r="BS66" t="s">
        <v>173</v>
      </c>
      <c r="BT66" t="s">
        <v>173</v>
      </c>
      <c r="BU66" t="s">
        <v>173</v>
      </c>
      <c r="BV66" t="s">
        <v>173</v>
      </c>
      <c r="BX66" t="s">
        <v>173</v>
      </c>
      <c r="BY66" t="s">
        <v>173</v>
      </c>
      <c r="BZ66" t="s">
        <v>173</v>
      </c>
      <c r="CA66" t="s">
        <v>173</v>
      </c>
      <c r="CB66" t="s">
        <v>173</v>
      </c>
      <c r="CC66" t="s">
        <v>173</v>
      </c>
      <c r="CD66" t="s">
        <v>173</v>
      </c>
      <c r="CE66" t="s">
        <v>173</v>
      </c>
      <c r="CF66" t="s">
        <v>173</v>
      </c>
      <c r="CG66" t="s">
        <v>173</v>
      </c>
      <c r="CH66" t="s">
        <v>173</v>
      </c>
      <c r="CI66" t="s">
        <v>173</v>
      </c>
      <c r="CJ66" t="s">
        <v>173</v>
      </c>
      <c r="CK66" t="s">
        <v>173</v>
      </c>
      <c r="CL66" t="s">
        <v>173</v>
      </c>
      <c r="CM66" t="s">
        <v>173</v>
      </c>
      <c r="CN66" t="s">
        <v>173</v>
      </c>
      <c r="CO66" t="s">
        <v>173</v>
      </c>
      <c r="CP66" t="s">
        <v>173</v>
      </c>
      <c r="CQ66" t="s">
        <v>173</v>
      </c>
      <c r="CR66" t="s">
        <v>173</v>
      </c>
      <c r="CS66" t="s">
        <v>173</v>
      </c>
      <c r="CT66" t="s">
        <v>173</v>
      </c>
      <c r="CU66" t="s">
        <v>173</v>
      </c>
      <c r="CV66" t="s">
        <v>173</v>
      </c>
      <c r="CW66" t="s">
        <v>173</v>
      </c>
      <c r="CX66" t="s">
        <v>173</v>
      </c>
      <c r="CY66" t="s">
        <v>173</v>
      </c>
      <c r="CZ66" t="s">
        <v>173</v>
      </c>
      <c r="DA66" t="s">
        <v>173</v>
      </c>
      <c r="DB66" t="s">
        <v>173</v>
      </c>
      <c r="DC66" t="s">
        <v>173</v>
      </c>
      <c r="DD66" t="s">
        <v>173</v>
      </c>
      <c r="DE66" t="s">
        <v>173</v>
      </c>
      <c r="DF66" t="s">
        <v>173</v>
      </c>
      <c r="DG66" t="s">
        <v>173</v>
      </c>
      <c r="DH66" t="s">
        <v>173</v>
      </c>
    </row>
    <row r="67" spans="1:112">
      <c r="A67">
        <v>53</v>
      </c>
      <c r="B67" t="s">
        <v>333</v>
      </c>
      <c r="C67" t="s">
        <v>334</v>
      </c>
      <c r="D67">
        <v>2024</v>
      </c>
      <c r="E67" t="s">
        <v>200</v>
      </c>
      <c r="F67" t="s">
        <v>335</v>
      </c>
      <c r="G67" t="s">
        <v>172</v>
      </c>
      <c r="H67">
        <v>0.79</v>
      </c>
      <c r="I67" t="s">
        <v>173</v>
      </c>
      <c r="J67" t="s">
        <v>173</v>
      </c>
      <c r="K67" t="s">
        <v>173</v>
      </c>
      <c r="L67" t="s">
        <v>173</v>
      </c>
      <c r="M67" t="s">
        <v>173</v>
      </c>
      <c r="N67" t="s">
        <v>173</v>
      </c>
      <c r="O67" t="s">
        <v>173</v>
      </c>
      <c r="P67" t="s">
        <v>173</v>
      </c>
      <c r="Q67" t="s">
        <v>173</v>
      </c>
      <c r="R67" t="s">
        <v>173</v>
      </c>
      <c r="S67" t="s">
        <v>173</v>
      </c>
      <c r="T67" t="s">
        <v>173</v>
      </c>
      <c r="U67" t="s">
        <v>173</v>
      </c>
      <c r="V67" t="s">
        <v>173</v>
      </c>
      <c r="W67" t="s">
        <v>173</v>
      </c>
      <c r="X67" t="s">
        <v>173</v>
      </c>
      <c r="Y67" t="s">
        <v>173</v>
      </c>
      <c r="Z67" t="s">
        <v>173</v>
      </c>
      <c r="AA67" t="s">
        <v>173</v>
      </c>
      <c r="AB67" t="s">
        <v>173</v>
      </c>
      <c r="AC67" t="s">
        <v>173</v>
      </c>
      <c r="AD67" t="s">
        <v>173</v>
      </c>
      <c r="AE67" t="s">
        <v>173</v>
      </c>
      <c r="AF67" t="s">
        <v>173</v>
      </c>
      <c r="AG67" t="s">
        <v>173</v>
      </c>
      <c r="AH67" t="s">
        <v>173</v>
      </c>
      <c r="AI67" t="s">
        <v>173</v>
      </c>
      <c r="AJ67" t="s">
        <v>173</v>
      </c>
      <c r="AK67" t="s">
        <v>173</v>
      </c>
      <c r="AL67" t="s">
        <v>173</v>
      </c>
      <c r="AM67" t="s">
        <v>173</v>
      </c>
      <c r="AN67" t="s">
        <v>173</v>
      </c>
      <c r="AO67" t="s">
        <v>173</v>
      </c>
      <c r="AP67" t="s">
        <v>173</v>
      </c>
      <c r="AQ67" t="s">
        <v>173</v>
      </c>
      <c r="AR67" t="s">
        <v>173</v>
      </c>
      <c r="AS67" t="s">
        <v>173</v>
      </c>
      <c r="AT67" t="s">
        <v>173</v>
      </c>
      <c r="AU67" t="s">
        <v>173</v>
      </c>
      <c r="AV67" t="s">
        <v>173</v>
      </c>
      <c r="AW67" t="s">
        <v>173</v>
      </c>
      <c r="AX67" t="s">
        <v>173</v>
      </c>
      <c r="AY67" t="s">
        <v>173</v>
      </c>
      <c r="AZ67" t="s">
        <v>173</v>
      </c>
      <c r="BA67" t="s">
        <v>173</v>
      </c>
      <c r="BB67" t="s">
        <v>173</v>
      </c>
      <c r="BC67" t="s">
        <v>173</v>
      </c>
      <c r="BD67" t="s">
        <v>173</v>
      </c>
      <c r="BE67" t="s">
        <v>173</v>
      </c>
      <c r="BF67" t="s">
        <v>173</v>
      </c>
      <c r="BG67" t="s">
        <v>173</v>
      </c>
      <c r="BH67" t="s">
        <v>173</v>
      </c>
      <c r="BI67" t="s">
        <v>173</v>
      </c>
      <c r="BJ67" t="s">
        <v>173</v>
      </c>
      <c r="BK67" t="s">
        <v>173</v>
      </c>
      <c r="BL67" t="s">
        <v>173</v>
      </c>
      <c r="BM67" t="s">
        <v>173</v>
      </c>
      <c r="BN67" t="s">
        <v>173</v>
      </c>
      <c r="BO67" t="s">
        <v>173</v>
      </c>
      <c r="BP67" t="s">
        <v>173</v>
      </c>
      <c r="BQ67" t="s">
        <v>173</v>
      </c>
      <c r="BR67" t="s">
        <v>173</v>
      </c>
      <c r="BS67" t="s">
        <v>173</v>
      </c>
      <c r="BT67" t="s">
        <v>173</v>
      </c>
      <c r="BU67" t="s">
        <v>173</v>
      </c>
      <c r="BV67" t="s">
        <v>173</v>
      </c>
      <c r="BX67" t="s">
        <v>173</v>
      </c>
      <c r="BY67" t="s">
        <v>173</v>
      </c>
      <c r="BZ67" t="s">
        <v>173</v>
      </c>
      <c r="CA67" t="s">
        <v>173</v>
      </c>
      <c r="CB67" t="s">
        <v>173</v>
      </c>
      <c r="CC67" t="s">
        <v>173</v>
      </c>
      <c r="CD67" t="s">
        <v>173</v>
      </c>
      <c r="CE67" t="s">
        <v>173</v>
      </c>
      <c r="CF67" t="s">
        <v>173</v>
      </c>
      <c r="CG67" t="s">
        <v>173</v>
      </c>
      <c r="CH67" t="s">
        <v>173</v>
      </c>
      <c r="CI67" t="s">
        <v>173</v>
      </c>
      <c r="CJ67" t="s">
        <v>173</v>
      </c>
      <c r="CK67" t="s">
        <v>173</v>
      </c>
      <c r="CL67" t="s">
        <v>173</v>
      </c>
      <c r="CM67" t="s">
        <v>173</v>
      </c>
      <c r="CN67" t="s">
        <v>173</v>
      </c>
      <c r="CO67" t="s">
        <v>173</v>
      </c>
      <c r="CP67" t="s">
        <v>173</v>
      </c>
      <c r="CQ67" t="s">
        <v>173</v>
      </c>
      <c r="CR67" t="s">
        <v>173</v>
      </c>
      <c r="CS67" t="s">
        <v>173</v>
      </c>
      <c r="CT67" t="s">
        <v>173</v>
      </c>
      <c r="CU67" t="s">
        <v>173</v>
      </c>
      <c r="CV67" t="s">
        <v>173</v>
      </c>
      <c r="CW67" t="s">
        <v>173</v>
      </c>
      <c r="CX67" t="s">
        <v>173</v>
      </c>
      <c r="CY67" t="s">
        <v>173</v>
      </c>
      <c r="CZ67" t="s">
        <v>173</v>
      </c>
      <c r="DA67" t="s">
        <v>173</v>
      </c>
      <c r="DB67" t="s">
        <v>173</v>
      </c>
      <c r="DC67" t="s">
        <v>173</v>
      </c>
      <c r="DD67" t="s">
        <v>173</v>
      </c>
      <c r="DE67" t="s">
        <v>173</v>
      </c>
      <c r="DF67" t="s">
        <v>173</v>
      </c>
      <c r="DG67" t="s">
        <v>173</v>
      </c>
      <c r="DH67" t="s">
        <v>173</v>
      </c>
    </row>
    <row r="68" spans="1:112">
      <c r="A68">
        <v>53</v>
      </c>
      <c r="B68" t="s">
        <v>333</v>
      </c>
      <c r="C68" t="s">
        <v>334</v>
      </c>
      <c r="D68">
        <v>2024</v>
      </c>
      <c r="E68" t="s">
        <v>200</v>
      </c>
      <c r="F68" t="s">
        <v>335</v>
      </c>
      <c r="G68" t="s">
        <v>172</v>
      </c>
      <c r="H68">
        <v>0.79</v>
      </c>
      <c r="I68" t="s">
        <v>173</v>
      </c>
      <c r="J68" t="s">
        <v>173</v>
      </c>
      <c r="K68" t="s">
        <v>173</v>
      </c>
      <c r="L68" t="s">
        <v>173</v>
      </c>
      <c r="M68" t="s">
        <v>173</v>
      </c>
      <c r="N68" t="s">
        <v>173</v>
      </c>
      <c r="O68" t="s">
        <v>173</v>
      </c>
      <c r="P68" t="s">
        <v>173</v>
      </c>
      <c r="Q68" t="s">
        <v>173</v>
      </c>
      <c r="R68" t="s">
        <v>173</v>
      </c>
      <c r="S68" t="s">
        <v>173</v>
      </c>
      <c r="T68" t="s">
        <v>173</v>
      </c>
      <c r="U68" t="s">
        <v>173</v>
      </c>
      <c r="V68" t="s">
        <v>173</v>
      </c>
      <c r="W68" t="s">
        <v>173</v>
      </c>
      <c r="X68" t="s">
        <v>173</v>
      </c>
      <c r="Y68" t="s">
        <v>173</v>
      </c>
      <c r="Z68" t="s">
        <v>173</v>
      </c>
      <c r="AA68" t="s">
        <v>173</v>
      </c>
      <c r="AB68" t="s">
        <v>173</v>
      </c>
      <c r="AC68" t="s">
        <v>173</v>
      </c>
      <c r="AD68" t="s">
        <v>173</v>
      </c>
      <c r="AE68" t="s">
        <v>173</v>
      </c>
      <c r="AF68" t="s">
        <v>173</v>
      </c>
      <c r="AG68" t="s">
        <v>173</v>
      </c>
      <c r="AH68" t="s">
        <v>173</v>
      </c>
      <c r="AI68" t="s">
        <v>173</v>
      </c>
      <c r="AJ68" t="s">
        <v>173</v>
      </c>
      <c r="AK68" t="s">
        <v>173</v>
      </c>
      <c r="AL68" t="s">
        <v>173</v>
      </c>
      <c r="AM68" t="s">
        <v>173</v>
      </c>
      <c r="AN68" t="s">
        <v>173</v>
      </c>
      <c r="AO68" t="s">
        <v>173</v>
      </c>
      <c r="AP68" t="s">
        <v>173</v>
      </c>
      <c r="AQ68" t="s">
        <v>173</v>
      </c>
      <c r="AR68" t="s">
        <v>173</v>
      </c>
      <c r="AS68" t="s">
        <v>173</v>
      </c>
      <c r="AT68" t="s">
        <v>173</v>
      </c>
      <c r="AU68" t="s">
        <v>173</v>
      </c>
      <c r="AV68" t="s">
        <v>173</v>
      </c>
      <c r="AW68" t="s">
        <v>173</v>
      </c>
      <c r="AX68" t="s">
        <v>173</v>
      </c>
      <c r="AY68" t="s">
        <v>173</v>
      </c>
      <c r="AZ68" t="s">
        <v>173</v>
      </c>
      <c r="BA68" t="s">
        <v>173</v>
      </c>
      <c r="BB68" t="s">
        <v>173</v>
      </c>
      <c r="BC68" t="s">
        <v>173</v>
      </c>
      <c r="BD68" t="s">
        <v>173</v>
      </c>
      <c r="BE68" t="s">
        <v>173</v>
      </c>
      <c r="BF68" t="s">
        <v>173</v>
      </c>
      <c r="BG68" t="s">
        <v>173</v>
      </c>
      <c r="BH68" t="s">
        <v>173</v>
      </c>
      <c r="BI68" t="s">
        <v>173</v>
      </c>
      <c r="BJ68" t="s">
        <v>173</v>
      </c>
      <c r="BK68" t="s">
        <v>173</v>
      </c>
      <c r="BL68" t="s">
        <v>173</v>
      </c>
      <c r="BM68" t="s">
        <v>173</v>
      </c>
      <c r="BN68" t="s">
        <v>173</v>
      </c>
      <c r="BO68" t="s">
        <v>173</v>
      </c>
      <c r="BP68" t="s">
        <v>173</v>
      </c>
      <c r="BQ68" t="s">
        <v>173</v>
      </c>
      <c r="BR68" t="s">
        <v>173</v>
      </c>
      <c r="BS68" t="s">
        <v>173</v>
      </c>
      <c r="BT68" t="s">
        <v>173</v>
      </c>
      <c r="BU68" t="s">
        <v>173</v>
      </c>
      <c r="BV68" t="s">
        <v>173</v>
      </c>
      <c r="BX68" t="s">
        <v>173</v>
      </c>
      <c r="BY68" t="s">
        <v>173</v>
      </c>
      <c r="BZ68" t="s">
        <v>173</v>
      </c>
      <c r="CA68" t="s">
        <v>173</v>
      </c>
      <c r="CB68" t="s">
        <v>173</v>
      </c>
      <c r="CC68" t="s">
        <v>173</v>
      </c>
      <c r="CD68" t="s">
        <v>173</v>
      </c>
      <c r="CE68" t="s">
        <v>173</v>
      </c>
      <c r="CF68" t="s">
        <v>173</v>
      </c>
      <c r="CG68" t="s">
        <v>173</v>
      </c>
      <c r="CH68" t="s">
        <v>173</v>
      </c>
      <c r="CI68" t="s">
        <v>173</v>
      </c>
      <c r="CJ68" t="s">
        <v>173</v>
      </c>
      <c r="CK68" t="s">
        <v>173</v>
      </c>
      <c r="CL68" t="s">
        <v>173</v>
      </c>
      <c r="CM68" t="s">
        <v>173</v>
      </c>
      <c r="CN68" t="s">
        <v>173</v>
      </c>
      <c r="CO68" t="s">
        <v>173</v>
      </c>
      <c r="CP68" t="s">
        <v>173</v>
      </c>
      <c r="CQ68" t="s">
        <v>173</v>
      </c>
      <c r="CR68" t="s">
        <v>173</v>
      </c>
      <c r="CS68" t="s">
        <v>173</v>
      </c>
      <c r="CT68" t="s">
        <v>173</v>
      </c>
      <c r="CU68" t="s">
        <v>173</v>
      </c>
      <c r="CV68" t="s">
        <v>173</v>
      </c>
      <c r="CW68" t="s">
        <v>173</v>
      </c>
      <c r="CX68" t="s">
        <v>173</v>
      </c>
      <c r="CY68" t="s">
        <v>173</v>
      </c>
      <c r="CZ68" t="s">
        <v>173</v>
      </c>
      <c r="DA68" t="s">
        <v>173</v>
      </c>
      <c r="DB68" t="s">
        <v>173</v>
      </c>
      <c r="DC68" t="s">
        <v>173</v>
      </c>
      <c r="DD68" t="s">
        <v>173</v>
      </c>
      <c r="DE68" t="s">
        <v>173</v>
      </c>
      <c r="DF68" t="s">
        <v>173</v>
      </c>
      <c r="DG68" t="s">
        <v>173</v>
      </c>
      <c r="DH68" t="s">
        <v>173</v>
      </c>
    </row>
    <row r="69" spans="1:112">
      <c r="A69">
        <v>53</v>
      </c>
      <c r="B69" t="s">
        <v>333</v>
      </c>
      <c r="C69" t="s">
        <v>334</v>
      </c>
      <c r="D69">
        <v>2024</v>
      </c>
      <c r="E69" t="s">
        <v>200</v>
      </c>
      <c r="F69" t="s">
        <v>335</v>
      </c>
      <c r="G69" t="s">
        <v>172</v>
      </c>
      <c r="H69">
        <v>0.79</v>
      </c>
      <c r="I69" t="s">
        <v>173</v>
      </c>
      <c r="J69" t="s">
        <v>173</v>
      </c>
      <c r="K69" t="s">
        <v>173</v>
      </c>
      <c r="L69" t="s">
        <v>173</v>
      </c>
      <c r="M69" t="s">
        <v>173</v>
      </c>
      <c r="N69" t="s">
        <v>173</v>
      </c>
      <c r="O69" t="s">
        <v>173</v>
      </c>
      <c r="P69" t="s">
        <v>173</v>
      </c>
      <c r="Q69" t="s">
        <v>173</v>
      </c>
      <c r="R69" t="s">
        <v>173</v>
      </c>
      <c r="S69" t="s">
        <v>173</v>
      </c>
      <c r="T69" t="s">
        <v>173</v>
      </c>
      <c r="U69" t="s">
        <v>173</v>
      </c>
      <c r="V69" t="s">
        <v>173</v>
      </c>
      <c r="W69" t="s">
        <v>173</v>
      </c>
      <c r="X69" t="s">
        <v>173</v>
      </c>
      <c r="Y69" t="s">
        <v>173</v>
      </c>
      <c r="Z69" t="s">
        <v>173</v>
      </c>
      <c r="AA69" t="s">
        <v>173</v>
      </c>
      <c r="AB69" t="s">
        <v>173</v>
      </c>
      <c r="AC69" t="s">
        <v>173</v>
      </c>
      <c r="AD69" t="s">
        <v>173</v>
      </c>
      <c r="AE69" t="s">
        <v>173</v>
      </c>
      <c r="AF69" t="s">
        <v>173</v>
      </c>
      <c r="AG69" t="s">
        <v>173</v>
      </c>
      <c r="AH69" t="s">
        <v>173</v>
      </c>
      <c r="AI69" t="s">
        <v>173</v>
      </c>
      <c r="AJ69" t="s">
        <v>173</v>
      </c>
      <c r="AK69" t="s">
        <v>173</v>
      </c>
      <c r="AL69" t="s">
        <v>173</v>
      </c>
      <c r="AM69" t="s">
        <v>173</v>
      </c>
      <c r="AN69" t="s">
        <v>173</v>
      </c>
      <c r="AO69" t="s">
        <v>173</v>
      </c>
      <c r="AP69" t="s">
        <v>173</v>
      </c>
      <c r="AQ69" t="s">
        <v>173</v>
      </c>
      <c r="AR69" t="s">
        <v>173</v>
      </c>
      <c r="AS69" t="s">
        <v>173</v>
      </c>
      <c r="AT69" t="s">
        <v>173</v>
      </c>
      <c r="AU69" t="s">
        <v>173</v>
      </c>
      <c r="AV69" t="s">
        <v>173</v>
      </c>
      <c r="AW69" t="s">
        <v>173</v>
      </c>
      <c r="AX69" t="s">
        <v>173</v>
      </c>
      <c r="AY69" t="s">
        <v>173</v>
      </c>
      <c r="AZ69" t="s">
        <v>173</v>
      </c>
      <c r="BA69" t="s">
        <v>173</v>
      </c>
      <c r="BB69" t="s">
        <v>173</v>
      </c>
      <c r="BC69" t="s">
        <v>173</v>
      </c>
      <c r="BD69" t="s">
        <v>173</v>
      </c>
      <c r="BE69" t="s">
        <v>173</v>
      </c>
      <c r="BF69" t="s">
        <v>173</v>
      </c>
      <c r="BG69" t="s">
        <v>173</v>
      </c>
      <c r="BH69" t="s">
        <v>173</v>
      </c>
      <c r="BI69" t="s">
        <v>173</v>
      </c>
      <c r="BJ69" t="s">
        <v>173</v>
      </c>
      <c r="BK69" t="s">
        <v>173</v>
      </c>
      <c r="BL69" t="s">
        <v>173</v>
      </c>
      <c r="BM69" t="s">
        <v>173</v>
      </c>
      <c r="BN69" t="s">
        <v>173</v>
      </c>
      <c r="BO69" t="s">
        <v>173</v>
      </c>
      <c r="BP69" t="s">
        <v>173</v>
      </c>
      <c r="BQ69" t="s">
        <v>173</v>
      </c>
      <c r="BR69" t="s">
        <v>173</v>
      </c>
      <c r="BS69" t="s">
        <v>173</v>
      </c>
      <c r="BT69" t="s">
        <v>173</v>
      </c>
      <c r="BU69" t="s">
        <v>173</v>
      </c>
      <c r="BV69" t="s">
        <v>173</v>
      </c>
      <c r="BX69" t="s">
        <v>173</v>
      </c>
      <c r="BY69" t="s">
        <v>173</v>
      </c>
      <c r="BZ69" t="s">
        <v>173</v>
      </c>
      <c r="CA69" t="s">
        <v>173</v>
      </c>
      <c r="CB69" t="s">
        <v>173</v>
      </c>
      <c r="CC69" t="s">
        <v>173</v>
      </c>
      <c r="CD69" t="s">
        <v>173</v>
      </c>
      <c r="CE69" t="s">
        <v>173</v>
      </c>
      <c r="CF69" t="s">
        <v>173</v>
      </c>
      <c r="CG69" t="s">
        <v>173</v>
      </c>
      <c r="CH69" t="s">
        <v>173</v>
      </c>
      <c r="CI69" t="s">
        <v>173</v>
      </c>
      <c r="CJ69" t="s">
        <v>173</v>
      </c>
      <c r="CK69" t="s">
        <v>173</v>
      </c>
      <c r="CL69" t="s">
        <v>173</v>
      </c>
      <c r="CM69" t="s">
        <v>173</v>
      </c>
      <c r="CN69" t="s">
        <v>173</v>
      </c>
      <c r="CO69" t="s">
        <v>173</v>
      </c>
      <c r="CP69" t="s">
        <v>173</v>
      </c>
      <c r="CQ69" t="s">
        <v>173</v>
      </c>
      <c r="CR69" t="s">
        <v>173</v>
      </c>
      <c r="CS69" t="s">
        <v>173</v>
      </c>
      <c r="CT69" t="s">
        <v>173</v>
      </c>
      <c r="CU69" t="s">
        <v>173</v>
      </c>
      <c r="CV69" t="s">
        <v>173</v>
      </c>
      <c r="CW69" t="s">
        <v>173</v>
      </c>
      <c r="CX69" t="s">
        <v>173</v>
      </c>
      <c r="CY69" t="s">
        <v>173</v>
      </c>
      <c r="CZ69" t="s">
        <v>173</v>
      </c>
      <c r="DA69" t="s">
        <v>173</v>
      </c>
      <c r="DB69" t="s">
        <v>173</v>
      </c>
      <c r="DC69" t="s">
        <v>173</v>
      </c>
      <c r="DD69" t="s">
        <v>173</v>
      </c>
      <c r="DE69" t="s">
        <v>173</v>
      </c>
      <c r="DF69" t="s">
        <v>173</v>
      </c>
      <c r="DG69" t="s">
        <v>173</v>
      </c>
      <c r="DH69" t="s">
        <v>173</v>
      </c>
    </row>
    <row r="70" spans="1:112">
      <c r="A70">
        <v>53</v>
      </c>
      <c r="B70" t="s">
        <v>333</v>
      </c>
      <c r="C70" t="s">
        <v>334</v>
      </c>
      <c r="D70">
        <v>2024</v>
      </c>
      <c r="E70" t="s">
        <v>200</v>
      </c>
      <c r="F70" t="s">
        <v>335</v>
      </c>
      <c r="G70" t="s">
        <v>172</v>
      </c>
      <c r="H70">
        <v>0.79</v>
      </c>
      <c r="I70" t="s">
        <v>173</v>
      </c>
      <c r="J70" t="s">
        <v>173</v>
      </c>
      <c r="K70" t="s">
        <v>173</v>
      </c>
      <c r="L70" t="s">
        <v>173</v>
      </c>
      <c r="M70" t="s">
        <v>173</v>
      </c>
      <c r="N70" t="s">
        <v>173</v>
      </c>
      <c r="O70" t="s">
        <v>173</v>
      </c>
      <c r="P70" t="s">
        <v>173</v>
      </c>
      <c r="Q70" t="s">
        <v>173</v>
      </c>
      <c r="R70" t="s">
        <v>173</v>
      </c>
      <c r="S70" t="s">
        <v>173</v>
      </c>
      <c r="T70" t="s">
        <v>173</v>
      </c>
      <c r="U70" t="s">
        <v>173</v>
      </c>
      <c r="V70" t="s">
        <v>173</v>
      </c>
      <c r="W70" t="s">
        <v>173</v>
      </c>
      <c r="X70" t="s">
        <v>173</v>
      </c>
      <c r="Y70" t="s">
        <v>173</v>
      </c>
      <c r="Z70" t="s">
        <v>173</v>
      </c>
      <c r="AA70" t="s">
        <v>173</v>
      </c>
      <c r="AB70" t="s">
        <v>173</v>
      </c>
      <c r="AC70" t="s">
        <v>173</v>
      </c>
      <c r="AD70" t="s">
        <v>173</v>
      </c>
      <c r="AE70" t="s">
        <v>173</v>
      </c>
      <c r="AF70" t="s">
        <v>173</v>
      </c>
      <c r="AG70" t="s">
        <v>173</v>
      </c>
      <c r="AH70" t="s">
        <v>173</v>
      </c>
      <c r="AI70" t="s">
        <v>173</v>
      </c>
      <c r="AJ70" t="s">
        <v>173</v>
      </c>
      <c r="AK70" t="s">
        <v>173</v>
      </c>
      <c r="AL70" t="s">
        <v>173</v>
      </c>
      <c r="AM70" t="s">
        <v>173</v>
      </c>
      <c r="AN70" t="s">
        <v>173</v>
      </c>
      <c r="AO70" t="s">
        <v>173</v>
      </c>
      <c r="AP70" t="s">
        <v>173</v>
      </c>
      <c r="AQ70" t="s">
        <v>173</v>
      </c>
      <c r="AR70" t="s">
        <v>173</v>
      </c>
      <c r="AS70" t="s">
        <v>173</v>
      </c>
      <c r="AT70" t="s">
        <v>173</v>
      </c>
      <c r="AU70" t="s">
        <v>173</v>
      </c>
      <c r="AV70" t="s">
        <v>173</v>
      </c>
      <c r="AW70" t="s">
        <v>173</v>
      </c>
      <c r="AX70" t="s">
        <v>173</v>
      </c>
      <c r="AY70" t="s">
        <v>173</v>
      </c>
      <c r="AZ70" t="s">
        <v>173</v>
      </c>
      <c r="BA70" t="s">
        <v>173</v>
      </c>
      <c r="BB70" t="s">
        <v>173</v>
      </c>
      <c r="BC70" t="s">
        <v>173</v>
      </c>
      <c r="BD70" t="s">
        <v>173</v>
      </c>
      <c r="BE70" t="s">
        <v>173</v>
      </c>
      <c r="BF70" t="s">
        <v>173</v>
      </c>
      <c r="BG70" t="s">
        <v>173</v>
      </c>
      <c r="BH70" t="s">
        <v>173</v>
      </c>
      <c r="BI70" t="s">
        <v>173</v>
      </c>
      <c r="BJ70" t="s">
        <v>173</v>
      </c>
      <c r="BK70" t="s">
        <v>173</v>
      </c>
      <c r="BL70" t="s">
        <v>173</v>
      </c>
      <c r="BM70" t="s">
        <v>173</v>
      </c>
      <c r="BN70" t="s">
        <v>173</v>
      </c>
      <c r="BO70" t="s">
        <v>173</v>
      </c>
      <c r="BP70" t="s">
        <v>173</v>
      </c>
      <c r="BQ70" t="s">
        <v>173</v>
      </c>
      <c r="BR70" t="s">
        <v>173</v>
      </c>
      <c r="BS70" t="s">
        <v>173</v>
      </c>
      <c r="BT70" t="s">
        <v>173</v>
      </c>
      <c r="BU70" t="s">
        <v>173</v>
      </c>
      <c r="BV70" t="s">
        <v>173</v>
      </c>
      <c r="BX70" t="s">
        <v>173</v>
      </c>
      <c r="BY70" t="s">
        <v>173</v>
      </c>
      <c r="BZ70" t="s">
        <v>173</v>
      </c>
      <c r="CA70" t="s">
        <v>173</v>
      </c>
      <c r="CB70" t="s">
        <v>173</v>
      </c>
      <c r="CC70" t="s">
        <v>173</v>
      </c>
      <c r="CD70" t="s">
        <v>173</v>
      </c>
      <c r="CE70" t="s">
        <v>173</v>
      </c>
      <c r="CF70" t="s">
        <v>173</v>
      </c>
      <c r="CG70" t="s">
        <v>173</v>
      </c>
      <c r="CH70" t="s">
        <v>173</v>
      </c>
      <c r="CI70" t="s">
        <v>173</v>
      </c>
      <c r="CJ70" t="s">
        <v>173</v>
      </c>
      <c r="CK70" t="s">
        <v>173</v>
      </c>
      <c r="CL70" t="s">
        <v>173</v>
      </c>
      <c r="CM70" t="s">
        <v>173</v>
      </c>
      <c r="CN70" t="s">
        <v>173</v>
      </c>
      <c r="CO70" t="s">
        <v>173</v>
      </c>
      <c r="CP70" t="s">
        <v>173</v>
      </c>
      <c r="CQ70" t="s">
        <v>173</v>
      </c>
      <c r="CR70" t="s">
        <v>173</v>
      </c>
      <c r="CS70" t="s">
        <v>173</v>
      </c>
      <c r="CT70" t="s">
        <v>173</v>
      </c>
      <c r="CU70" t="s">
        <v>173</v>
      </c>
      <c r="CV70" t="s">
        <v>173</v>
      </c>
      <c r="CW70" t="s">
        <v>173</v>
      </c>
      <c r="CX70" t="s">
        <v>173</v>
      </c>
      <c r="CY70" t="s">
        <v>173</v>
      </c>
      <c r="CZ70" t="s">
        <v>173</v>
      </c>
      <c r="DA70" t="s">
        <v>173</v>
      </c>
      <c r="DB70" t="s">
        <v>173</v>
      </c>
      <c r="DC70" t="s">
        <v>173</v>
      </c>
      <c r="DD70" t="s">
        <v>173</v>
      </c>
      <c r="DE70" t="s">
        <v>173</v>
      </c>
      <c r="DF70" t="s">
        <v>173</v>
      </c>
      <c r="DG70" t="s">
        <v>173</v>
      </c>
      <c r="DH70" t="s">
        <v>173</v>
      </c>
    </row>
    <row r="71" spans="1:112">
      <c r="A71">
        <v>53</v>
      </c>
      <c r="B71" t="s">
        <v>333</v>
      </c>
      <c r="C71" t="s">
        <v>334</v>
      </c>
      <c r="D71">
        <v>2024</v>
      </c>
      <c r="E71" t="s">
        <v>200</v>
      </c>
      <c r="F71" t="s">
        <v>335</v>
      </c>
      <c r="G71" t="s">
        <v>172</v>
      </c>
      <c r="H71">
        <v>0.79</v>
      </c>
      <c r="I71" t="s">
        <v>173</v>
      </c>
      <c r="J71" t="s">
        <v>173</v>
      </c>
      <c r="K71" t="s">
        <v>173</v>
      </c>
      <c r="L71" t="s">
        <v>173</v>
      </c>
      <c r="M71" t="s">
        <v>173</v>
      </c>
      <c r="N71" t="s">
        <v>173</v>
      </c>
      <c r="O71" t="s">
        <v>173</v>
      </c>
      <c r="P71" t="s">
        <v>173</v>
      </c>
      <c r="Q71" t="s">
        <v>173</v>
      </c>
      <c r="R71" t="s">
        <v>173</v>
      </c>
      <c r="S71" t="s">
        <v>173</v>
      </c>
      <c r="T71" t="s">
        <v>173</v>
      </c>
      <c r="U71" t="s">
        <v>173</v>
      </c>
      <c r="V71" t="s">
        <v>173</v>
      </c>
      <c r="W71" t="s">
        <v>173</v>
      </c>
      <c r="X71" t="s">
        <v>173</v>
      </c>
      <c r="Y71" t="s">
        <v>173</v>
      </c>
      <c r="Z71" t="s">
        <v>173</v>
      </c>
      <c r="AA71" t="s">
        <v>173</v>
      </c>
      <c r="AB71" t="s">
        <v>173</v>
      </c>
      <c r="AC71" t="s">
        <v>173</v>
      </c>
      <c r="AD71" t="s">
        <v>173</v>
      </c>
      <c r="AE71" t="s">
        <v>173</v>
      </c>
      <c r="AF71" t="s">
        <v>173</v>
      </c>
      <c r="AG71" t="s">
        <v>173</v>
      </c>
      <c r="AH71" t="s">
        <v>173</v>
      </c>
      <c r="AI71" t="s">
        <v>173</v>
      </c>
      <c r="AJ71" t="s">
        <v>173</v>
      </c>
      <c r="AK71" t="s">
        <v>173</v>
      </c>
      <c r="AL71" t="s">
        <v>173</v>
      </c>
      <c r="AM71" t="s">
        <v>173</v>
      </c>
      <c r="AN71" t="s">
        <v>173</v>
      </c>
      <c r="AO71" t="s">
        <v>173</v>
      </c>
      <c r="AP71" t="s">
        <v>173</v>
      </c>
      <c r="AQ71" t="s">
        <v>173</v>
      </c>
      <c r="AR71" t="s">
        <v>173</v>
      </c>
      <c r="AS71" t="s">
        <v>173</v>
      </c>
      <c r="AT71" t="s">
        <v>173</v>
      </c>
      <c r="AU71" t="s">
        <v>173</v>
      </c>
      <c r="AV71" t="s">
        <v>173</v>
      </c>
      <c r="AW71" t="s">
        <v>173</v>
      </c>
      <c r="AX71" t="s">
        <v>173</v>
      </c>
      <c r="AY71" t="s">
        <v>173</v>
      </c>
      <c r="AZ71" t="s">
        <v>173</v>
      </c>
      <c r="BA71" t="s">
        <v>173</v>
      </c>
      <c r="BB71" t="s">
        <v>173</v>
      </c>
      <c r="BC71" t="s">
        <v>173</v>
      </c>
      <c r="BD71" t="s">
        <v>173</v>
      </c>
      <c r="BE71" t="s">
        <v>173</v>
      </c>
      <c r="BF71" t="s">
        <v>173</v>
      </c>
      <c r="BG71" t="s">
        <v>173</v>
      </c>
      <c r="BH71" t="s">
        <v>173</v>
      </c>
      <c r="BI71" t="s">
        <v>173</v>
      </c>
      <c r="BJ71" t="s">
        <v>173</v>
      </c>
      <c r="BK71" t="s">
        <v>173</v>
      </c>
      <c r="BL71" t="s">
        <v>173</v>
      </c>
      <c r="BM71" t="s">
        <v>173</v>
      </c>
      <c r="BN71" t="s">
        <v>173</v>
      </c>
      <c r="BO71" t="s">
        <v>173</v>
      </c>
      <c r="BP71" t="s">
        <v>173</v>
      </c>
      <c r="BQ71" t="s">
        <v>173</v>
      </c>
      <c r="BR71" t="s">
        <v>173</v>
      </c>
      <c r="BS71" t="s">
        <v>173</v>
      </c>
      <c r="BT71" t="s">
        <v>173</v>
      </c>
      <c r="BU71" t="s">
        <v>173</v>
      </c>
      <c r="BV71" t="s">
        <v>173</v>
      </c>
      <c r="BX71" t="s">
        <v>173</v>
      </c>
      <c r="BY71" t="s">
        <v>173</v>
      </c>
      <c r="BZ71" t="s">
        <v>173</v>
      </c>
      <c r="CA71" t="s">
        <v>173</v>
      </c>
      <c r="CB71" t="s">
        <v>173</v>
      </c>
      <c r="CC71" t="s">
        <v>173</v>
      </c>
      <c r="CD71" t="s">
        <v>173</v>
      </c>
      <c r="CE71" t="s">
        <v>173</v>
      </c>
      <c r="CF71" t="s">
        <v>173</v>
      </c>
      <c r="CG71" t="s">
        <v>173</v>
      </c>
      <c r="CH71" t="s">
        <v>173</v>
      </c>
      <c r="CI71" t="s">
        <v>173</v>
      </c>
      <c r="CJ71" t="s">
        <v>173</v>
      </c>
      <c r="CK71" t="s">
        <v>173</v>
      </c>
      <c r="CL71" t="s">
        <v>173</v>
      </c>
      <c r="CM71" t="s">
        <v>173</v>
      </c>
      <c r="CN71" t="s">
        <v>173</v>
      </c>
      <c r="CO71" t="s">
        <v>173</v>
      </c>
      <c r="CP71" t="s">
        <v>173</v>
      </c>
      <c r="CQ71" t="s">
        <v>173</v>
      </c>
      <c r="CR71" t="s">
        <v>173</v>
      </c>
      <c r="CS71" t="s">
        <v>173</v>
      </c>
      <c r="CT71" t="s">
        <v>173</v>
      </c>
      <c r="CU71" t="s">
        <v>173</v>
      </c>
      <c r="CV71" t="s">
        <v>173</v>
      </c>
      <c r="CW71" t="s">
        <v>173</v>
      </c>
      <c r="CX71" t="s">
        <v>173</v>
      </c>
      <c r="CY71" t="s">
        <v>173</v>
      </c>
      <c r="CZ71" t="s">
        <v>173</v>
      </c>
      <c r="DA71" t="s">
        <v>173</v>
      </c>
      <c r="DB71" t="s">
        <v>173</v>
      </c>
      <c r="DC71" t="s">
        <v>173</v>
      </c>
      <c r="DD71" t="s">
        <v>173</v>
      </c>
      <c r="DE71" t="s">
        <v>173</v>
      </c>
      <c r="DF71" t="s">
        <v>173</v>
      </c>
      <c r="DG71" t="s">
        <v>173</v>
      </c>
      <c r="DH71" t="s">
        <v>173</v>
      </c>
    </row>
    <row r="72" spans="1:112">
      <c r="A72">
        <v>53</v>
      </c>
      <c r="B72" t="s">
        <v>333</v>
      </c>
      <c r="C72" t="s">
        <v>334</v>
      </c>
      <c r="D72">
        <v>2024</v>
      </c>
      <c r="E72" t="s">
        <v>200</v>
      </c>
      <c r="F72" t="s">
        <v>335</v>
      </c>
      <c r="G72" t="s">
        <v>172</v>
      </c>
      <c r="H72">
        <v>0.79</v>
      </c>
      <c r="I72" t="s">
        <v>173</v>
      </c>
      <c r="J72" t="s">
        <v>173</v>
      </c>
      <c r="K72" t="s">
        <v>173</v>
      </c>
      <c r="L72" t="s">
        <v>173</v>
      </c>
      <c r="M72" t="s">
        <v>173</v>
      </c>
      <c r="N72" t="s">
        <v>173</v>
      </c>
      <c r="O72" t="s">
        <v>173</v>
      </c>
      <c r="P72" t="s">
        <v>173</v>
      </c>
      <c r="Q72" t="s">
        <v>173</v>
      </c>
      <c r="R72" t="s">
        <v>173</v>
      </c>
      <c r="S72" t="s">
        <v>173</v>
      </c>
      <c r="T72" t="s">
        <v>173</v>
      </c>
      <c r="U72" t="s">
        <v>173</v>
      </c>
      <c r="V72" t="s">
        <v>173</v>
      </c>
      <c r="W72" t="s">
        <v>173</v>
      </c>
      <c r="X72" t="s">
        <v>173</v>
      </c>
      <c r="Y72" t="s">
        <v>173</v>
      </c>
      <c r="Z72" t="s">
        <v>173</v>
      </c>
      <c r="AA72" t="s">
        <v>173</v>
      </c>
      <c r="AB72" t="s">
        <v>173</v>
      </c>
      <c r="AC72" t="s">
        <v>173</v>
      </c>
      <c r="AD72" t="s">
        <v>173</v>
      </c>
      <c r="AE72" t="s">
        <v>173</v>
      </c>
      <c r="AF72" t="s">
        <v>173</v>
      </c>
      <c r="AG72" t="s">
        <v>173</v>
      </c>
      <c r="AH72" t="s">
        <v>173</v>
      </c>
      <c r="AI72" t="s">
        <v>173</v>
      </c>
      <c r="AJ72" t="s">
        <v>173</v>
      </c>
      <c r="AK72" t="s">
        <v>173</v>
      </c>
      <c r="AL72" t="s">
        <v>173</v>
      </c>
      <c r="AM72" t="s">
        <v>173</v>
      </c>
      <c r="AN72" t="s">
        <v>173</v>
      </c>
      <c r="AO72" t="s">
        <v>173</v>
      </c>
      <c r="AP72" t="s">
        <v>173</v>
      </c>
      <c r="AQ72" t="s">
        <v>173</v>
      </c>
      <c r="AR72" t="s">
        <v>173</v>
      </c>
      <c r="AS72" t="s">
        <v>173</v>
      </c>
      <c r="AT72" t="s">
        <v>173</v>
      </c>
      <c r="AU72" t="s">
        <v>173</v>
      </c>
      <c r="AV72" t="s">
        <v>173</v>
      </c>
      <c r="AW72" t="s">
        <v>173</v>
      </c>
      <c r="AX72" t="s">
        <v>173</v>
      </c>
      <c r="AY72" t="s">
        <v>173</v>
      </c>
      <c r="AZ72" t="s">
        <v>173</v>
      </c>
      <c r="BA72" t="s">
        <v>173</v>
      </c>
      <c r="BB72" t="s">
        <v>173</v>
      </c>
      <c r="BC72" t="s">
        <v>173</v>
      </c>
      <c r="BD72" t="s">
        <v>173</v>
      </c>
      <c r="BE72" t="s">
        <v>173</v>
      </c>
      <c r="BF72" t="s">
        <v>173</v>
      </c>
      <c r="BG72" t="s">
        <v>173</v>
      </c>
      <c r="BH72" t="s">
        <v>173</v>
      </c>
      <c r="BI72" t="s">
        <v>173</v>
      </c>
      <c r="BJ72" t="s">
        <v>173</v>
      </c>
      <c r="BK72" t="s">
        <v>173</v>
      </c>
      <c r="BL72" t="s">
        <v>173</v>
      </c>
      <c r="BM72" t="s">
        <v>173</v>
      </c>
      <c r="BN72" t="s">
        <v>173</v>
      </c>
      <c r="BO72" t="s">
        <v>173</v>
      </c>
      <c r="BP72" t="s">
        <v>173</v>
      </c>
      <c r="BQ72" t="s">
        <v>173</v>
      </c>
      <c r="BR72" t="s">
        <v>173</v>
      </c>
      <c r="BS72" t="s">
        <v>173</v>
      </c>
      <c r="BT72" t="s">
        <v>173</v>
      </c>
      <c r="BU72" t="s">
        <v>173</v>
      </c>
      <c r="BV72" t="s">
        <v>173</v>
      </c>
      <c r="BX72" t="s">
        <v>173</v>
      </c>
      <c r="BY72" t="s">
        <v>173</v>
      </c>
      <c r="BZ72" t="s">
        <v>173</v>
      </c>
      <c r="CA72" t="s">
        <v>173</v>
      </c>
      <c r="CB72" t="s">
        <v>173</v>
      </c>
      <c r="CC72" t="s">
        <v>173</v>
      </c>
      <c r="CD72" t="s">
        <v>173</v>
      </c>
      <c r="CE72" t="s">
        <v>173</v>
      </c>
      <c r="CF72" t="s">
        <v>173</v>
      </c>
      <c r="CG72" t="s">
        <v>173</v>
      </c>
      <c r="CH72" t="s">
        <v>173</v>
      </c>
      <c r="CI72" t="s">
        <v>173</v>
      </c>
      <c r="CJ72" t="s">
        <v>173</v>
      </c>
      <c r="CK72" t="s">
        <v>173</v>
      </c>
      <c r="CL72" t="s">
        <v>173</v>
      </c>
      <c r="CM72" t="s">
        <v>173</v>
      </c>
      <c r="CN72" t="s">
        <v>173</v>
      </c>
      <c r="CO72" t="s">
        <v>173</v>
      </c>
      <c r="CP72" t="s">
        <v>173</v>
      </c>
      <c r="CQ72" t="s">
        <v>173</v>
      </c>
      <c r="CR72" t="s">
        <v>173</v>
      </c>
      <c r="CS72" t="s">
        <v>173</v>
      </c>
      <c r="CT72" t="s">
        <v>173</v>
      </c>
      <c r="CU72" t="s">
        <v>173</v>
      </c>
      <c r="CV72" t="s">
        <v>173</v>
      </c>
      <c r="CW72" t="s">
        <v>173</v>
      </c>
      <c r="CX72" t="s">
        <v>173</v>
      </c>
      <c r="CY72" t="s">
        <v>173</v>
      </c>
      <c r="CZ72" t="s">
        <v>173</v>
      </c>
      <c r="DA72" t="s">
        <v>173</v>
      </c>
      <c r="DB72" t="s">
        <v>173</v>
      </c>
      <c r="DC72" t="s">
        <v>173</v>
      </c>
      <c r="DD72" t="s">
        <v>173</v>
      </c>
      <c r="DE72" t="s">
        <v>173</v>
      </c>
      <c r="DF72" t="s">
        <v>173</v>
      </c>
      <c r="DG72" t="s">
        <v>173</v>
      </c>
      <c r="DH72" t="s">
        <v>173</v>
      </c>
    </row>
    <row r="73" spans="1:112">
      <c r="A73">
        <v>53</v>
      </c>
      <c r="B73" t="s">
        <v>333</v>
      </c>
      <c r="C73" t="s">
        <v>334</v>
      </c>
      <c r="D73">
        <v>2024</v>
      </c>
      <c r="E73" t="s">
        <v>200</v>
      </c>
      <c r="F73" t="s">
        <v>335</v>
      </c>
      <c r="G73" t="s">
        <v>172</v>
      </c>
      <c r="H73">
        <v>0.79</v>
      </c>
      <c r="I73" t="s">
        <v>173</v>
      </c>
      <c r="J73" t="s">
        <v>173</v>
      </c>
      <c r="K73" t="s">
        <v>173</v>
      </c>
      <c r="L73" t="s">
        <v>173</v>
      </c>
      <c r="M73" t="s">
        <v>173</v>
      </c>
      <c r="N73" t="s">
        <v>173</v>
      </c>
      <c r="O73" t="s">
        <v>173</v>
      </c>
      <c r="P73" t="s">
        <v>173</v>
      </c>
      <c r="Q73" t="s">
        <v>173</v>
      </c>
      <c r="R73" t="s">
        <v>173</v>
      </c>
      <c r="S73" t="s">
        <v>173</v>
      </c>
      <c r="T73" t="s">
        <v>173</v>
      </c>
      <c r="U73" t="s">
        <v>173</v>
      </c>
      <c r="V73" t="s">
        <v>173</v>
      </c>
      <c r="W73" t="s">
        <v>173</v>
      </c>
      <c r="X73" t="s">
        <v>173</v>
      </c>
      <c r="Y73" t="s">
        <v>173</v>
      </c>
      <c r="Z73" t="s">
        <v>173</v>
      </c>
      <c r="AA73" t="s">
        <v>173</v>
      </c>
      <c r="AB73" t="s">
        <v>173</v>
      </c>
      <c r="AC73" t="s">
        <v>173</v>
      </c>
      <c r="AD73" t="s">
        <v>173</v>
      </c>
      <c r="AE73" t="s">
        <v>173</v>
      </c>
      <c r="AF73" t="s">
        <v>173</v>
      </c>
      <c r="AG73" t="s">
        <v>173</v>
      </c>
      <c r="AH73" t="s">
        <v>173</v>
      </c>
      <c r="AI73" t="s">
        <v>173</v>
      </c>
      <c r="AJ73" t="s">
        <v>173</v>
      </c>
      <c r="AK73" t="s">
        <v>173</v>
      </c>
      <c r="AL73" t="s">
        <v>173</v>
      </c>
      <c r="AM73" t="s">
        <v>173</v>
      </c>
      <c r="AN73" t="s">
        <v>173</v>
      </c>
      <c r="AO73" t="s">
        <v>173</v>
      </c>
      <c r="AP73" t="s">
        <v>173</v>
      </c>
      <c r="AQ73" t="s">
        <v>173</v>
      </c>
      <c r="AR73" t="s">
        <v>173</v>
      </c>
      <c r="AS73" t="s">
        <v>173</v>
      </c>
      <c r="AT73" t="s">
        <v>173</v>
      </c>
      <c r="AU73" t="s">
        <v>173</v>
      </c>
      <c r="AV73" t="s">
        <v>173</v>
      </c>
      <c r="AW73" t="s">
        <v>173</v>
      </c>
      <c r="AX73" t="s">
        <v>173</v>
      </c>
      <c r="AY73" t="s">
        <v>173</v>
      </c>
      <c r="AZ73" t="s">
        <v>173</v>
      </c>
      <c r="BA73" t="s">
        <v>173</v>
      </c>
      <c r="BB73" t="s">
        <v>173</v>
      </c>
      <c r="BC73" t="s">
        <v>173</v>
      </c>
      <c r="BD73" t="s">
        <v>173</v>
      </c>
      <c r="BE73" t="s">
        <v>173</v>
      </c>
      <c r="BF73" t="s">
        <v>173</v>
      </c>
      <c r="BG73" t="s">
        <v>173</v>
      </c>
      <c r="BH73" t="s">
        <v>173</v>
      </c>
      <c r="BI73" t="s">
        <v>173</v>
      </c>
      <c r="BJ73" t="s">
        <v>173</v>
      </c>
      <c r="BK73" t="s">
        <v>173</v>
      </c>
      <c r="BL73" t="s">
        <v>173</v>
      </c>
      <c r="BM73" t="s">
        <v>173</v>
      </c>
      <c r="BN73" t="s">
        <v>173</v>
      </c>
      <c r="BO73" t="s">
        <v>173</v>
      </c>
      <c r="BP73" t="s">
        <v>173</v>
      </c>
      <c r="BQ73" t="s">
        <v>173</v>
      </c>
      <c r="BR73" t="s">
        <v>173</v>
      </c>
      <c r="BS73" t="s">
        <v>173</v>
      </c>
      <c r="BT73" t="s">
        <v>173</v>
      </c>
      <c r="BU73" t="s">
        <v>173</v>
      </c>
      <c r="BV73" t="s">
        <v>173</v>
      </c>
      <c r="BX73" t="s">
        <v>173</v>
      </c>
      <c r="BY73" t="s">
        <v>173</v>
      </c>
      <c r="BZ73" t="s">
        <v>173</v>
      </c>
      <c r="CA73" t="s">
        <v>173</v>
      </c>
      <c r="CB73" t="s">
        <v>173</v>
      </c>
      <c r="CC73" t="s">
        <v>173</v>
      </c>
      <c r="CD73" t="s">
        <v>173</v>
      </c>
      <c r="CE73" t="s">
        <v>173</v>
      </c>
      <c r="CF73" t="s">
        <v>173</v>
      </c>
      <c r="CG73" t="s">
        <v>173</v>
      </c>
      <c r="CH73" t="s">
        <v>173</v>
      </c>
      <c r="CI73" t="s">
        <v>173</v>
      </c>
      <c r="CJ73" t="s">
        <v>173</v>
      </c>
      <c r="CK73" t="s">
        <v>173</v>
      </c>
      <c r="CL73" t="s">
        <v>173</v>
      </c>
      <c r="CM73" t="s">
        <v>173</v>
      </c>
      <c r="CN73" t="s">
        <v>173</v>
      </c>
      <c r="CO73" t="s">
        <v>173</v>
      </c>
      <c r="CP73" t="s">
        <v>173</v>
      </c>
      <c r="CQ73" t="s">
        <v>173</v>
      </c>
      <c r="CR73" t="s">
        <v>173</v>
      </c>
      <c r="CS73" t="s">
        <v>173</v>
      </c>
      <c r="CT73" t="s">
        <v>173</v>
      </c>
      <c r="CU73" t="s">
        <v>173</v>
      </c>
      <c r="CV73" t="s">
        <v>173</v>
      </c>
      <c r="CW73" t="s">
        <v>173</v>
      </c>
      <c r="CX73" t="s">
        <v>173</v>
      </c>
      <c r="CY73" t="s">
        <v>173</v>
      </c>
      <c r="CZ73" t="s">
        <v>173</v>
      </c>
      <c r="DA73" t="s">
        <v>173</v>
      </c>
      <c r="DB73" t="s">
        <v>173</v>
      </c>
      <c r="DC73" t="s">
        <v>173</v>
      </c>
      <c r="DD73" t="s">
        <v>173</v>
      </c>
      <c r="DE73" t="s">
        <v>173</v>
      </c>
      <c r="DF73" t="s">
        <v>173</v>
      </c>
      <c r="DG73" t="s">
        <v>173</v>
      </c>
      <c r="DH73" t="s">
        <v>173</v>
      </c>
    </row>
    <row r="74" spans="1:112">
      <c r="A74">
        <v>54</v>
      </c>
      <c r="B74" t="s">
        <v>336</v>
      </c>
      <c r="C74" t="s">
        <v>337</v>
      </c>
      <c r="D74">
        <v>2024</v>
      </c>
      <c r="E74" t="s">
        <v>338</v>
      </c>
      <c r="F74" t="s">
        <v>339</v>
      </c>
      <c r="G74" t="s">
        <v>172</v>
      </c>
      <c r="H74" t="s">
        <v>173</v>
      </c>
      <c r="I74" t="s">
        <v>174</v>
      </c>
      <c r="J74" t="s">
        <v>173</v>
      </c>
      <c r="K74" t="s">
        <v>173</v>
      </c>
      <c r="L74" t="s">
        <v>173</v>
      </c>
      <c r="M74" t="s">
        <v>173</v>
      </c>
      <c r="N74" t="s">
        <v>173</v>
      </c>
      <c r="O74" t="s">
        <v>173</v>
      </c>
      <c r="P74" t="s">
        <v>173</v>
      </c>
      <c r="Q74" t="s">
        <v>173</v>
      </c>
      <c r="R74" t="s">
        <v>173</v>
      </c>
      <c r="S74" t="s">
        <v>173</v>
      </c>
      <c r="T74" t="s">
        <v>173</v>
      </c>
      <c r="U74" t="s">
        <v>173</v>
      </c>
      <c r="V74" t="s">
        <v>173</v>
      </c>
      <c r="W74" t="s">
        <v>173</v>
      </c>
      <c r="X74" t="s">
        <v>173</v>
      </c>
      <c r="Y74" t="s">
        <v>173</v>
      </c>
      <c r="Z74" t="s">
        <v>173</v>
      </c>
      <c r="AA74" t="s">
        <v>173</v>
      </c>
      <c r="AB74" t="s">
        <v>173</v>
      </c>
      <c r="AC74" t="s">
        <v>173</v>
      </c>
      <c r="AD74" t="s">
        <v>173</v>
      </c>
      <c r="AE74" t="s">
        <v>173</v>
      </c>
      <c r="AF74" t="s">
        <v>173</v>
      </c>
      <c r="AG74" t="s">
        <v>173</v>
      </c>
      <c r="AH74" t="s">
        <v>173</v>
      </c>
      <c r="AI74" t="s">
        <v>173</v>
      </c>
      <c r="AJ74" t="s">
        <v>173</v>
      </c>
      <c r="AK74" t="s">
        <v>173</v>
      </c>
      <c r="AL74" t="s">
        <v>173</v>
      </c>
      <c r="AM74" t="s">
        <v>173</v>
      </c>
      <c r="AN74" t="s">
        <v>173</v>
      </c>
      <c r="AO74" t="s">
        <v>173</v>
      </c>
      <c r="AP74" t="s">
        <v>173</v>
      </c>
      <c r="AQ74" t="s">
        <v>173</v>
      </c>
      <c r="AR74" t="s">
        <v>173</v>
      </c>
      <c r="AS74" t="s">
        <v>173</v>
      </c>
      <c r="AT74" t="s">
        <v>173</v>
      </c>
      <c r="AU74" t="s">
        <v>173</v>
      </c>
      <c r="AV74" t="s">
        <v>173</v>
      </c>
      <c r="AW74" t="s">
        <v>173</v>
      </c>
      <c r="AX74" t="s">
        <v>173</v>
      </c>
      <c r="AY74" t="s">
        <v>173</v>
      </c>
      <c r="AZ74" t="s">
        <v>173</v>
      </c>
      <c r="BA74" t="s">
        <v>173</v>
      </c>
      <c r="BB74" t="s">
        <v>173</v>
      </c>
      <c r="BC74" t="s">
        <v>173</v>
      </c>
      <c r="BD74" t="s">
        <v>173</v>
      </c>
      <c r="BE74" t="s">
        <v>173</v>
      </c>
      <c r="BF74" t="s">
        <v>173</v>
      </c>
      <c r="BG74" t="s">
        <v>173</v>
      </c>
      <c r="BH74" t="s">
        <v>173</v>
      </c>
      <c r="BI74" t="s">
        <v>173</v>
      </c>
      <c r="BJ74" t="s">
        <v>173</v>
      </c>
      <c r="BK74" t="s">
        <v>173</v>
      </c>
      <c r="BL74" t="s">
        <v>173</v>
      </c>
      <c r="BM74" t="s">
        <v>173</v>
      </c>
      <c r="BN74" t="s">
        <v>173</v>
      </c>
      <c r="BO74" t="s">
        <v>173</v>
      </c>
      <c r="BP74" t="s">
        <v>173</v>
      </c>
      <c r="BQ74" t="s">
        <v>173</v>
      </c>
      <c r="BR74" t="s">
        <v>173</v>
      </c>
      <c r="BS74" t="s">
        <v>173</v>
      </c>
      <c r="BT74" t="s">
        <v>173</v>
      </c>
      <c r="BU74" t="s">
        <v>173</v>
      </c>
      <c r="BV74" t="s">
        <v>173</v>
      </c>
      <c r="BX74" t="s">
        <v>173</v>
      </c>
      <c r="BY74" t="s">
        <v>173</v>
      </c>
      <c r="BZ74" t="s">
        <v>173</v>
      </c>
      <c r="CA74" t="s">
        <v>173</v>
      </c>
      <c r="CB74" t="s">
        <v>173</v>
      </c>
      <c r="CC74" t="s">
        <v>173</v>
      </c>
      <c r="CD74" t="s">
        <v>173</v>
      </c>
      <c r="CE74" t="s">
        <v>173</v>
      </c>
      <c r="CF74" t="s">
        <v>173</v>
      </c>
      <c r="CG74" t="s">
        <v>173</v>
      </c>
      <c r="CH74" t="s">
        <v>173</v>
      </c>
      <c r="CI74" t="s">
        <v>173</v>
      </c>
      <c r="CJ74" t="s">
        <v>173</v>
      </c>
      <c r="CK74" t="s">
        <v>173</v>
      </c>
      <c r="CL74" t="s">
        <v>173</v>
      </c>
      <c r="CM74" t="s">
        <v>173</v>
      </c>
      <c r="CN74" t="s">
        <v>173</v>
      </c>
      <c r="CO74" t="s">
        <v>173</v>
      </c>
      <c r="CP74" t="s">
        <v>173</v>
      </c>
      <c r="CQ74" t="s">
        <v>173</v>
      </c>
      <c r="CR74" t="s">
        <v>173</v>
      </c>
      <c r="CS74" t="s">
        <v>173</v>
      </c>
      <c r="CT74" t="s">
        <v>173</v>
      </c>
      <c r="CU74" t="s">
        <v>173</v>
      </c>
      <c r="CV74" t="s">
        <v>173</v>
      </c>
      <c r="CW74" t="s">
        <v>173</v>
      </c>
      <c r="CX74" t="s">
        <v>173</v>
      </c>
      <c r="CY74" t="s">
        <v>173</v>
      </c>
      <c r="CZ74" t="s">
        <v>173</v>
      </c>
      <c r="DA74" t="s">
        <v>173</v>
      </c>
      <c r="DB74" t="s">
        <v>173</v>
      </c>
      <c r="DC74" t="s">
        <v>173</v>
      </c>
      <c r="DD74" t="s">
        <v>173</v>
      </c>
      <c r="DE74" t="s">
        <v>173</v>
      </c>
      <c r="DF74" t="s">
        <v>173</v>
      </c>
      <c r="DG74" t="s">
        <v>173</v>
      </c>
      <c r="DH74" t="s">
        <v>173</v>
      </c>
    </row>
    <row r="75" spans="1:112">
      <c r="A75">
        <v>56</v>
      </c>
      <c r="B75" t="s">
        <v>340</v>
      </c>
      <c r="C75" t="s">
        <v>341</v>
      </c>
      <c r="D75">
        <v>2024</v>
      </c>
      <c r="E75" t="s">
        <v>342</v>
      </c>
      <c r="F75" t="s">
        <v>343</v>
      </c>
      <c r="G75" t="s">
        <v>172</v>
      </c>
      <c r="H75" t="s">
        <v>173</v>
      </c>
      <c r="I75" t="s">
        <v>174</v>
      </c>
      <c r="J75" t="s">
        <v>173</v>
      </c>
      <c r="K75" t="s">
        <v>173</v>
      </c>
      <c r="L75" t="s">
        <v>173</v>
      </c>
      <c r="M75" t="s">
        <v>173</v>
      </c>
      <c r="N75" t="s">
        <v>173</v>
      </c>
      <c r="O75" t="s">
        <v>173</v>
      </c>
      <c r="P75" t="s">
        <v>173</v>
      </c>
      <c r="Q75" t="s">
        <v>173</v>
      </c>
      <c r="R75" t="s">
        <v>173</v>
      </c>
      <c r="S75" t="s">
        <v>173</v>
      </c>
      <c r="T75" t="s">
        <v>173</v>
      </c>
      <c r="U75" t="s">
        <v>173</v>
      </c>
      <c r="V75" t="s">
        <v>173</v>
      </c>
      <c r="W75" t="s">
        <v>173</v>
      </c>
      <c r="X75" t="s">
        <v>173</v>
      </c>
      <c r="Y75" t="s">
        <v>173</v>
      </c>
      <c r="Z75" t="s">
        <v>173</v>
      </c>
      <c r="AA75" t="s">
        <v>173</v>
      </c>
      <c r="AB75" t="s">
        <v>173</v>
      </c>
      <c r="AC75" t="s">
        <v>173</v>
      </c>
      <c r="AD75" t="s">
        <v>173</v>
      </c>
      <c r="AE75" t="s">
        <v>173</v>
      </c>
      <c r="AF75" t="s">
        <v>173</v>
      </c>
      <c r="AG75" t="s">
        <v>173</v>
      </c>
      <c r="AH75" t="s">
        <v>173</v>
      </c>
      <c r="AI75" t="s">
        <v>173</v>
      </c>
      <c r="AJ75" t="s">
        <v>173</v>
      </c>
      <c r="AK75" t="s">
        <v>173</v>
      </c>
      <c r="AL75" t="s">
        <v>173</v>
      </c>
      <c r="AM75" t="s">
        <v>173</v>
      </c>
      <c r="AN75" t="s">
        <v>173</v>
      </c>
      <c r="AO75" t="s">
        <v>173</v>
      </c>
      <c r="AP75" t="s">
        <v>173</v>
      </c>
      <c r="AQ75" t="s">
        <v>173</v>
      </c>
      <c r="AR75" t="s">
        <v>173</v>
      </c>
      <c r="AS75" t="s">
        <v>173</v>
      </c>
      <c r="AT75" t="s">
        <v>173</v>
      </c>
      <c r="AU75" t="s">
        <v>173</v>
      </c>
      <c r="AV75" t="s">
        <v>173</v>
      </c>
      <c r="AW75" t="s">
        <v>173</v>
      </c>
      <c r="AX75" t="s">
        <v>173</v>
      </c>
      <c r="AY75" t="s">
        <v>173</v>
      </c>
      <c r="AZ75" t="s">
        <v>173</v>
      </c>
      <c r="BA75" t="s">
        <v>173</v>
      </c>
      <c r="BB75" t="s">
        <v>173</v>
      </c>
      <c r="BC75" t="s">
        <v>173</v>
      </c>
      <c r="BD75" t="s">
        <v>173</v>
      </c>
      <c r="BE75" t="s">
        <v>173</v>
      </c>
      <c r="BF75" t="s">
        <v>173</v>
      </c>
      <c r="BG75" t="s">
        <v>173</v>
      </c>
      <c r="BH75" t="s">
        <v>173</v>
      </c>
      <c r="BI75" t="s">
        <v>173</v>
      </c>
      <c r="BJ75" t="s">
        <v>173</v>
      </c>
      <c r="BK75" t="s">
        <v>173</v>
      </c>
      <c r="BL75" t="s">
        <v>173</v>
      </c>
      <c r="BM75" t="s">
        <v>173</v>
      </c>
      <c r="BN75" t="s">
        <v>173</v>
      </c>
      <c r="BO75" t="s">
        <v>173</v>
      </c>
      <c r="BP75" t="s">
        <v>173</v>
      </c>
      <c r="BQ75" t="s">
        <v>173</v>
      </c>
      <c r="BR75" t="s">
        <v>173</v>
      </c>
      <c r="BS75" t="s">
        <v>173</v>
      </c>
      <c r="BT75" t="s">
        <v>173</v>
      </c>
      <c r="BU75" t="s">
        <v>173</v>
      </c>
      <c r="BV75" t="s">
        <v>173</v>
      </c>
      <c r="BX75" t="s">
        <v>173</v>
      </c>
      <c r="BY75" t="s">
        <v>173</v>
      </c>
      <c r="BZ75" t="s">
        <v>173</v>
      </c>
      <c r="CA75" t="s">
        <v>173</v>
      </c>
      <c r="CB75" t="s">
        <v>173</v>
      </c>
      <c r="CC75" t="s">
        <v>173</v>
      </c>
      <c r="CD75" t="s">
        <v>173</v>
      </c>
      <c r="CE75" t="s">
        <v>173</v>
      </c>
      <c r="CF75" t="s">
        <v>173</v>
      </c>
      <c r="CG75" t="s">
        <v>173</v>
      </c>
      <c r="CH75" t="s">
        <v>173</v>
      </c>
      <c r="CI75" t="s">
        <v>173</v>
      </c>
      <c r="CJ75" t="s">
        <v>173</v>
      </c>
      <c r="CK75" t="s">
        <v>173</v>
      </c>
      <c r="CL75" t="s">
        <v>173</v>
      </c>
      <c r="CM75" t="s">
        <v>173</v>
      </c>
      <c r="CN75" t="s">
        <v>173</v>
      </c>
      <c r="CO75" t="s">
        <v>173</v>
      </c>
      <c r="CP75" t="s">
        <v>173</v>
      </c>
      <c r="CQ75" t="s">
        <v>173</v>
      </c>
      <c r="CR75" t="s">
        <v>173</v>
      </c>
      <c r="CS75" t="s">
        <v>173</v>
      </c>
      <c r="CT75" t="s">
        <v>173</v>
      </c>
      <c r="CU75" t="s">
        <v>173</v>
      </c>
      <c r="CV75" t="s">
        <v>173</v>
      </c>
      <c r="CW75" t="s">
        <v>173</v>
      </c>
      <c r="CX75" t="s">
        <v>173</v>
      </c>
      <c r="CY75" t="s">
        <v>173</v>
      </c>
      <c r="CZ75" t="s">
        <v>173</v>
      </c>
      <c r="DA75" t="s">
        <v>173</v>
      </c>
      <c r="DB75" t="s">
        <v>173</v>
      </c>
      <c r="DC75" t="s">
        <v>173</v>
      </c>
      <c r="DD75" t="s">
        <v>173</v>
      </c>
      <c r="DE75" t="s">
        <v>173</v>
      </c>
      <c r="DF75" t="s">
        <v>173</v>
      </c>
      <c r="DG75" t="s">
        <v>173</v>
      </c>
      <c r="DH75" t="s">
        <v>173</v>
      </c>
    </row>
    <row r="76" spans="1:112">
      <c r="A76">
        <v>57</v>
      </c>
      <c r="B76" t="s">
        <v>344</v>
      </c>
      <c r="C76" t="s">
        <v>345</v>
      </c>
      <c r="D76">
        <v>2024</v>
      </c>
      <c r="E76" t="s">
        <v>346</v>
      </c>
      <c r="F76" t="s">
        <v>347</v>
      </c>
      <c r="G76" t="s">
        <v>172</v>
      </c>
      <c r="H76" t="s">
        <v>173</v>
      </c>
      <c r="I76" t="s">
        <v>174</v>
      </c>
      <c r="J76" t="s">
        <v>173</v>
      </c>
      <c r="K76" t="s">
        <v>173</v>
      </c>
      <c r="L76" t="s">
        <v>173</v>
      </c>
      <c r="M76" t="s">
        <v>173</v>
      </c>
      <c r="N76" t="s">
        <v>173</v>
      </c>
      <c r="O76" t="s">
        <v>173</v>
      </c>
      <c r="P76" t="s">
        <v>173</v>
      </c>
      <c r="Q76" t="s">
        <v>173</v>
      </c>
      <c r="R76" t="s">
        <v>173</v>
      </c>
      <c r="S76" t="s">
        <v>173</v>
      </c>
      <c r="T76" t="s">
        <v>173</v>
      </c>
      <c r="U76" t="s">
        <v>173</v>
      </c>
      <c r="V76" t="s">
        <v>173</v>
      </c>
      <c r="W76" t="s">
        <v>173</v>
      </c>
      <c r="X76" t="s">
        <v>173</v>
      </c>
      <c r="Y76" t="s">
        <v>173</v>
      </c>
      <c r="Z76" t="s">
        <v>173</v>
      </c>
      <c r="AA76" t="s">
        <v>173</v>
      </c>
      <c r="AB76" t="s">
        <v>173</v>
      </c>
      <c r="AC76" t="s">
        <v>173</v>
      </c>
      <c r="AD76" t="s">
        <v>173</v>
      </c>
      <c r="AE76" t="s">
        <v>173</v>
      </c>
      <c r="AF76" t="s">
        <v>173</v>
      </c>
      <c r="AG76" t="s">
        <v>173</v>
      </c>
      <c r="AH76" t="s">
        <v>173</v>
      </c>
      <c r="AI76" t="s">
        <v>173</v>
      </c>
      <c r="AJ76" t="s">
        <v>173</v>
      </c>
      <c r="AK76" t="s">
        <v>173</v>
      </c>
      <c r="AL76" t="s">
        <v>173</v>
      </c>
      <c r="AM76" t="s">
        <v>173</v>
      </c>
      <c r="AN76" t="s">
        <v>173</v>
      </c>
      <c r="AO76" t="s">
        <v>173</v>
      </c>
      <c r="AP76" t="s">
        <v>173</v>
      </c>
      <c r="AQ76" t="s">
        <v>173</v>
      </c>
      <c r="AR76" t="s">
        <v>173</v>
      </c>
      <c r="AS76" t="s">
        <v>173</v>
      </c>
      <c r="AT76" t="s">
        <v>173</v>
      </c>
      <c r="AU76" t="s">
        <v>173</v>
      </c>
      <c r="AV76" t="s">
        <v>173</v>
      </c>
      <c r="AW76" t="s">
        <v>173</v>
      </c>
      <c r="AX76" t="s">
        <v>173</v>
      </c>
      <c r="AY76" t="s">
        <v>173</v>
      </c>
      <c r="AZ76" t="s">
        <v>173</v>
      </c>
      <c r="BA76" t="s">
        <v>173</v>
      </c>
      <c r="BB76" t="s">
        <v>173</v>
      </c>
      <c r="BC76" t="s">
        <v>173</v>
      </c>
      <c r="BD76" t="s">
        <v>173</v>
      </c>
      <c r="BE76" t="s">
        <v>173</v>
      </c>
      <c r="BF76" t="s">
        <v>173</v>
      </c>
      <c r="BG76" t="s">
        <v>173</v>
      </c>
      <c r="BH76" t="s">
        <v>173</v>
      </c>
      <c r="BI76" t="s">
        <v>173</v>
      </c>
      <c r="BJ76" t="s">
        <v>173</v>
      </c>
      <c r="BK76" t="s">
        <v>173</v>
      </c>
      <c r="BL76" t="s">
        <v>173</v>
      </c>
      <c r="BM76" t="s">
        <v>173</v>
      </c>
      <c r="BN76" t="s">
        <v>173</v>
      </c>
      <c r="BO76" t="s">
        <v>173</v>
      </c>
      <c r="BP76" t="s">
        <v>173</v>
      </c>
      <c r="BQ76" t="s">
        <v>173</v>
      </c>
      <c r="BR76" t="s">
        <v>173</v>
      </c>
      <c r="BS76" t="s">
        <v>173</v>
      </c>
      <c r="BT76" t="s">
        <v>173</v>
      </c>
      <c r="BU76" t="s">
        <v>173</v>
      </c>
      <c r="BV76" t="s">
        <v>173</v>
      </c>
      <c r="BX76" t="s">
        <v>173</v>
      </c>
      <c r="BY76" t="s">
        <v>173</v>
      </c>
      <c r="BZ76" t="s">
        <v>173</v>
      </c>
      <c r="CA76" t="s">
        <v>173</v>
      </c>
      <c r="CB76" t="s">
        <v>173</v>
      </c>
      <c r="CC76" t="s">
        <v>173</v>
      </c>
      <c r="CD76" t="s">
        <v>173</v>
      </c>
      <c r="CE76" t="s">
        <v>173</v>
      </c>
      <c r="CF76" t="s">
        <v>173</v>
      </c>
      <c r="CG76" t="s">
        <v>173</v>
      </c>
      <c r="CH76" t="s">
        <v>173</v>
      </c>
      <c r="CI76" t="s">
        <v>173</v>
      </c>
      <c r="CJ76" t="s">
        <v>173</v>
      </c>
      <c r="CK76" t="s">
        <v>173</v>
      </c>
      <c r="CL76" t="s">
        <v>173</v>
      </c>
      <c r="CM76" t="s">
        <v>173</v>
      </c>
      <c r="CN76" t="s">
        <v>173</v>
      </c>
      <c r="CO76" t="s">
        <v>173</v>
      </c>
      <c r="CP76" t="s">
        <v>173</v>
      </c>
      <c r="CQ76" t="s">
        <v>173</v>
      </c>
      <c r="CR76" t="s">
        <v>173</v>
      </c>
      <c r="CS76" t="s">
        <v>173</v>
      </c>
      <c r="CT76" t="s">
        <v>173</v>
      </c>
      <c r="CU76" t="s">
        <v>173</v>
      </c>
      <c r="CV76" t="s">
        <v>173</v>
      </c>
      <c r="CW76" t="s">
        <v>173</v>
      </c>
      <c r="CX76" t="s">
        <v>173</v>
      </c>
      <c r="CY76" t="s">
        <v>173</v>
      </c>
      <c r="CZ76" t="s">
        <v>173</v>
      </c>
      <c r="DA76" t="s">
        <v>173</v>
      </c>
      <c r="DB76" t="s">
        <v>173</v>
      </c>
      <c r="DC76" t="s">
        <v>173</v>
      </c>
      <c r="DD76" t="s">
        <v>173</v>
      </c>
      <c r="DE76" t="s">
        <v>173</v>
      </c>
      <c r="DF76" t="s">
        <v>173</v>
      </c>
      <c r="DG76" t="s">
        <v>173</v>
      </c>
      <c r="DH76" t="s">
        <v>173</v>
      </c>
    </row>
    <row r="77" spans="1:112">
      <c r="A77">
        <v>58</v>
      </c>
      <c r="B77" t="s">
        <v>348</v>
      </c>
      <c r="C77" t="s">
        <v>349</v>
      </c>
      <c r="D77">
        <v>2024</v>
      </c>
      <c r="E77" t="s">
        <v>177</v>
      </c>
      <c r="F77" t="s">
        <v>350</v>
      </c>
      <c r="G77" t="s">
        <v>172</v>
      </c>
      <c r="H77" t="s">
        <v>173</v>
      </c>
      <c r="I77" t="s">
        <v>197</v>
      </c>
      <c r="J77" t="s">
        <v>173</v>
      </c>
      <c r="K77" t="s">
        <v>173</v>
      </c>
      <c r="L77" t="s">
        <v>173</v>
      </c>
      <c r="M77" t="s">
        <v>173</v>
      </c>
      <c r="N77" t="s">
        <v>173</v>
      </c>
      <c r="O77" t="s">
        <v>173</v>
      </c>
      <c r="P77" t="s">
        <v>173</v>
      </c>
      <c r="Q77" t="s">
        <v>173</v>
      </c>
      <c r="R77" t="s">
        <v>173</v>
      </c>
      <c r="S77" t="s">
        <v>173</v>
      </c>
      <c r="T77" t="s">
        <v>173</v>
      </c>
      <c r="U77" t="s">
        <v>173</v>
      </c>
      <c r="V77" t="s">
        <v>173</v>
      </c>
      <c r="W77" t="s">
        <v>173</v>
      </c>
      <c r="X77" t="s">
        <v>173</v>
      </c>
      <c r="Y77" t="s">
        <v>173</v>
      </c>
      <c r="Z77" t="s">
        <v>173</v>
      </c>
      <c r="AA77" t="s">
        <v>173</v>
      </c>
      <c r="AB77" t="s">
        <v>173</v>
      </c>
      <c r="AC77" t="s">
        <v>173</v>
      </c>
      <c r="AD77" t="s">
        <v>173</v>
      </c>
      <c r="AE77" t="s">
        <v>173</v>
      </c>
      <c r="AF77" t="s">
        <v>173</v>
      </c>
      <c r="AG77" t="s">
        <v>173</v>
      </c>
      <c r="AH77" t="s">
        <v>173</v>
      </c>
      <c r="AI77" t="s">
        <v>173</v>
      </c>
      <c r="AJ77" t="s">
        <v>173</v>
      </c>
      <c r="AK77" t="s">
        <v>173</v>
      </c>
      <c r="AL77" t="s">
        <v>173</v>
      </c>
      <c r="AM77" t="s">
        <v>173</v>
      </c>
      <c r="AN77" t="s">
        <v>173</v>
      </c>
      <c r="AO77" t="s">
        <v>173</v>
      </c>
      <c r="AP77" t="s">
        <v>173</v>
      </c>
      <c r="AQ77" t="s">
        <v>173</v>
      </c>
      <c r="AR77" t="s">
        <v>173</v>
      </c>
      <c r="AS77" t="s">
        <v>173</v>
      </c>
      <c r="AT77" t="s">
        <v>173</v>
      </c>
      <c r="AU77" t="s">
        <v>173</v>
      </c>
      <c r="AV77" t="s">
        <v>173</v>
      </c>
      <c r="AW77" t="s">
        <v>173</v>
      </c>
      <c r="AX77" t="s">
        <v>173</v>
      </c>
      <c r="AY77" t="s">
        <v>173</v>
      </c>
      <c r="AZ77" t="s">
        <v>173</v>
      </c>
      <c r="BA77" t="s">
        <v>173</v>
      </c>
      <c r="BB77" t="s">
        <v>173</v>
      </c>
      <c r="BC77" t="s">
        <v>173</v>
      </c>
      <c r="BD77" t="s">
        <v>173</v>
      </c>
      <c r="BE77" t="s">
        <v>173</v>
      </c>
      <c r="BF77" t="s">
        <v>173</v>
      </c>
      <c r="BG77" t="s">
        <v>173</v>
      </c>
      <c r="BH77" t="s">
        <v>173</v>
      </c>
      <c r="BI77" t="s">
        <v>173</v>
      </c>
      <c r="BJ77" t="s">
        <v>173</v>
      </c>
      <c r="BK77" t="s">
        <v>173</v>
      </c>
      <c r="BL77" t="s">
        <v>173</v>
      </c>
      <c r="BM77" t="s">
        <v>173</v>
      </c>
      <c r="BN77" t="s">
        <v>173</v>
      </c>
      <c r="BO77" t="s">
        <v>173</v>
      </c>
      <c r="BP77" t="s">
        <v>173</v>
      </c>
      <c r="BQ77" t="s">
        <v>173</v>
      </c>
      <c r="BR77" t="s">
        <v>173</v>
      </c>
      <c r="BS77" t="s">
        <v>173</v>
      </c>
      <c r="BT77" t="s">
        <v>173</v>
      </c>
      <c r="BU77" t="s">
        <v>173</v>
      </c>
      <c r="BV77" t="s">
        <v>173</v>
      </c>
      <c r="BX77" t="s">
        <v>173</v>
      </c>
      <c r="BY77" t="s">
        <v>173</v>
      </c>
      <c r="BZ77" t="s">
        <v>173</v>
      </c>
      <c r="CA77" t="s">
        <v>173</v>
      </c>
      <c r="CB77" t="s">
        <v>173</v>
      </c>
      <c r="CC77" t="s">
        <v>173</v>
      </c>
      <c r="CD77" t="s">
        <v>173</v>
      </c>
      <c r="CE77" t="s">
        <v>173</v>
      </c>
      <c r="CF77" t="s">
        <v>173</v>
      </c>
      <c r="CG77" t="s">
        <v>173</v>
      </c>
      <c r="CH77" t="s">
        <v>173</v>
      </c>
      <c r="CI77" t="s">
        <v>173</v>
      </c>
      <c r="CJ77" t="s">
        <v>173</v>
      </c>
      <c r="CK77" t="s">
        <v>173</v>
      </c>
      <c r="CL77" t="s">
        <v>173</v>
      </c>
      <c r="CM77" t="s">
        <v>173</v>
      </c>
      <c r="CN77" t="s">
        <v>173</v>
      </c>
      <c r="CO77" t="s">
        <v>173</v>
      </c>
      <c r="CP77" t="s">
        <v>173</v>
      </c>
      <c r="CQ77" t="s">
        <v>173</v>
      </c>
      <c r="CR77" t="s">
        <v>173</v>
      </c>
      <c r="CS77" t="s">
        <v>173</v>
      </c>
      <c r="CT77" t="s">
        <v>173</v>
      </c>
      <c r="CU77" t="s">
        <v>173</v>
      </c>
      <c r="CV77" t="s">
        <v>173</v>
      </c>
      <c r="CW77" t="s">
        <v>173</v>
      </c>
      <c r="CX77" t="s">
        <v>173</v>
      </c>
      <c r="CY77" t="s">
        <v>173</v>
      </c>
      <c r="CZ77" t="s">
        <v>173</v>
      </c>
      <c r="DA77" t="s">
        <v>173</v>
      </c>
      <c r="DB77" t="s">
        <v>173</v>
      </c>
      <c r="DC77" t="s">
        <v>173</v>
      </c>
      <c r="DD77" t="s">
        <v>173</v>
      </c>
      <c r="DE77" t="s">
        <v>173</v>
      </c>
      <c r="DF77" t="s">
        <v>173</v>
      </c>
      <c r="DG77" t="s">
        <v>173</v>
      </c>
      <c r="DH77" t="s">
        <v>173</v>
      </c>
    </row>
    <row r="78" spans="1:112">
      <c r="A78">
        <v>58</v>
      </c>
      <c r="B78" t="s">
        <v>348</v>
      </c>
      <c r="C78" t="s">
        <v>349</v>
      </c>
      <c r="D78">
        <v>2024</v>
      </c>
      <c r="E78" t="s">
        <v>177</v>
      </c>
      <c r="F78" t="s">
        <v>350</v>
      </c>
      <c r="G78" t="s">
        <v>172</v>
      </c>
      <c r="H78" t="s">
        <v>173</v>
      </c>
      <c r="I78" t="s">
        <v>197</v>
      </c>
      <c r="J78" t="s">
        <v>173</v>
      </c>
      <c r="K78" t="s">
        <v>173</v>
      </c>
      <c r="L78" t="s">
        <v>173</v>
      </c>
      <c r="M78" t="s">
        <v>173</v>
      </c>
      <c r="N78" t="s">
        <v>173</v>
      </c>
      <c r="O78" t="s">
        <v>173</v>
      </c>
      <c r="P78" t="s">
        <v>173</v>
      </c>
      <c r="Q78" t="s">
        <v>173</v>
      </c>
      <c r="R78" t="s">
        <v>173</v>
      </c>
      <c r="S78" t="s">
        <v>173</v>
      </c>
      <c r="T78" t="s">
        <v>173</v>
      </c>
      <c r="U78" t="s">
        <v>173</v>
      </c>
      <c r="V78" t="s">
        <v>173</v>
      </c>
      <c r="W78" t="s">
        <v>173</v>
      </c>
      <c r="X78" t="s">
        <v>173</v>
      </c>
      <c r="Y78" t="s">
        <v>173</v>
      </c>
      <c r="Z78" t="s">
        <v>173</v>
      </c>
      <c r="AA78" t="s">
        <v>173</v>
      </c>
      <c r="AB78" t="s">
        <v>173</v>
      </c>
      <c r="AC78" t="s">
        <v>173</v>
      </c>
      <c r="AD78" t="s">
        <v>173</v>
      </c>
      <c r="AE78" t="s">
        <v>173</v>
      </c>
      <c r="AF78" t="s">
        <v>173</v>
      </c>
      <c r="AG78" t="s">
        <v>173</v>
      </c>
      <c r="AH78" t="s">
        <v>173</v>
      </c>
      <c r="AI78" t="s">
        <v>173</v>
      </c>
      <c r="AJ78" t="s">
        <v>173</v>
      </c>
      <c r="AK78" t="s">
        <v>173</v>
      </c>
      <c r="AL78" t="s">
        <v>173</v>
      </c>
      <c r="AM78" t="s">
        <v>173</v>
      </c>
      <c r="AN78" t="s">
        <v>173</v>
      </c>
      <c r="AO78" t="s">
        <v>173</v>
      </c>
      <c r="AP78" t="s">
        <v>173</v>
      </c>
      <c r="AQ78" t="s">
        <v>173</v>
      </c>
      <c r="AR78" t="s">
        <v>173</v>
      </c>
      <c r="AS78" t="s">
        <v>173</v>
      </c>
      <c r="AT78" t="s">
        <v>173</v>
      </c>
      <c r="AU78" t="s">
        <v>173</v>
      </c>
      <c r="AV78" t="s">
        <v>173</v>
      </c>
      <c r="AW78" t="s">
        <v>173</v>
      </c>
      <c r="AX78" t="s">
        <v>173</v>
      </c>
      <c r="AY78" t="s">
        <v>173</v>
      </c>
      <c r="AZ78" t="s">
        <v>173</v>
      </c>
      <c r="BA78" t="s">
        <v>173</v>
      </c>
      <c r="BB78" t="s">
        <v>173</v>
      </c>
      <c r="BC78" t="s">
        <v>173</v>
      </c>
      <c r="BD78" t="s">
        <v>173</v>
      </c>
      <c r="BE78" t="s">
        <v>173</v>
      </c>
      <c r="BF78" t="s">
        <v>173</v>
      </c>
      <c r="BG78" t="s">
        <v>173</v>
      </c>
      <c r="BH78" t="s">
        <v>173</v>
      </c>
      <c r="BI78" t="s">
        <v>173</v>
      </c>
      <c r="BJ78" t="s">
        <v>173</v>
      </c>
      <c r="BK78" t="s">
        <v>173</v>
      </c>
      <c r="BL78" t="s">
        <v>173</v>
      </c>
      <c r="BM78" t="s">
        <v>173</v>
      </c>
      <c r="BN78" t="s">
        <v>173</v>
      </c>
      <c r="BO78" t="s">
        <v>173</v>
      </c>
      <c r="BP78" t="s">
        <v>173</v>
      </c>
      <c r="BQ78" t="s">
        <v>173</v>
      </c>
      <c r="BR78" t="s">
        <v>173</v>
      </c>
      <c r="BS78" t="s">
        <v>173</v>
      </c>
      <c r="BT78" t="s">
        <v>173</v>
      </c>
      <c r="BU78" t="s">
        <v>173</v>
      </c>
      <c r="BV78" t="s">
        <v>173</v>
      </c>
      <c r="BX78" t="s">
        <v>173</v>
      </c>
      <c r="BY78" t="s">
        <v>173</v>
      </c>
      <c r="BZ78" t="s">
        <v>173</v>
      </c>
      <c r="CA78" t="s">
        <v>173</v>
      </c>
      <c r="CB78" t="s">
        <v>173</v>
      </c>
      <c r="CC78" t="s">
        <v>173</v>
      </c>
      <c r="CD78" t="s">
        <v>173</v>
      </c>
      <c r="CE78" t="s">
        <v>173</v>
      </c>
      <c r="CF78" t="s">
        <v>173</v>
      </c>
      <c r="CG78" t="s">
        <v>173</v>
      </c>
      <c r="CH78" t="s">
        <v>173</v>
      </c>
      <c r="CI78" t="s">
        <v>173</v>
      </c>
      <c r="CJ78" t="s">
        <v>173</v>
      </c>
      <c r="CK78" t="s">
        <v>173</v>
      </c>
      <c r="CL78" t="s">
        <v>173</v>
      </c>
      <c r="CM78" t="s">
        <v>173</v>
      </c>
      <c r="CN78" t="s">
        <v>173</v>
      </c>
      <c r="CO78" t="s">
        <v>173</v>
      </c>
      <c r="CP78" t="s">
        <v>173</v>
      </c>
      <c r="CQ78" t="s">
        <v>173</v>
      </c>
      <c r="CR78" t="s">
        <v>173</v>
      </c>
      <c r="CS78" t="s">
        <v>173</v>
      </c>
      <c r="CT78" t="s">
        <v>173</v>
      </c>
      <c r="CU78" t="s">
        <v>173</v>
      </c>
      <c r="CV78" t="s">
        <v>173</v>
      </c>
      <c r="CW78" t="s">
        <v>173</v>
      </c>
      <c r="CX78" t="s">
        <v>173</v>
      </c>
      <c r="CY78" t="s">
        <v>173</v>
      </c>
      <c r="CZ78" t="s">
        <v>173</v>
      </c>
      <c r="DA78" t="s">
        <v>173</v>
      </c>
      <c r="DB78" t="s">
        <v>173</v>
      </c>
      <c r="DC78" t="s">
        <v>173</v>
      </c>
      <c r="DD78" t="s">
        <v>173</v>
      </c>
      <c r="DE78" t="s">
        <v>173</v>
      </c>
      <c r="DF78" t="s">
        <v>173</v>
      </c>
      <c r="DG78" t="s">
        <v>173</v>
      </c>
      <c r="DH78" t="s">
        <v>173</v>
      </c>
    </row>
    <row r="79" spans="1:112">
      <c r="A79">
        <v>58</v>
      </c>
      <c r="B79" t="s">
        <v>348</v>
      </c>
      <c r="C79" t="s">
        <v>349</v>
      </c>
      <c r="D79">
        <v>2024</v>
      </c>
      <c r="E79" t="s">
        <v>177</v>
      </c>
      <c r="F79" t="s">
        <v>350</v>
      </c>
      <c r="G79" t="s">
        <v>172</v>
      </c>
      <c r="H79" t="s">
        <v>173</v>
      </c>
      <c r="I79" t="s">
        <v>197</v>
      </c>
      <c r="J79" t="s">
        <v>173</v>
      </c>
      <c r="K79" t="s">
        <v>173</v>
      </c>
      <c r="L79" t="s">
        <v>173</v>
      </c>
      <c r="M79" t="s">
        <v>173</v>
      </c>
      <c r="N79" t="s">
        <v>173</v>
      </c>
      <c r="O79" t="s">
        <v>173</v>
      </c>
      <c r="P79" t="s">
        <v>173</v>
      </c>
      <c r="Q79" t="s">
        <v>173</v>
      </c>
      <c r="R79" t="s">
        <v>173</v>
      </c>
      <c r="S79" t="s">
        <v>173</v>
      </c>
      <c r="T79" t="s">
        <v>173</v>
      </c>
      <c r="U79" t="s">
        <v>173</v>
      </c>
      <c r="V79" t="s">
        <v>173</v>
      </c>
      <c r="W79" t="s">
        <v>173</v>
      </c>
      <c r="X79" t="s">
        <v>173</v>
      </c>
      <c r="Y79" t="s">
        <v>173</v>
      </c>
      <c r="Z79" t="s">
        <v>173</v>
      </c>
      <c r="AA79" t="s">
        <v>173</v>
      </c>
      <c r="AB79" t="s">
        <v>173</v>
      </c>
      <c r="AC79" t="s">
        <v>173</v>
      </c>
      <c r="AD79" t="s">
        <v>173</v>
      </c>
      <c r="AE79" t="s">
        <v>173</v>
      </c>
      <c r="AF79" t="s">
        <v>173</v>
      </c>
      <c r="AG79" t="s">
        <v>173</v>
      </c>
      <c r="AH79" t="s">
        <v>173</v>
      </c>
      <c r="AI79" t="s">
        <v>173</v>
      </c>
      <c r="AJ79" t="s">
        <v>173</v>
      </c>
      <c r="AK79" t="s">
        <v>173</v>
      </c>
      <c r="AL79" t="s">
        <v>173</v>
      </c>
      <c r="AM79" t="s">
        <v>173</v>
      </c>
      <c r="AN79" t="s">
        <v>173</v>
      </c>
      <c r="AO79" t="s">
        <v>173</v>
      </c>
      <c r="AP79" t="s">
        <v>173</v>
      </c>
      <c r="AQ79" t="s">
        <v>173</v>
      </c>
      <c r="AR79" t="s">
        <v>173</v>
      </c>
      <c r="AS79" t="s">
        <v>173</v>
      </c>
      <c r="AT79" t="s">
        <v>173</v>
      </c>
      <c r="AU79" t="s">
        <v>173</v>
      </c>
      <c r="AV79" t="s">
        <v>173</v>
      </c>
      <c r="AW79" t="s">
        <v>173</v>
      </c>
      <c r="AX79" t="s">
        <v>173</v>
      </c>
      <c r="AY79" t="s">
        <v>173</v>
      </c>
      <c r="AZ79" t="s">
        <v>173</v>
      </c>
      <c r="BA79" t="s">
        <v>173</v>
      </c>
      <c r="BB79" t="s">
        <v>173</v>
      </c>
      <c r="BC79" t="s">
        <v>173</v>
      </c>
      <c r="BD79" t="s">
        <v>173</v>
      </c>
      <c r="BE79" t="s">
        <v>173</v>
      </c>
      <c r="BF79" t="s">
        <v>173</v>
      </c>
      <c r="BG79" t="s">
        <v>173</v>
      </c>
      <c r="BH79" t="s">
        <v>173</v>
      </c>
      <c r="BI79" t="s">
        <v>173</v>
      </c>
      <c r="BJ79" t="s">
        <v>173</v>
      </c>
      <c r="BK79" t="s">
        <v>173</v>
      </c>
      <c r="BL79" t="s">
        <v>173</v>
      </c>
      <c r="BM79" t="s">
        <v>173</v>
      </c>
      <c r="BN79" t="s">
        <v>173</v>
      </c>
      <c r="BO79" t="s">
        <v>173</v>
      </c>
      <c r="BP79" t="s">
        <v>173</v>
      </c>
      <c r="BQ79" t="s">
        <v>173</v>
      </c>
      <c r="BR79" t="s">
        <v>173</v>
      </c>
      <c r="BS79" t="s">
        <v>173</v>
      </c>
      <c r="BT79" t="s">
        <v>173</v>
      </c>
      <c r="BU79" t="s">
        <v>173</v>
      </c>
      <c r="BV79" t="s">
        <v>173</v>
      </c>
      <c r="BX79" t="s">
        <v>173</v>
      </c>
      <c r="BY79" t="s">
        <v>173</v>
      </c>
      <c r="BZ79" t="s">
        <v>173</v>
      </c>
      <c r="CA79" t="s">
        <v>173</v>
      </c>
      <c r="CB79" t="s">
        <v>173</v>
      </c>
      <c r="CC79" t="s">
        <v>173</v>
      </c>
      <c r="CD79" t="s">
        <v>173</v>
      </c>
      <c r="CE79" t="s">
        <v>173</v>
      </c>
      <c r="CF79" t="s">
        <v>173</v>
      </c>
      <c r="CG79" t="s">
        <v>173</v>
      </c>
      <c r="CH79" t="s">
        <v>173</v>
      </c>
      <c r="CI79" t="s">
        <v>173</v>
      </c>
      <c r="CJ79" t="s">
        <v>173</v>
      </c>
      <c r="CK79" t="s">
        <v>173</v>
      </c>
      <c r="CL79" t="s">
        <v>173</v>
      </c>
      <c r="CM79" t="s">
        <v>173</v>
      </c>
      <c r="CN79" t="s">
        <v>173</v>
      </c>
      <c r="CO79" t="s">
        <v>173</v>
      </c>
      <c r="CP79" t="s">
        <v>173</v>
      </c>
      <c r="CQ79" t="s">
        <v>173</v>
      </c>
      <c r="CR79" t="s">
        <v>173</v>
      </c>
      <c r="CS79" t="s">
        <v>173</v>
      </c>
      <c r="CT79" t="s">
        <v>173</v>
      </c>
      <c r="CU79" t="s">
        <v>173</v>
      </c>
      <c r="CV79" t="s">
        <v>173</v>
      </c>
      <c r="CW79" t="s">
        <v>173</v>
      </c>
      <c r="CX79" t="s">
        <v>173</v>
      </c>
      <c r="CY79" t="s">
        <v>173</v>
      </c>
      <c r="CZ79" t="s">
        <v>173</v>
      </c>
      <c r="DA79" t="s">
        <v>173</v>
      </c>
      <c r="DB79" t="s">
        <v>173</v>
      </c>
      <c r="DC79" t="s">
        <v>173</v>
      </c>
      <c r="DD79" t="s">
        <v>173</v>
      </c>
      <c r="DE79" t="s">
        <v>173</v>
      </c>
      <c r="DF79" t="s">
        <v>173</v>
      </c>
      <c r="DG79" t="s">
        <v>173</v>
      </c>
      <c r="DH79" t="s">
        <v>173</v>
      </c>
    </row>
    <row r="80" spans="1:112">
      <c r="A80">
        <v>58</v>
      </c>
      <c r="B80" t="s">
        <v>348</v>
      </c>
      <c r="C80" t="s">
        <v>349</v>
      </c>
      <c r="D80">
        <v>2024</v>
      </c>
      <c r="E80" t="s">
        <v>177</v>
      </c>
      <c r="F80" t="s">
        <v>350</v>
      </c>
      <c r="G80" t="s">
        <v>172</v>
      </c>
      <c r="H80" t="s">
        <v>173</v>
      </c>
      <c r="I80" t="s">
        <v>197</v>
      </c>
      <c r="J80" t="s">
        <v>173</v>
      </c>
      <c r="K80" t="s">
        <v>173</v>
      </c>
      <c r="L80" t="s">
        <v>173</v>
      </c>
      <c r="M80" t="s">
        <v>173</v>
      </c>
      <c r="N80" t="s">
        <v>173</v>
      </c>
      <c r="O80" t="s">
        <v>173</v>
      </c>
      <c r="P80" t="s">
        <v>173</v>
      </c>
      <c r="Q80" t="s">
        <v>173</v>
      </c>
      <c r="R80" t="s">
        <v>173</v>
      </c>
      <c r="S80" t="s">
        <v>173</v>
      </c>
      <c r="T80" t="s">
        <v>173</v>
      </c>
      <c r="U80" t="s">
        <v>173</v>
      </c>
      <c r="V80" t="s">
        <v>173</v>
      </c>
      <c r="W80" t="s">
        <v>173</v>
      </c>
      <c r="X80" t="s">
        <v>173</v>
      </c>
      <c r="Y80" t="s">
        <v>173</v>
      </c>
      <c r="Z80" t="s">
        <v>173</v>
      </c>
      <c r="AA80" t="s">
        <v>173</v>
      </c>
      <c r="AB80" t="s">
        <v>173</v>
      </c>
      <c r="AC80" t="s">
        <v>173</v>
      </c>
      <c r="AD80" t="s">
        <v>173</v>
      </c>
      <c r="AE80" t="s">
        <v>173</v>
      </c>
      <c r="AF80" t="s">
        <v>173</v>
      </c>
      <c r="AG80" t="s">
        <v>173</v>
      </c>
      <c r="AH80" t="s">
        <v>173</v>
      </c>
      <c r="AI80" t="s">
        <v>173</v>
      </c>
      <c r="AJ80" t="s">
        <v>173</v>
      </c>
      <c r="AK80" t="s">
        <v>173</v>
      </c>
      <c r="AL80" t="s">
        <v>173</v>
      </c>
      <c r="AM80" t="s">
        <v>173</v>
      </c>
      <c r="AN80" t="s">
        <v>173</v>
      </c>
      <c r="AO80" t="s">
        <v>173</v>
      </c>
      <c r="AP80" t="s">
        <v>173</v>
      </c>
      <c r="AQ80" t="s">
        <v>173</v>
      </c>
      <c r="AR80" t="s">
        <v>173</v>
      </c>
      <c r="AS80" t="s">
        <v>173</v>
      </c>
      <c r="AT80" t="s">
        <v>173</v>
      </c>
      <c r="AU80" t="s">
        <v>173</v>
      </c>
      <c r="AV80" t="s">
        <v>173</v>
      </c>
      <c r="AW80" t="s">
        <v>173</v>
      </c>
      <c r="AX80" t="s">
        <v>173</v>
      </c>
      <c r="AY80" t="s">
        <v>173</v>
      </c>
      <c r="AZ80" t="s">
        <v>173</v>
      </c>
      <c r="BA80" t="s">
        <v>173</v>
      </c>
      <c r="BB80" t="s">
        <v>173</v>
      </c>
      <c r="BC80" t="s">
        <v>173</v>
      </c>
      <c r="BD80" t="s">
        <v>173</v>
      </c>
      <c r="BE80" t="s">
        <v>173</v>
      </c>
      <c r="BF80" t="s">
        <v>173</v>
      </c>
      <c r="BG80" t="s">
        <v>173</v>
      </c>
      <c r="BH80" t="s">
        <v>173</v>
      </c>
      <c r="BI80" t="s">
        <v>173</v>
      </c>
      <c r="BJ80" t="s">
        <v>173</v>
      </c>
      <c r="BK80" t="s">
        <v>173</v>
      </c>
      <c r="BL80" t="s">
        <v>173</v>
      </c>
      <c r="BM80" t="s">
        <v>173</v>
      </c>
      <c r="BN80" t="s">
        <v>173</v>
      </c>
      <c r="BO80" t="s">
        <v>173</v>
      </c>
      <c r="BP80" t="s">
        <v>173</v>
      </c>
      <c r="BQ80" t="s">
        <v>173</v>
      </c>
      <c r="BR80" t="s">
        <v>173</v>
      </c>
      <c r="BS80" t="s">
        <v>173</v>
      </c>
      <c r="BT80" t="s">
        <v>173</v>
      </c>
      <c r="BU80" t="s">
        <v>173</v>
      </c>
      <c r="BV80" t="s">
        <v>173</v>
      </c>
      <c r="BX80" t="s">
        <v>173</v>
      </c>
      <c r="BY80" t="s">
        <v>173</v>
      </c>
      <c r="BZ80" t="s">
        <v>173</v>
      </c>
      <c r="CA80" t="s">
        <v>173</v>
      </c>
      <c r="CB80" t="s">
        <v>173</v>
      </c>
      <c r="CC80" t="s">
        <v>173</v>
      </c>
      <c r="CD80" t="s">
        <v>173</v>
      </c>
      <c r="CE80" t="s">
        <v>173</v>
      </c>
      <c r="CF80" t="s">
        <v>173</v>
      </c>
      <c r="CG80" t="s">
        <v>173</v>
      </c>
      <c r="CH80" t="s">
        <v>173</v>
      </c>
      <c r="CI80" t="s">
        <v>173</v>
      </c>
      <c r="CJ80" t="s">
        <v>173</v>
      </c>
      <c r="CK80" t="s">
        <v>173</v>
      </c>
      <c r="CL80" t="s">
        <v>173</v>
      </c>
      <c r="CM80" t="s">
        <v>173</v>
      </c>
      <c r="CN80" t="s">
        <v>173</v>
      </c>
      <c r="CO80" t="s">
        <v>173</v>
      </c>
      <c r="CP80" t="s">
        <v>173</v>
      </c>
      <c r="CQ80" t="s">
        <v>173</v>
      </c>
      <c r="CR80" t="s">
        <v>173</v>
      </c>
      <c r="CS80" t="s">
        <v>173</v>
      </c>
      <c r="CT80" t="s">
        <v>173</v>
      </c>
      <c r="CU80" t="s">
        <v>173</v>
      </c>
      <c r="CV80" t="s">
        <v>173</v>
      </c>
      <c r="CW80" t="s">
        <v>173</v>
      </c>
      <c r="CX80" t="s">
        <v>173</v>
      </c>
      <c r="CY80" t="s">
        <v>173</v>
      </c>
      <c r="CZ80" t="s">
        <v>173</v>
      </c>
      <c r="DA80" t="s">
        <v>173</v>
      </c>
      <c r="DB80" t="s">
        <v>173</v>
      </c>
      <c r="DC80" t="s">
        <v>173</v>
      </c>
      <c r="DD80" t="s">
        <v>173</v>
      </c>
      <c r="DE80" t="s">
        <v>173</v>
      </c>
      <c r="DF80" t="s">
        <v>173</v>
      </c>
      <c r="DG80" t="s">
        <v>173</v>
      </c>
      <c r="DH80" t="s">
        <v>173</v>
      </c>
    </row>
    <row r="81" spans="1:112">
      <c r="A81">
        <v>58</v>
      </c>
      <c r="B81" t="s">
        <v>348</v>
      </c>
      <c r="C81" t="s">
        <v>349</v>
      </c>
      <c r="D81">
        <v>2024</v>
      </c>
      <c r="E81" t="s">
        <v>177</v>
      </c>
      <c r="F81" t="s">
        <v>350</v>
      </c>
      <c r="G81" t="s">
        <v>172</v>
      </c>
      <c r="H81" t="s">
        <v>173</v>
      </c>
      <c r="I81" t="s">
        <v>197</v>
      </c>
      <c r="J81" t="s">
        <v>173</v>
      </c>
      <c r="K81" t="s">
        <v>173</v>
      </c>
      <c r="L81" t="s">
        <v>173</v>
      </c>
      <c r="M81" t="s">
        <v>173</v>
      </c>
      <c r="N81" t="s">
        <v>173</v>
      </c>
      <c r="O81" t="s">
        <v>173</v>
      </c>
      <c r="P81" t="s">
        <v>173</v>
      </c>
      <c r="Q81" t="s">
        <v>173</v>
      </c>
      <c r="R81" t="s">
        <v>173</v>
      </c>
      <c r="S81" t="s">
        <v>173</v>
      </c>
      <c r="T81" t="s">
        <v>173</v>
      </c>
      <c r="U81" t="s">
        <v>173</v>
      </c>
      <c r="V81" t="s">
        <v>173</v>
      </c>
      <c r="W81" t="s">
        <v>173</v>
      </c>
      <c r="X81" t="s">
        <v>173</v>
      </c>
      <c r="Y81" t="s">
        <v>173</v>
      </c>
      <c r="Z81" t="s">
        <v>173</v>
      </c>
      <c r="AA81" t="s">
        <v>173</v>
      </c>
      <c r="AB81" t="s">
        <v>173</v>
      </c>
      <c r="AC81" t="s">
        <v>173</v>
      </c>
      <c r="AD81" t="s">
        <v>173</v>
      </c>
      <c r="AE81" t="s">
        <v>173</v>
      </c>
      <c r="AF81" t="s">
        <v>173</v>
      </c>
      <c r="AG81" t="s">
        <v>173</v>
      </c>
      <c r="AH81" t="s">
        <v>173</v>
      </c>
      <c r="AI81" t="s">
        <v>173</v>
      </c>
      <c r="AJ81" t="s">
        <v>173</v>
      </c>
      <c r="AK81" t="s">
        <v>173</v>
      </c>
      <c r="AL81" t="s">
        <v>173</v>
      </c>
      <c r="AM81" t="s">
        <v>173</v>
      </c>
      <c r="AN81" t="s">
        <v>173</v>
      </c>
      <c r="AO81" t="s">
        <v>173</v>
      </c>
      <c r="AP81" t="s">
        <v>173</v>
      </c>
      <c r="AQ81" t="s">
        <v>173</v>
      </c>
      <c r="AR81" t="s">
        <v>173</v>
      </c>
      <c r="AS81" t="s">
        <v>173</v>
      </c>
      <c r="AT81" t="s">
        <v>173</v>
      </c>
      <c r="AU81" t="s">
        <v>173</v>
      </c>
      <c r="AV81" t="s">
        <v>173</v>
      </c>
      <c r="AW81" t="s">
        <v>173</v>
      </c>
      <c r="AX81" t="s">
        <v>173</v>
      </c>
      <c r="AY81" t="s">
        <v>173</v>
      </c>
      <c r="AZ81" t="s">
        <v>173</v>
      </c>
      <c r="BA81" t="s">
        <v>173</v>
      </c>
      <c r="BB81" t="s">
        <v>173</v>
      </c>
      <c r="BC81" t="s">
        <v>173</v>
      </c>
      <c r="BD81" t="s">
        <v>173</v>
      </c>
      <c r="BE81" t="s">
        <v>173</v>
      </c>
      <c r="BF81" t="s">
        <v>173</v>
      </c>
      <c r="BG81" t="s">
        <v>173</v>
      </c>
      <c r="BH81" t="s">
        <v>173</v>
      </c>
      <c r="BI81" t="s">
        <v>173</v>
      </c>
      <c r="BJ81" t="s">
        <v>173</v>
      </c>
      <c r="BK81" t="s">
        <v>173</v>
      </c>
      <c r="BL81" t="s">
        <v>173</v>
      </c>
      <c r="BM81" t="s">
        <v>173</v>
      </c>
      <c r="BN81" t="s">
        <v>173</v>
      </c>
      <c r="BO81" t="s">
        <v>173</v>
      </c>
      <c r="BP81" t="s">
        <v>173</v>
      </c>
      <c r="BQ81" t="s">
        <v>173</v>
      </c>
      <c r="BR81" t="s">
        <v>173</v>
      </c>
      <c r="BS81" t="s">
        <v>173</v>
      </c>
      <c r="BT81" t="s">
        <v>173</v>
      </c>
      <c r="BU81" t="s">
        <v>173</v>
      </c>
      <c r="BV81" t="s">
        <v>173</v>
      </c>
      <c r="BX81" t="s">
        <v>173</v>
      </c>
      <c r="BY81" t="s">
        <v>173</v>
      </c>
      <c r="BZ81" t="s">
        <v>173</v>
      </c>
      <c r="CA81" t="s">
        <v>173</v>
      </c>
      <c r="CB81" t="s">
        <v>173</v>
      </c>
      <c r="CC81" t="s">
        <v>173</v>
      </c>
      <c r="CD81" t="s">
        <v>173</v>
      </c>
      <c r="CE81" t="s">
        <v>173</v>
      </c>
      <c r="CF81" t="s">
        <v>173</v>
      </c>
      <c r="CG81" t="s">
        <v>173</v>
      </c>
      <c r="CH81" t="s">
        <v>173</v>
      </c>
      <c r="CI81" t="s">
        <v>173</v>
      </c>
      <c r="CJ81" t="s">
        <v>173</v>
      </c>
      <c r="CK81" t="s">
        <v>173</v>
      </c>
      <c r="CL81" t="s">
        <v>173</v>
      </c>
      <c r="CM81" t="s">
        <v>173</v>
      </c>
      <c r="CN81" t="s">
        <v>173</v>
      </c>
      <c r="CO81" t="s">
        <v>173</v>
      </c>
      <c r="CP81" t="s">
        <v>173</v>
      </c>
      <c r="CQ81" t="s">
        <v>173</v>
      </c>
      <c r="CR81" t="s">
        <v>173</v>
      </c>
      <c r="CS81" t="s">
        <v>173</v>
      </c>
      <c r="CT81" t="s">
        <v>173</v>
      </c>
      <c r="CU81" t="s">
        <v>173</v>
      </c>
      <c r="CV81" t="s">
        <v>173</v>
      </c>
      <c r="CW81" t="s">
        <v>173</v>
      </c>
      <c r="CX81" t="s">
        <v>173</v>
      </c>
      <c r="CY81" t="s">
        <v>173</v>
      </c>
      <c r="CZ81" t="s">
        <v>173</v>
      </c>
      <c r="DA81" t="s">
        <v>173</v>
      </c>
      <c r="DB81" t="s">
        <v>173</v>
      </c>
      <c r="DC81" t="s">
        <v>173</v>
      </c>
      <c r="DD81" t="s">
        <v>173</v>
      </c>
      <c r="DE81" t="s">
        <v>173</v>
      </c>
      <c r="DF81" t="s">
        <v>173</v>
      </c>
      <c r="DG81" t="s">
        <v>173</v>
      </c>
      <c r="DH81" t="s">
        <v>173</v>
      </c>
    </row>
    <row r="82" spans="1:112">
      <c r="A82">
        <v>58</v>
      </c>
      <c r="B82" t="s">
        <v>348</v>
      </c>
      <c r="C82" t="s">
        <v>349</v>
      </c>
      <c r="D82">
        <v>2024</v>
      </c>
      <c r="E82" t="s">
        <v>177</v>
      </c>
      <c r="F82" t="s">
        <v>350</v>
      </c>
      <c r="G82" t="s">
        <v>172</v>
      </c>
      <c r="H82" t="s">
        <v>173</v>
      </c>
      <c r="I82" t="s">
        <v>197</v>
      </c>
      <c r="J82" t="s">
        <v>173</v>
      </c>
      <c r="K82" t="s">
        <v>173</v>
      </c>
      <c r="L82" t="s">
        <v>173</v>
      </c>
      <c r="M82" t="s">
        <v>173</v>
      </c>
      <c r="N82" t="s">
        <v>173</v>
      </c>
      <c r="O82" t="s">
        <v>173</v>
      </c>
      <c r="P82" t="s">
        <v>173</v>
      </c>
      <c r="Q82" t="s">
        <v>173</v>
      </c>
      <c r="R82" t="s">
        <v>173</v>
      </c>
      <c r="S82" t="s">
        <v>173</v>
      </c>
      <c r="T82" t="s">
        <v>173</v>
      </c>
      <c r="U82" t="s">
        <v>173</v>
      </c>
      <c r="V82" t="s">
        <v>173</v>
      </c>
      <c r="W82" t="s">
        <v>173</v>
      </c>
      <c r="X82" t="s">
        <v>173</v>
      </c>
      <c r="Y82" t="s">
        <v>173</v>
      </c>
      <c r="Z82" t="s">
        <v>173</v>
      </c>
      <c r="AA82" t="s">
        <v>173</v>
      </c>
      <c r="AB82" t="s">
        <v>173</v>
      </c>
      <c r="AC82" t="s">
        <v>173</v>
      </c>
      <c r="AD82" t="s">
        <v>173</v>
      </c>
      <c r="AE82" t="s">
        <v>173</v>
      </c>
      <c r="AF82" t="s">
        <v>173</v>
      </c>
      <c r="AG82" t="s">
        <v>173</v>
      </c>
      <c r="AH82" t="s">
        <v>173</v>
      </c>
      <c r="AI82" t="s">
        <v>173</v>
      </c>
      <c r="AJ82" t="s">
        <v>173</v>
      </c>
      <c r="AK82" t="s">
        <v>173</v>
      </c>
      <c r="AL82" t="s">
        <v>173</v>
      </c>
      <c r="AM82" t="s">
        <v>173</v>
      </c>
      <c r="AN82" t="s">
        <v>173</v>
      </c>
      <c r="AO82" t="s">
        <v>173</v>
      </c>
      <c r="AP82" t="s">
        <v>173</v>
      </c>
      <c r="AQ82" t="s">
        <v>173</v>
      </c>
      <c r="AR82" t="s">
        <v>173</v>
      </c>
      <c r="AS82" t="s">
        <v>173</v>
      </c>
      <c r="AT82" t="s">
        <v>173</v>
      </c>
      <c r="AU82" t="s">
        <v>173</v>
      </c>
      <c r="AV82" t="s">
        <v>173</v>
      </c>
      <c r="AW82" t="s">
        <v>173</v>
      </c>
      <c r="AX82" t="s">
        <v>173</v>
      </c>
      <c r="AY82" t="s">
        <v>173</v>
      </c>
      <c r="AZ82" t="s">
        <v>173</v>
      </c>
      <c r="BA82" t="s">
        <v>173</v>
      </c>
      <c r="BB82" t="s">
        <v>173</v>
      </c>
      <c r="BC82" t="s">
        <v>173</v>
      </c>
      <c r="BD82" t="s">
        <v>173</v>
      </c>
      <c r="BE82" t="s">
        <v>173</v>
      </c>
      <c r="BF82" t="s">
        <v>173</v>
      </c>
      <c r="BG82" t="s">
        <v>173</v>
      </c>
      <c r="BH82" t="s">
        <v>173</v>
      </c>
      <c r="BI82" t="s">
        <v>173</v>
      </c>
      <c r="BJ82" t="s">
        <v>173</v>
      </c>
      <c r="BK82" t="s">
        <v>173</v>
      </c>
      <c r="BL82" t="s">
        <v>173</v>
      </c>
      <c r="BM82" t="s">
        <v>173</v>
      </c>
      <c r="BN82" t="s">
        <v>173</v>
      </c>
      <c r="BO82" t="s">
        <v>173</v>
      </c>
      <c r="BP82" t="s">
        <v>173</v>
      </c>
      <c r="BQ82" t="s">
        <v>173</v>
      </c>
      <c r="BR82" t="s">
        <v>173</v>
      </c>
      <c r="BS82" t="s">
        <v>173</v>
      </c>
      <c r="BT82" t="s">
        <v>173</v>
      </c>
      <c r="BU82" t="s">
        <v>173</v>
      </c>
      <c r="BV82" t="s">
        <v>173</v>
      </c>
      <c r="BX82" t="s">
        <v>173</v>
      </c>
      <c r="BY82" t="s">
        <v>173</v>
      </c>
      <c r="BZ82" t="s">
        <v>173</v>
      </c>
      <c r="CA82" t="s">
        <v>173</v>
      </c>
      <c r="CB82" t="s">
        <v>173</v>
      </c>
      <c r="CC82" t="s">
        <v>173</v>
      </c>
      <c r="CD82" t="s">
        <v>173</v>
      </c>
      <c r="CE82" t="s">
        <v>173</v>
      </c>
      <c r="CF82" t="s">
        <v>173</v>
      </c>
      <c r="CG82" t="s">
        <v>173</v>
      </c>
      <c r="CH82" t="s">
        <v>173</v>
      </c>
      <c r="CI82" t="s">
        <v>173</v>
      </c>
      <c r="CJ82" t="s">
        <v>173</v>
      </c>
      <c r="CK82" t="s">
        <v>173</v>
      </c>
      <c r="CL82" t="s">
        <v>173</v>
      </c>
      <c r="CM82" t="s">
        <v>173</v>
      </c>
      <c r="CN82" t="s">
        <v>173</v>
      </c>
      <c r="CO82" t="s">
        <v>173</v>
      </c>
      <c r="CP82" t="s">
        <v>173</v>
      </c>
      <c r="CQ82" t="s">
        <v>173</v>
      </c>
      <c r="CR82" t="s">
        <v>173</v>
      </c>
      <c r="CS82" t="s">
        <v>173</v>
      </c>
      <c r="CT82" t="s">
        <v>173</v>
      </c>
      <c r="CU82" t="s">
        <v>173</v>
      </c>
      <c r="CV82" t="s">
        <v>173</v>
      </c>
      <c r="CW82" t="s">
        <v>173</v>
      </c>
      <c r="CX82" t="s">
        <v>173</v>
      </c>
      <c r="CY82" t="s">
        <v>173</v>
      </c>
      <c r="CZ82" t="s">
        <v>173</v>
      </c>
      <c r="DA82" t="s">
        <v>173</v>
      </c>
      <c r="DB82" t="s">
        <v>173</v>
      </c>
      <c r="DC82" t="s">
        <v>173</v>
      </c>
      <c r="DD82" t="s">
        <v>173</v>
      </c>
      <c r="DE82" t="s">
        <v>173</v>
      </c>
      <c r="DF82" t="s">
        <v>173</v>
      </c>
      <c r="DG82" t="s">
        <v>173</v>
      </c>
      <c r="DH82" t="s">
        <v>173</v>
      </c>
    </row>
    <row r="83" spans="1:112">
      <c r="A83">
        <v>58</v>
      </c>
      <c r="B83" t="s">
        <v>348</v>
      </c>
      <c r="C83" t="s">
        <v>349</v>
      </c>
      <c r="D83">
        <v>2024</v>
      </c>
      <c r="E83" t="s">
        <v>177</v>
      </c>
      <c r="F83" t="s">
        <v>350</v>
      </c>
      <c r="G83" t="s">
        <v>172</v>
      </c>
      <c r="H83" t="s">
        <v>173</v>
      </c>
      <c r="I83" t="s">
        <v>197</v>
      </c>
      <c r="J83" t="s">
        <v>173</v>
      </c>
      <c r="K83" t="s">
        <v>173</v>
      </c>
      <c r="L83" t="s">
        <v>173</v>
      </c>
      <c r="M83" t="s">
        <v>173</v>
      </c>
      <c r="N83" t="s">
        <v>173</v>
      </c>
      <c r="O83" t="s">
        <v>173</v>
      </c>
      <c r="P83" t="s">
        <v>173</v>
      </c>
      <c r="Q83" t="s">
        <v>173</v>
      </c>
      <c r="R83" t="s">
        <v>173</v>
      </c>
      <c r="S83" t="s">
        <v>173</v>
      </c>
      <c r="T83" t="s">
        <v>173</v>
      </c>
      <c r="U83" t="s">
        <v>173</v>
      </c>
      <c r="V83" t="s">
        <v>173</v>
      </c>
      <c r="W83" t="s">
        <v>173</v>
      </c>
      <c r="X83" t="s">
        <v>173</v>
      </c>
      <c r="Y83" t="s">
        <v>173</v>
      </c>
      <c r="Z83" t="s">
        <v>173</v>
      </c>
      <c r="AA83" t="s">
        <v>173</v>
      </c>
      <c r="AB83" t="s">
        <v>173</v>
      </c>
      <c r="AC83" t="s">
        <v>173</v>
      </c>
      <c r="AD83" t="s">
        <v>173</v>
      </c>
      <c r="AE83" t="s">
        <v>173</v>
      </c>
      <c r="AF83" t="s">
        <v>173</v>
      </c>
      <c r="AG83" t="s">
        <v>173</v>
      </c>
      <c r="AH83" t="s">
        <v>173</v>
      </c>
      <c r="AI83" t="s">
        <v>173</v>
      </c>
      <c r="AJ83" t="s">
        <v>173</v>
      </c>
      <c r="AK83" t="s">
        <v>173</v>
      </c>
      <c r="AL83" t="s">
        <v>173</v>
      </c>
      <c r="AM83" t="s">
        <v>173</v>
      </c>
      <c r="AN83" t="s">
        <v>173</v>
      </c>
      <c r="AO83" t="s">
        <v>173</v>
      </c>
      <c r="AP83" t="s">
        <v>173</v>
      </c>
      <c r="AQ83" t="s">
        <v>173</v>
      </c>
      <c r="AR83" t="s">
        <v>173</v>
      </c>
      <c r="AS83" t="s">
        <v>173</v>
      </c>
      <c r="AT83" t="s">
        <v>173</v>
      </c>
      <c r="AU83" t="s">
        <v>173</v>
      </c>
      <c r="AV83" t="s">
        <v>173</v>
      </c>
      <c r="AW83" t="s">
        <v>173</v>
      </c>
      <c r="AX83" t="s">
        <v>173</v>
      </c>
      <c r="AY83" t="s">
        <v>173</v>
      </c>
      <c r="AZ83" t="s">
        <v>173</v>
      </c>
      <c r="BA83" t="s">
        <v>173</v>
      </c>
      <c r="BB83" t="s">
        <v>173</v>
      </c>
      <c r="BC83" t="s">
        <v>173</v>
      </c>
      <c r="BD83" t="s">
        <v>173</v>
      </c>
      <c r="BE83" t="s">
        <v>173</v>
      </c>
      <c r="BF83" t="s">
        <v>173</v>
      </c>
      <c r="BG83" t="s">
        <v>173</v>
      </c>
      <c r="BH83" t="s">
        <v>173</v>
      </c>
      <c r="BI83" t="s">
        <v>173</v>
      </c>
      <c r="BJ83" t="s">
        <v>173</v>
      </c>
      <c r="BK83" t="s">
        <v>173</v>
      </c>
      <c r="BL83" t="s">
        <v>173</v>
      </c>
      <c r="BM83" t="s">
        <v>173</v>
      </c>
      <c r="BN83" t="s">
        <v>173</v>
      </c>
      <c r="BO83" t="s">
        <v>173</v>
      </c>
      <c r="BP83" t="s">
        <v>173</v>
      </c>
      <c r="BQ83" t="s">
        <v>173</v>
      </c>
      <c r="BR83" t="s">
        <v>173</v>
      </c>
      <c r="BS83" t="s">
        <v>173</v>
      </c>
      <c r="BT83" t="s">
        <v>173</v>
      </c>
      <c r="BU83" t="s">
        <v>173</v>
      </c>
      <c r="BV83" t="s">
        <v>173</v>
      </c>
      <c r="BX83" t="s">
        <v>173</v>
      </c>
      <c r="BY83" t="s">
        <v>173</v>
      </c>
      <c r="BZ83" t="s">
        <v>173</v>
      </c>
      <c r="CA83" t="s">
        <v>173</v>
      </c>
      <c r="CB83" t="s">
        <v>173</v>
      </c>
      <c r="CC83" t="s">
        <v>173</v>
      </c>
      <c r="CD83" t="s">
        <v>173</v>
      </c>
      <c r="CE83" t="s">
        <v>173</v>
      </c>
      <c r="CF83" t="s">
        <v>173</v>
      </c>
      <c r="CG83" t="s">
        <v>173</v>
      </c>
      <c r="CH83" t="s">
        <v>173</v>
      </c>
      <c r="CI83" t="s">
        <v>173</v>
      </c>
      <c r="CJ83" t="s">
        <v>173</v>
      </c>
      <c r="CK83" t="s">
        <v>173</v>
      </c>
      <c r="CL83" t="s">
        <v>173</v>
      </c>
      <c r="CM83" t="s">
        <v>173</v>
      </c>
      <c r="CN83" t="s">
        <v>173</v>
      </c>
      <c r="CO83" t="s">
        <v>173</v>
      </c>
      <c r="CP83" t="s">
        <v>173</v>
      </c>
      <c r="CQ83" t="s">
        <v>173</v>
      </c>
      <c r="CR83" t="s">
        <v>173</v>
      </c>
      <c r="CS83" t="s">
        <v>173</v>
      </c>
      <c r="CT83" t="s">
        <v>173</v>
      </c>
      <c r="CU83" t="s">
        <v>173</v>
      </c>
      <c r="CV83" t="s">
        <v>173</v>
      </c>
      <c r="CW83" t="s">
        <v>173</v>
      </c>
      <c r="CX83" t="s">
        <v>173</v>
      </c>
      <c r="CY83" t="s">
        <v>173</v>
      </c>
      <c r="CZ83" t="s">
        <v>173</v>
      </c>
      <c r="DA83" t="s">
        <v>173</v>
      </c>
      <c r="DB83" t="s">
        <v>173</v>
      </c>
      <c r="DC83" t="s">
        <v>173</v>
      </c>
      <c r="DD83" t="s">
        <v>173</v>
      </c>
      <c r="DE83" t="s">
        <v>173</v>
      </c>
      <c r="DF83" t="s">
        <v>173</v>
      </c>
      <c r="DG83" t="s">
        <v>173</v>
      </c>
      <c r="DH83" t="s">
        <v>173</v>
      </c>
    </row>
    <row r="84" spans="1:112">
      <c r="A84">
        <v>58</v>
      </c>
      <c r="B84" t="s">
        <v>348</v>
      </c>
      <c r="C84" t="s">
        <v>349</v>
      </c>
      <c r="D84">
        <v>2024</v>
      </c>
      <c r="E84" t="s">
        <v>177</v>
      </c>
      <c r="F84" t="s">
        <v>350</v>
      </c>
      <c r="G84" t="s">
        <v>172</v>
      </c>
      <c r="H84" t="s">
        <v>173</v>
      </c>
      <c r="I84" t="s">
        <v>197</v>
      </c>
      <c r="J84" t="s">
        <v>173</v>
      </c>
      <c r="K84" t="s">
        <v>173</v>
      </c>
      <c r="L84" t="s">
        <v>173</v>
      </c>
      <c r="M84" t="s">
        <v>173</v>
      </c>
      <c r="N84" t="s">
        <v>173</v>
      </c>
      <c r="O84" t="s">
        <v>173</v>
      </c>
      <c r="P84" t="s">
        <v>173</v>
      </c>
      <c r="Q84" t="s">
        <v>173</v>
      </c>
      <c r="R84" t="s">
        <v>173</v>
      </c>
      <c r="S84" t="s">
        <v>173</v>
      </c>
      <c r="T84" t="s">
        <v>173</v>
      </c>
      <c r="U84" t="s">
        <v>173</v>
      </c>
      <c r="V84" t="s">
        <v>173</v>
      </c>
      <c r="W84" t="s">
        <v>173</v>
      </c>
      <c r="X84" t="s">
        <v>173</v>
      </c>
      <c r="Y84" t="s">
        <v>173</v>
      </c>
      <c r="Z84" t="s">
        <v>173</v>
      </c>
      <c r="AA84" t="s">
        <v>173</v>
      </c>
      <c r="AB84" t="s">
        <v>173</v>
      </c>
      <c r="AC84" t="s">
        <v>173</v>
      </c>
      <c r="AD84" t="s">
        <v>173</v>
      </c>
      <c r="AE84" t="s">
        <v>173</v>
      </c>
      <c r="AF84" t="s">
        <v>173</v>
      </c>
      <c r="AG84" t="s">
        <v>173</v>
      </c>
      <c r="AH84" t="s">
        <v>173</v>
      </c>
      <c r="AI84" t="s">
        <v>173</v>
      </c>
      <c r="AJ84" t="s">
        <v>173</v>
      </c>
      <c r="AK84" t="s">
        <v>173</v>
      </c>
      <c r="AL84" t="s">
        <v>173</v>
      </c>
      <c r="AM84" t="s">
        <v>173</v>
      </c>
      <c r="AN84" t="s">
        <v>173</v>
      </c>
      <c r="AO84" t="s">
        <v>173</v>
      </c>
      <c r="AP84" t="s">
        <v>173</v>
      </c>
      <c r="AQ84" t="s">
        <v>173</v>
      </c>
      <c r="AR84" t="s">
        <v>173</v>
      </c>
      <c r="AS84" t="s">
        <v>173</v>
      </c>
      <c r="AT84" t="s">
        <v>173</v>
      </c>
      <c r="AU84" t="s">
        <v>173</v>
      </c>
      <c r="AV84" t="s">
        <v>173</v>
      </c>
      <c r="AW84" t="s">
        <v>173</v>
      </c>
      <c r="AX84" t="s">
        <v>173</v>
      </c>
      <c r="AY84" t="s">
        <v>173</v>
      </c>
      <c r="AZ84" t="s">
        <v>173</v>
      </c>
      <c r="BA84" t="s">
        <v>173</v>
      </c>
      <c r="BB84" t="s">
        <v>173</v>
      </c>
      <c r="BC84" t="s">
        <v>173</v>
      </c>
      <c r="BD84" t="s">
        <v>173</v>
      </c>
      <c r="BE84" t="s">
        <v>173</v>
      </c>
      <c r="BF84" t="s">
        <v>173</v>
      </c>
      <c r="BG84" t="s">
        <v>173</v>
      </c>
      <c r="BH84" t="s">
        <v>173</v>
      </c>
      <c r="BI84" t="s">
        <v>173</v>
      </c>
      <c r="BJ84" t="s">
        <v>173</v>
      </c>
      <c r="BK84" t="s">
        <v>173</v>
      </c>
      <c r="BL84" t="s">
        <v>173</v>
      </c>
      <c r="BM84" t="s">
        <v>173</v>
      </c>
      <c r="BN84" t="s">
        <v>173</v>
      </c>
      <c r="BO84" t="s">
        <v>173</v>
      </c>
      <c r="BP84" t="s">
        <v>173</v>
      </c>
      <c r="BQ84" t="s">
        <v>173</v>
      </c>
      <c r="BR84" t="s">
        <v>173</v>
      </c>
      <c r="BS84" t="s">
        <v>173</v>
      </c>
      <c r="BT84" t="s">
        <v>173</v>
      </c>
      <c r="BU84" t="s">
        <v>173</v>
      </c>
      <c r="BV84" t="s">
        <v>173</v>
      </c>
      <c r="BX84" t="s">
        <v>173</v>
      </c>
      <c r="BY84" t="s">
        <v>173</v>
      </c>
      <c r="BZ84" t="s">
        <v>173</v>
      </c>
      <c r="CA84" t="s">
        <v>173</v>
      </c>
      <c r="CB84" t="s">
        <v>173</v>
      </c>
      <c r="CC84" t="s">
        <v>173</v>
      </c>
      <c r="CD84" t="s">
        <v>173</v>
      </c>
      <c r="CE84" t="s">
        <v>173</v>
      </c>
      <c r="CF84" t="s">
        <v>173</v>
      </c>
      <c r="CG84" t="s">
        <v>173</v>
      </c>
      <c r="CH84" t="s">
        <v>173</v>
      </c>
      <c r="CI84" t="s">
        <v>173</v>
      </c>
      <c r="CJ84" t="s">
        <v>173</v>
      </c>
      <c r="CK84" t="s">
        <v>173</v>
      </c>
      <c r="CL84" t="s">
        <v>173</v>
      </c>
      <c r="CM84" t="s">
        <v>173</v>
      </c>
      <c r="CN84" t="s">
        <v>173</v>
      </c>
      <c r="CO84" t="s">
        <v>173</v>
      </c>
      <c r="CP84" t="s">
        <v>173</v>
      </c>
      <c r="CQ84" t="s">
        <v>173</v>
      </c>
      <c r="CR84" t="s">
        <v>173</v>
      </c>
      <c r="CS84" t="s">
        <v>173</v>
      </c>
      <c r="CT84" t="s">
        <v>173</v>
      </c>
      <c r="CU84" t="s">
        <v>173</v>
      </c>
      <c r="CV84" t="s">
        <v>173</v>
      </c>
      <c r="CW84" t="s">
        <v>173</v>
      </c>
      <c r="CX84" t="s">
        <v>173</v>
      </c>
      <c r="CY84" t="s">
        <v>173</v>
      </c>
      <c r="CZ84" t="s">
        <v>173</v>
      </c>
      <c r="DA84" t="s">
        <v>173</v>
      </c>
      <c r="DB84" t="s">
        <v>173</v>
      </c>
      <c r="DC84" t="s">
        <v>173</v>
      </c>
      <c r="DD84" t="s">
        <v>173</v>
      </c>
      <c r="DE84" t="s">
        <v>173</v>
      </c>
      <c r="DF84" t="s">
        <v>173</v>
      </c>
      <c r="DG84" t="s">
        <v>173</v>
      </c>
      <c r="DH84" t="s">
        <v>173</v>
      </c>
    </row>
    <row r="85" spans="1:112">
      <c r="A85">
        <v>58</v>
      </c>
      <c r="B85" t="s">
        <v>348</v>
      </c>
      <c r="C85" t="s">
        <v>349</v>
      </c>
      <c r="D85">
        <v>2024</v>
      </c>
      <c r="E85" t="s">
        <v>177</v>
      </c>
      <c r="F85" t="s">
        <v>350</v>
      </c>
      <c r="G85" t="s">
        <v>172</v>
      </c>
      <c r="H85" t="s">
        <v>173</v>
      </c>
      <c r="I85" t="s">
        <v>197</v>
      </c>
      <c r="J85" t="s">
        <v>173</v>
      </c>
      <c r="K85" t="s">
        <v>173</v>
      </c>
      <c r="L85" t="s">
        <v>173</v>
      </c>
      <c r="M85" t="s">
        <v>173</v>
      </c>
      <c r="N85" t="s">
        <v>173</v>
      </c>
      <c r="O85" t="s">
        <v>173</v>
      </c>
      <c r="P85" t="s">
        <v>173</v>
      </c>
      <c r="Q85" t="s">
        <v>173</v>
      </c>
      <c r="R85" t="s">
        <v>173</v>
      </c>
      <c r="S85" t="s">
        <v>173</v>
      </c>
      <c r="T85" t="s">
        <v>173</v>
      </c>
      <c r="U85" t="s">
        <v>173</v>
      </c>
      <c r="V85" t="s">
        <v>173</v>
      </c>
      <c r="W85" t="s">
        <v>173</v>
      </c>
      <c r="X85" t="s">
        <v>173</v>
      </c>
      <c r="Y85" t="s">
        <v>173</v>
      </c>
      <c r="Z85" t="s">
        <v>173</v>
      </c>
      <c r="AA85" t="s">
        <v>173</v>
      </c>
      <c r="AB85" t="s">
        <v>173</v>
      </c>
      <c r="AC85" t="s">
        <v>173</v>
      </c>
      <c r="AD85" t="s">
        <v>173</v>
      </c>
      <c r="AE85" t="s">
        <v>173</v>
      </c>
      <c r="AF85" t="s">
        <v>173</v>
      </c>
      <c r="AG85" t="s">
        <v>173</v>
      </c>
      <c r="AH85" t="s">
        <v>173</v>
      </c>
      <c r="AI85" t="s">
        <v>173</v>
      </c>
      <c r="AJ85" t="s">
        <v>173</v>
      </c>
      <c r="AK85" t="s">
        <v>173</v>
      </c>
      <c r="AL85" t="s">
        <v>173</v>
      </c>
      <c r="AM85" t="s">
        <v>173</v>
      </c>
      <c r="AN85" t="s">
        <v>173</v>
      </c>
      <c r="AO85" t="s">
        <v>173</v>
      </c>
      <c r="AP85" t="s">
        <v>173</v>
      </c>
      <c r="AQ85" t="s">
        <v>173</v>
      </c>
      <c r="AR85" t="s">
        <v>173</v>
      </c>
      <c r="AS85" t="s">
        <v>173</v>
      </c>
      <c r="AT85" t="s">
        <v>173</v>
      </c>
      <c r="AU85" t="s">
        <v>173</v>
      </c>
      <c r="AV85" t="s">
        <v>173</v>
      </c>
      <c r="AW85" t="s">
        <v>173</v>
      </c>
      <c r="AX85" t="s">
        <v>173</v>
      </c>
      <c r="AY85" t="s">
        <v>173</v>
      </c>
      <c r="AZ85" t="s">
        <v>173</v>
      </c>
      <c r="BA85" t="s">
        <v>173</v>
      </c>
      <c r="BB85" t="s">
        <v>173</v>
      </c>
      <c r="BC85" t="s">
        <v>173</v>
      </c>
      <c r="BD85" t="s">
        <v>173</v>
      </c>
      <c r="BE85" t="s">
        <v>173</v>
      </c>
      <c r="BF85" t="s">
        <v>173</v>
      </c>
      <c r="BG85" t="s">
        <v>173</v>
      </c>
      <c r="BH85" t="s">
        <v>173</v>
      </c>
      <c r="BI85" t="s">
        <v>173</v>
      </c>
      <c r="BJ85" t="s">
        <v>173</v>
      </c>
      <c r="BK85" t="s">
        <v>173</v>
      </c>
      <c r="BL85" t="s">
        <v>173</v>
      </c>
      <c r="BM85" t="s">
        <v>173</v>
      </c>
      <c r="BN85" t="s">
        <v>173</v>
      </c>
      <c r="BO85" t="s">
        <v>173</v>
      </c>
      <c r="BP85" t="s">
        <v>173</v>
      </c>
      <c r="BQ85" t="s">
        <v>173</v>
      </c>
      <c r="BR85" t="s">
        <v>173</v>
      </c>
      <c r="BS85" t="s">
        <v>173</v>
      </c>
      <c r="BT85" t="s">
        <v>173</v>
      </c>
      <c r="BU85" t="s">
        <v>173</v>
      </c>
      <c r="BV85" t="s">
        <v>173</v>
      </c>
      <c r="BX85" t="s">
        <v>173</v>
      </c>
      <c r="BY85" t="s">
        <v>173</v>
      </c>
      <c r="BZ85" t="s">
        <v>173</v>
      </c>
      <c r="CA85" t="s">
        <v>173</v>
      </c>
      <c r="CB85" t="s">
        <v>173</v>
      </c>
      <c r="CC85" t="s">
        <v>173</v>
      </c>
      <c r="CD85" t="s">
        <v>173</v>
      </c>
      <c r="CE85" t="s">
        <v>173</v>
      </c>
      <c r="CF85" t="s">
        <v>173</v>
      </c>
      <c r="CG85" t="s">
        <v>173</v>
      </c>
      <c r="CH85" t="s">
        <v>173</v>
      </c>
      <c r="CI85" t="s">
        <v>173</v>
      </c>
      <c r="CJ85" t="s">
        <v>173</v>
      </c>
      <c r="CK85" t="s">
        <v>173</v>
      </c>
      <c r="CL85" t="s">
        <v>173</v>
      </c>
      <c r="CM85" t="s">
        <v>173</v>
      </c>
      <c r="CN85" t="s">
        <v>173</v>
      </c>
      <c r="CO85" t="s">
        <v>173</v>
      </c>
      <c r="CP85" t="s">
        <v>173</v>
      </c>
      <c r="CQ85" t="s">
        <v>173</v>
      </c>
      <c r="CR85" t="s">
        <v>173</v>
      </c>
      <c r="CS85" t="s">
        <v>173</v>
      </c>
      <c r="CT85" t="s">
        <v>173</v>
      </c>
      <c r="CU85" t="s">
        <v>173</v>
      </c>
      <c r="CV85" t="s">
        <v>173</v>
      </c>
      <c r="CW85" t="s">
        <v>173</v>
      </c>
      <c r="CX85" t="s">
        <v>173</v>
      </c>
      <c r="CY85" t="s">
        <v>173</v>
      </c>
      <c r="CZ85" t="s">
        <v>173</v>
      </c>
      <c r="DA85" t="s">
        <v>173</v>
      </c>
      <c r="DB85" t="s">
        <v>173</v>
      </c>
      <c r="DC85" t="s">
        <v>173</v>
      </c>
      <c r="DD85" t="s">
        <v>173</v>
      </c>
      <c r="DE85" t="s">
        <v>173</v>
      </c>
      <c r="DF85" t="s">
        <v>173</v>
      </c>
      <c r="DG85" t="s">
        <v>173</v>
      </c>
      <c r="DH85" t="s">
        <v>173</v>
      </c>
    </row>
    <row r="86" spans="1:112">
      <c r="A86">
        <v>58</v>
      </c>
      <c r="B86" t="s">
        <v>348</v>
      </c>
      <c r="C86" t="s">
        <v>349</v>
      </c>
      <c r="D86">
        <v>2024</v>
      </c>
      <c r="E86" t="s">
        <v>177</v>
      </c>
      <c r="F86" t="s">
        <v>350</v>
      </c>
      <c r="G86" t="s">
        <v>172</v>
      </c>
      <c r="H86" t="s">
        <v>173</v>
      </c>
      <c r="I86" t="s">
        <v>197</v>
      </c>
      <c r="J86" t="s">
        <v>173</v>
      </c>
      <c r="K86" t="s">
        <v>173</v>
      </c>
      <c r="L86" t="s">
        <v>173</v>
      </c>
      <c r="M86" t="s">
        <v>173</v>
      </c>
      <c r="N86" t="s">
        <v>173</v>
      </c>
      <c r="O86" t="s">
        <v>173</v>
      </c>
      <c r="P86" t="s">
        <v>173</v>
      </c>
      <c r="Q86" t="s">
        <v>173</v>
      </c>
      <c r="R86" t="s">
        <v>173</v>
      </c>
      <c r="S86" t="s">
        <v>173</v>
      </c>
      <c r="T86" t="s">
        <v>173</v>
      </c>
      <c r="U86" t="s">
        <v>173</v>
      </c>
      <c r="V86" t="s">
        <v>173</v>
      </c>
      <c r="W86" t="s">
        <v>173</v>
      </c>
      <c r="X86" t="s">
        <v>173</v>
      </c>
      <c r="Y86" t="s">
        <v>173</v>
      </c>
      <c r="Z86" t="s">
        <v>173</v>
      </c>
      <c r="AA86" t="s">
        <v>173</v>
      </c>
      <c r="AB86" t="s">
        <v>173</v>
      </c>
      <c r="AC86" t="s">
        <v>173</v>
      </c>
      <c r="AD86" t="s">
        <v>173</v>
      </c>
      <c r="AE86" t="s">
        <v>173</v>
      </c>
      <c r="AF86" t="s">
        <v>173</v>
      </c>
      <c r="AG86" t="s">
        <v>173</v>
      </c>
      <c r="AH86" t="s">
        <v>173</v>
      </c>
      <c r="AI86" t="s">
        <v>173</v>
      </c>
      <c r="AJ86" t="s">
        <v>173</v>
      </c>
      <c r="AK86" t="s">
        <v>173</v>
      </c>
      <c r="AL86" t="s">
        <v>173</v>
      </c>
      <c r="AM86" t="s">
        <v>173</v>
      </c>
      <c r="AN86" t="s">
        <v>173</v>
      </c>
      <c r="AO86" t="s">
        <v>173</v>
      </c>
      <c r="AP86" t="s">
        <v>173</v>
      </c>
      <c r="AQ86" t="s">
        <v>173</v>
      </c>
      <c r="AR86" t="s">
        <v>173</v>
      </c>
      <c r="AS86" t="s">
        <v>173</v>
      </c>
      <c r="AT86" t="s">
        <v>173</v>
      </c>
      <c r="AU86" t="s">
        <v>173</v>
      </c>
      <c r="AV86" t="s">
        <v>173</v>
      </c>
      <c r="AW86" t="s">
        <v>173</v>
      </c>
      <c r="AX86" t="s">
        <v>173</v>
      </c>
      <c r="AY86" t="s">
        <v>173</v>
      </c>
      <c r="AZ86" t="s">
        <v>173</v>
      </c>
      <c r="BA86" t="s">
        <v>173</v>
      </c>
      <c r="BB86" t="s">
        <v>173</v>
      </c>
      <c r="BC86" t="s">
        <v>173</v>
      </c>
      <c r="BD86" t="s">
        <v>173</v>
      </c>
      <c r="BE86" t="s">
        <v>173</v>
      </c>
      <c r="BF86" t="s">
        <v>173</v>
      </c>
      <c r="BG86" t="s">
        <v>173</v>
      </c>
      <c r="BH86" t="s">
        <v>173</v>
      </c>
      <c r="BI86" t="s">
        <v>173</v>
      </c>
      <c r="BJ86" t="s">
        <v>173</v>
      </c>
      <c r="BK86" t="s">
        <v>173</v>
      </c>
      <c r="BL86" t="s">
        <v>173</v>
      </c>
      <c r="BM86" t="s">
        <v>173</v>
      </c>
      <c r="BN86" t="s">
        <v>173</v>
      </c>
      <c r="BO86" t="s">
        <v>173</v>
      </c>
      <c r="BP86" t="s">
        <v>173</v>
      </c>
      <c r="BQ86" t="s">
        <v>173</v>
      </c>
      <c r="BR86" t="s">
        <v>173</v>
      </c>
      <c r="BS86" t="s">
        <v>173</v>
      </c>
      <c r="BT86" t="s">
        <v>173</v>
      </c>
      <c r="BU86" t="s">
        <v>173</v>
      </c>
      <c r="BV86" t="s">
        <v>173</v>
      </c>
      <c r="BX86" t="s">
        <v>173</v>
      </c>
      <c r="BY86" t="s">
        <v>173</v>
      </c>
      <c r="BZ86" t="s">
        <v>173</v>
      </c>
      <c r="CA86" t="s">
        <v>173</v>
      </c>
      <c r="CB86" t="s">
        <v>173</v>
      </c>
      <c r="CC86" t="s">
        <v>173</v>
      </c>
      <c r="CD86" t="s">
        <v>173</v>
      </c>
      <c r="CE86" t="s">
        <v>173</v>
      </c>
      <c r="CF86" t="s">
        <v>173</v>
      </c>
      <c r="CG86" t="s">
        <v>173</v>
      </c>
      <c r="CH86" t="s">
        <v>173</v>
      </c>
      <c r="CI86" t="s">
        <v>173</v>
      </c>
      <c r="CJ86" t="s">
        <v>173</v>
      </c>
      <c r="CK86" t="s">
        <v>173</v>
      </c>
      <c r="CL86" t="s">
        <v>173</v>
      </c>
      <c r="CM86" t="s">
        <v>173</v>
      </c>
      <c r="CN86" t="s">
        <v>173</v>
      </c>
      <c r="CO86" t="s">
        <v>173</v>
      </c>
      <c r="CP86" t="s">
        <v>173</v>
      </c>
      <c r="CQ86" t="s">
        <v>173</v>
      </c>
      <c r="CR86" t="s">
        <v>173</v>
      </c>
      <c r="CS86" t="s">
        <v>173</v>
      </c>
      <c r="CT86" t="s">
        <v>173</v>
      </c>
      <c r="CU86" t="s">
        <v>173</v>
      </c>
      <c r="CV86" t="s">
        <v>173</v>
      </c>
      <c r="CW86" t="s">
        <v>173</v>
      </c>
      <c r="CX86" t="s">
        <v>173</v>
      </c>
      <c r="CY86" t="s">
        <v>173</v>
      </c>
      <c r="CZ86" t="s">
        <v>173</v>
      </c>
      <c r="DA86" t="s">
        <v>173</v>
      </c>
      <c r="DB86" t="s">
        <v>173</v>
      </c>
      <c r="DC86" t="s">
        <v>173</v>
      </c>
      <c r="DD86" t="s">
        <v>173</v>
      </c>
      <c r="DE86" t="s">
        <v>173</v>
      </c>
      <c r="DF86" t="s">
        <v>173</v>
      </c>
      <c r="DG86" t="s">
        <v>173</v>
      </c>
      <c r="DH86" t="s">
        <v>173</v>
      </c>
    </row>
    <row r="87" spans="1:112">
      <c r="A87">
        <v>59</v>
      </c>
      <c r="B87" t="s">
        <v>351</v>
      </c>
      <c r="C87" t="s">
        <v>352</v>
      </c>
      <c r="D87">
        <v>2024</v>
      </c>
      <c r="E87" t="s">
        <v>353</v>
      </c>
      <c r="F87" t="s">
        <v>354</v>
      </c>
      <c r="G87" t="s">
        <v>172</v>
      </c>
      <c r="H87" t="s">
        <v>173</v>
      </c>
      <c r="I87" t="s">
        <v>174</v>
      </c>
      <c r="J87" t="s">
        <v>173</v>
      </c>
      <c r="K87" t="s">
        <v>173</v>
      </c>
      <c r="L87" t="s">
        <v>173</v>
      </c>
      <c r="M87" t="s">
        <v>173</v>
      </c>
      <c r="N87" t="s">
        <v>173</v>
      </c>
      <c r="O87" t="s">
        <v>173</v>
      </c>
      <c r="P87" t="s">
        <v>173</v>
      </c>
      <c r="Q87" t="s">
        <v>173</v>
      </c>
      <c r="R87" t="s">
        <v>173</v>
      </c>
      <c r="S87" t="s">
        <v>173</v>
      </c>
      <c r="T87" t="s">
        <v>173</v>
      </c>
      <c r="U87" t="s">
        <v>173</v>
      </c>
      <c r="V87" t="s">
        <v>173</v>
      </c>
      <c r="W87" t="s">
        <v>173</v>
      </c>
      <c r="X87" t="s">
        <v>173</v>
      </c>
      <c r="Y87" t="s">
        <v>173</v>
      </c>
      <c r="Z87" t="s">
        <v>173</v>
      </c>
      <c r="AA87" t="s">
        <v>173</v>
      </c>
      <c r="AB87" t="s">
        <v>173</v>
      </c>
      <c r="AC87" t="s">
        <v>173</v>
      </c>
      <c r="AD87" t="s">
        <v>173</v>
      </c>
      <c r="AE87" t="s">
        <v>173</v>
      </c>
      <c r="AF87" t="s">
        <v>173</v>
      </c>
      <c r="AG87" t="s">
        <v>173</v>
      </c>
      <c r="AH87" t="s">
        <v>173</v>
      </c>
      <c r="AI87" t="s">
        <v>173</v>
      </c>
      <c r="AJ87" t="s">
        <v>173</v>
      </c>
      <c r="AK87" t="s">
        <v>173</v>
      </c>
      <c r="AL87" t="s">
        <v>173</v>
      </c>
      <c r="AM87" t="s">
        <v>173</v>
      </c>
      <c r="AN87" t="s">
        <v>173</v>
      </c>
      <c r="AO87" t="s">
        <v>173</v>
      </c>
      <c r="AP87" t="s">
        <v>173</v>
      </c>
      <c r="AQ87" t="s">
        <v>173</v>
      </c>
      <c r="AR87" t="s">
        <v>173</v>
      </c>
      <c r="AS87" t="s">
        <v>173</v>
      </c>
      <c r="AT87" t="s">
        <v>173</v>
      </c>
      <c r="AU87" t="s">
        <v>173</v>
      </c>
      <c r="AV87" t="s">
        <v>173</v>
      </c>
      <c r="AW87" t="s">
        <v>173</v>
      </c>
      <c r="AX87" t="s">
        <v>173</v>
      </c>
      <c r="AY87" t="s">
        <v>173</v>
      </c>
      <c r="AZ87" t="s">
        <v>173</v>
      </c>
      <c r="BA87" t="s">
        <v>173</v>
      </c>
      <c r="BB87" t="s">
        <v>173</v>
      </c>
      <c r="BC87" t="s">
        <v>173</v>
      </c>
      <c r="BD87" t="s">
        <v>173</v>
      </c>
      <c r="BE87" t="s">
        <v>173</v>
      </c>
      <c r="BF87" t="s">
        <v>173</v>
      </c>
      <c r="BG87" t="s">
        <v>173</v>
      </c>
      <c r="BH87" t="s">
        <v>173</v>
      </c>
      <c r="BI87" t="s">
        <v>173</v>
      </c>
      <c r="BJ87" t="s">
        <v>173</v>
      </c>
      <c r="BK87" t="s">
        <v>173</v>
      </c>
      <c r="BL87" t="s">
        <v>173</v>
      </c>
      <c r="BM87" t="s">
        <v>173</v>
      </c>
      <c r="BN87" t="s">
        <v>173</v>
      </c>
      <c r="BO87" t="s">
        <v>173</v>
      </c>
      <c r="BP87" t="s">
        <v>173</v>
      </c>
      <c r="BQ87" t="s">
        <v>173</v>
      </c>
      <c r="BR87" t="s">
        <v>173</v>
      </c>
      <c r="BS87" t="s">
        <v>173</v>
      </c>
      <c r="BT87" t="s">
        <v>173</v>
      </c>
      <c r="BU87" t="s">
        <v>173</v>
      </c>
      <c r="BV87" t="s">
        <v>173</v>
      </c>
      <c r="BX87" t="s">
        <v>173</v>
      </c>
      <c r="BY87" t="s">
        <v>173</v>
      </c>
      <c r="BZ87" t="s">
        <v>173</v>
      </c>
      <c r="CA87" t="s">
        <v>173</v>
      </c>
      <c r="CB87" t="s">
        <v>173</v>
      </c>
      <c r="CC87" t="s">
        <v>173</v>
      </c>
      <c r="CD87" t="s">
        <v>173</v>
      </c>
      <c r="CE87" t="s">
        <v>173</v>
      </c>
      <c r="CF87" t="s">
        <v>173</v>
      </c>
      <c r="CG87" t="s">
        <v>173</v>
      </c>
      <c r="CH87" t="s">
        <v>173</v>
      </c>
      <c r="CI87" t="s">
        <v>173</v>
      </c>
      <c r="CJ87" t="s">
        <v>173</v>
      </c>
      <c r="CK87" t="s">
        <v>173</v>
      </c>
      <c r="CL87" t="s">
        <v>173</v>
      </c>
      <c r="CM87" t="s">
        <v>173</v>
      </c>
      <c r="CN87" t="s">
        <v>173</v>
      </c>
      <c r="CO87" t="s">
        <v>173</v>
      </c>
      <c r="CP87" t="s">
        <v>173</v>
      </c>
      <c r="CQ87" t="s">
        <v>173</v>
      </c>
      <c r="CR87" t="s">
        <v>173</v>
      </c>
      <c r="CS87" t="s">
        <v>173</v>
      </c>
      <c r="CT87" t="s">
        <v>173</v>
      </c>
      <c r="CU87" t="s">
        <v>173</v>
      </c>
      <c r="CV87" t="s">
        <v>173</v>
      </c>
      <c r="CW87" t="s">
        <v>173</v>
      </c>
      <c r="CX87" t="s">
        <v>173</v>
      </c>
      <c r="CY87" t="s">
        <v>173</v>
      </c>
      <c r="CZ87" t="s">
        <v>173</v>
      </c>
      <c r="DA87" t="s">
        <v>173</v>
      </c>
      <c r="DB87" t="s">
        <v>173</v>
      </c>
      <c r="DC87" t="s">
        <v>173</v>
      </c>
      <c r="DD87" t="s">
        <v>173</v>
      </c>
      <c r="DE87" t="s">
        <v>173</v>
      </c>
      <c r="DF87" t="s">
        <v>173</v>
      </c>
      <c r="DG87" t="s">
        <v>173</v>
      </c>
      <c r="DH87" t="s">
        <v>173</v>
      </c>
    </row>
    <row r="88" spans="1:112">
      <c r="A88">
        <v>60</v>
      </c>
      <c r="B88" t="s">
        <v>355</v>
      </c>
      <c r="C88" t="s">
        <v>356</v>
      </c>
      <c r="D88">
        <v>2024</v>
      </c>
      <c r="E88" t="s">
        <v>216</v>
      </c>
      <c r="F88" t="s">
        <v>357</v>
      </c>
      <c r="G88" t="s">
        <v>172</v>
      </c>
      <c r="H88" t="s">
        <v>173</v>
      </c>
      <c r="I88" t="s">
        <v>174</v>
      </c>
      <c r="J88" t="s">
        <v>173</v>
      </c>
      <c r="K88" t="s">
        <v>173</v>
      </c>
      <c r="L88" t="s">
        <v>173</v>
      </c>
      <c r="M88" t="s">
        <v>173</v>
      </c>
      <c r="N88" t="s">
        <v>173</v>
      </c>
      <c r="O88" t="s">
        <v>173</v>
      </c>
      <c r="P88" t="s">
        <v>173</v>
      </c>
      <c r="Q88" t="s">
        <v>173</v>
      </c>
      <c r="R88" t="s">
        <v>173</v>
      </c>
      <c r="S88" t="s">
        <v>173</v>
      </c>
      <c r="T88" t="s">
        <v>173</v>
      </c>
      <c r="U88" t="s">
        <v>173</v>
      </c>
      <c r="V88" t="s">
        <v>173</v>
      </c>
      <c r="W88" t="s">
        <v>173</v>
      </c>
      <c r="X88" t="s">
        <v>173</v>
      </c>
      <c r="Y88" t="s">
        <v>173</v>
      </c>
      <c r="Z88" t="s">
        <v>173</v>
      </c>
      <c r="AA88" t="s">
        <v>173</v>
      </c>
      <c r="AB88" t="s">
        <v>173</v>
      </c>
      <c r="AC88" t="s">
        <v>173</v>
      </c>
      <c r="AD88" t="s">
        <v>173</v>
      </c>
      <c r="AE88" t="s">
        <v>173</v>
      </c>
      <c r="AF88" t="s">
        <v>173</v>
      </c>
      <c r="AG88" t="s">
        <v>173</v>
      </c>
      <c r="AH88" t="s">
        <v>173</v>
      </c>
      <c r="AI88" t="s">
        <v>173</v>
      </c>
      <c r="AJ88" t="s">
        <v>173</v>
      </c>
      <c r="AK88" t="s">
        <v>173</v>
      </c>
      <c r="AL88" t="s">
        <v>173</v>
      </c>
      <c r="AM88" t="s">
        <v>173</v>
      </c>
      <c r="AN88" t="s">
        <v>173</v>
      </c>
      <c r="AO88" t="s">
        <v>173</v>
      </c>
      <c r="AP88" t="s">
        <v>173</v>
      </c>
      <c r="AQ88" t="s">
        <v>173</v>
      </c>
      <c r="AR88" t="s">
        <v>173</v>
      </c>
      <c r="AS88" t="s">
        <v>173</v>
      </c>
      <c r="AT88" t="s">
        <v>173</v>
      </c>
      <c r="AU88" t="s">
        <v>173</v>
      </c>
      <c r="AV88" t="s">
        <v>173</v>
      </c>
      <c r="AW88" t="s">
        <v>173</v>
      </c>
      <c r="AX88" t="s">
        <v>173</v>
      </c>
      <c r="AY88" t="s">
        <v>173</v>
      </c>
      <c r="AZ88" t="s">
        <v>173</v>
      </c>
      <c r="BA88" t="s">
        <v>173</v>
      </c>
      <c r="BB88" t="s">
        <v>173</v>
      </c>
      <c r="BC88" t="s">
        <v>173</v>
      </c>
      <c r="BD88" t="s">
        <v>173</v>
      </c>
      <c r="BE88" t="s">
        <v>173</v>
      </c>
      <c r="BF88" t="s">
        <v>173</v>
      </c>
      <c r="BG88" t="s">
        <v>173</v>
      </c>
      <c r="BH88" t="s">
        <v>173</v>
      </c>
      <c r="BI88" t="s">
        <v>173</v>
      </c>
      <c r="BJ88" t="s">
        <v>173</v>
      </c>
      <c r="BK88" t="s">
        <v>173</v>
      </c>
      <c r="BL88" t="s">
        <v>173</v>
      </c>
      <c r="BM88" t="s">
        <v>173</v>
      </c>
      <c r="BN88" t="s">
        <v>173</v>
      </c>
      <c r="BO88" t="s">
        <v>173</v>
      </c>
      <c r="BP88" t="s">
        <v>173</v>
      </c>
      <c r="BQ88" t="s">
        <v>173</v>
      </c>
      <c r="BR88" t="s">
        <v>173</v>
      </c>
      <c r="BS88" t="s">
        <v>173</v>
      </c>
      <c r="BT88" t="s">
        <v>173</v>
      </c>
      <c r="BU88" t="s">
        <v>173</v>
      </c>
      <c r="BV88" t="s">
        <v>173</v>
      </c>
      <c r="BX88" t="s">
        <v>173</v>
      </c>
      <c r="BY88" t="s">
        <v>173</v>
      </c>
      <c r="BZ88" t="s">
        <v>173</v>
      </c>
      <c r="CA88" t="s">
        <v>173</v>
      </c>
      <c r="CB88" t="s">
        <v>173</v>
      </c>
      <c r="CC88" t="s">
        <v>173</v>
      </c>
      <c r="CD88" t="s">
        <v>173</v>
      </c>
      <c r="CE88" t="s">
        <v>173</v>
      </c>
      <c r="CF88" t="s">
        <v>173</v>
      </c>
      <c r="CG88" t="s">
        <v>173</v>
      </c>
      <c r="CH88" t="s">
        <v>173</v>
      </c>
      <c r="CI88" t="s">
        <v>173</v>
      </c>
      <c r="CJ88" t="s">
        <v>173</v>
      </c>
      <c r="CK88" t="s">
        <v>173</v>
      </c>
      <c r="CL88" t="s">
        <v>173</v>
      </c>
      <c r="CM88" t="s">
        <v>173</v>
      </c>
      <c r="CN88" t="s">
        <v>173</v>
      </c>
      <c r="CO88" t="s">
        <v>173</v>
      </c>
      <c r="CP88" t="s">
        <v>173</v>
      </c>
      <c r="CQ88" t="s">
        <v>173</v>
      </c>
      <c r="CR88" t="s">
        <v>173</v>
      </c>
      <c r="CS88" t="s">
        <v>173</v>
      </c>
      <c r="CT88" t="s">
        <v>173</v>
      </c>
      <c r="CU88" t="s">
        <v>173</v>
      </c>
      <c r="CV88" t="s">
        <v>173</v>
      </c>
      <c r="CW88" t="s">
        <v>173</v>
      </c>
      <c r="CX88" t="s">
        <v>173</v>
      </c>
      <c r="CY88" t="s">
        <v>173</v>
      </c>
      <c r="CZ88" t="s">
        <v>173</v>
      </c>
      <c r="DA88" t="s">
        <v>173</v>
      </c>
      <c r="DB88" t="s">
        <v>173</v>
      </c>
      <c r="DC88" t="s">
        <v>173</v>
      </c>
      <c r="DD88" t="s">
        <v>173</v>
      </c>
      <c r="DE88" t="s">
        <v>173</v>
      </c>
      <c r="DF88" t="s">
        <v>173</v>
      </c>
      <c r="DG88" t="s">
        <v>173</v>
      </c>
      <c r="DH88" t="s">
        <v>173</v>
      </c>
    </row>
    <row r="89" spans="1:112">
      <c r="A89">
        <v>61</v>
      </c>
      <c r="B89" t="s">
        <v>358</v>
      </c>
      <c r="C89" t="s">
        <v>359</v>
      </c>
      <c r="D89">
        <v>2024</v>
      </c>
      <c r="E89" t="s">
        <v>177</v>
      </c>
      <c r="F89" t="s">
        <v>360</v>
      </c>
      <c r="G89" t="s">
        <v>172</v>
      </c>
      <c r="H89" t="s">
        <v>173</v>
      </c>
      <c r="I89" t="s">
        <v>174</v>
      </c>
      <c r="J89" t="s">
        <v>173</v>
      </c>
      <c r="K89" t="s">
        <v>173</v>
      </c>
      <c r="L89" t="s">
        <v>173</v>
      </c>
      <c r="M89" t="s">
        <v>173</v>
      </c>
      <c r="N89" t="s">
        <v>173</v>
      </c>
      <c r="O89" t="s">
        <v>173</v>
      </c>
      <c r="P89" t="s">
        <v>173</v>
      </c>
      <c r="Q89" t="s">
        <v>173</v>
      </c>
      <c r="R89" t="s">
        <v>173</v>
      </c>
      <c r="S89" t="s">
        <v>173</v>
      </c>
      <c r="T89" t="s">
        <v>173</v>
      </c>
      <c r="U89" t="s">
        <v>173</v>
      </c>
      <c r="V89" t="s">
        <v>173</v>
      </c>
      <c r="W89" t="s">
        <v>173</v>
      </c>
      <c r="X89" t="s">
        <v>173</v>
      </c>
      <c r="Y89" t="s">
        <v>173</v>
      </c>
      <c r="Z89" t="s">
        <v>173</v>
      </c>
      <c r="AA89" t="s">
        <v>173</v>
      </c>
      <c r="AB89" t="s">
        <v>173</v>
      </c>
      <c r="AC89" t="s">
        <v>173</v>
      </c>
      <c r="AD89" t="s">
        <v>173</v>
      </c>
      <c r="AE89" t="s">
        <v>173</v>
      </c>
      <c r="AF89" t="s">
        <v>173</v>
      </c>
      <c r="AG89" t="s">
        <v>173</v>
      </c>
      <c r="AH89" t="s">
        <v>173</v>
      </c>
      <c r="AI89" t="s">
        <v>173</v>
      </c>
      <c r="AJ89" t="s">
        <v>173</v>
      </c>
      <c r="AK89" t="s">
        <v>173</v>
      </c>
      <c r="AL89" t="s">
        <v>173</v>
      </c>
      <c r="AM89" t="s">
        <v>173</v>
      </c>
      <c r="AN89" t="s">
        <v>173</v>
      </c>
      <c r="AO89" t="s">
        <v>173</v>
      </c>
      <c r="AP89" t="s">
        <v>173</v>
      </c>
      <c r="AQ89" t="s">
        <v>173</v>
      </c>
      <c r="AR89" t="s">
        <v>173</v>
      </c>
      <c r="AS89" t="s">
        <v>173</v>
      </c>
      <c r="AT89" t="s">
        <v>173</v>
      </c>
      <c r="AU89" t="s">
        <v>173</v>
      </c>
      <c r="AV89" t="s">
        <v>173</v>
      </c>
      <c r="AW89" t="s">
        <v>173</v>
      </c>
      <c r="AX89" t="s">
        <v>173</v>
      </c>
      <c r="AY89" t="s">
        <v>173</v>
      </c>
      <c r="AZ89" t="s">
        <v>173</v>
      </c>
      <c r="BA89" t="s">
        <v>173</v>
      </c>
      <c r="BB89" t="s">
        <v>173</v>
      </c>
      <c r="BC89" t="s">
        <v>173</v>
      </c>
      <c r="BD89" t="s">
        <v>173</v>
      </c>
      <c r="BE89" t="s">
        <v>173</v>
      </c>
      <c r="BF89" t="s">
        <v>173</v>
      </c>
      <c r="BG89" t="s">
        <v>173</v>
      </c>
      <c r="BH89" t="s">
        <v>173</v>
      </c>
      <c r="BI89" t="s">
        <v>173</v>
      </c>
      <c r="BJ89" t="s">
        <v>173</v>
      </c>
      <c r="BK89" t="s">
        <v>173</v>
      </c>
      <c r="BL89" t="s">
        <v>173</v>
      </c>
      <c r="BM89" t="s">
        <v>173</v>
      </c>
      <c r="BN89" t="s">
        <v>173</v>
      </c>
      <c r="BO89" t="s">
        <v>173</v>
      </c>
      <c r="BP89" t="s">
        <v>173</v>
      </c>
      <c r="BQ89" t="s">
        <v>173</v>
      </c>
      <c r="BR89" t="s">
        <v>173</v>
      </c>
      <c r="BS89" t="s">
        <v>173</v>
      </c>
      <c r="BT89" t="s">
        <v>173</v>
      </c>
      <c r="BU89" t="s">
        <v>173</v>
      </c>
      <c r="BV89" t="s">
        <v>173</v>
      </c>
      <c r="BX89" t="s">
        <v>173</v>
      </c>
      <c r="BY89" t="s">
        <v>173</v>
      </c>
      <c r="BZ89" t="s">
        <v>173</v>
      </c>
      <c r="CA89" t="s">
        <v>173</v>
      </c>
      <c r="CB89" t="s">
        <v>173</v>
      </c>
      <c r="CC89" t="s">
        <v>173</v>
      </c>
      <c r="CD89" t="s">
        <v>173</v>
      </c>
      <c r="CE89" t="s">
        <v>173</v>
      </c>
      <c r="CF89" t="s">
        <v>173</v>
      </c>
      <c r="CG89" t="s">
        <v>173</v>
      </c>
      <c r="CH89" t="s">
        <v>173</v>
      </c>
      <c r="CI89" t="s">
        <v>173</v>
      </c>
      <c r="CJ89" t="s">
        <v>173</v>
      </c>
      <c r="CK89" t="s">
        <v>173</v>
      </c>
      <c r="CL89" t="s">
        <v>173</v>
      </c>
      <c r="CM89" t="s">
        <v>173</v>
      </c>
      <c r="CN89" t="s">
        <v>173</v>
      </c>
      <c r="CO89" t="s">
        <v>173</v>
      </c>
      <c r="CP89" t="s">
        <v>173</v>
      </c>
      <c r="CQ89" t="s">
        <v>173</v>
      </c>
      <c r="CR89" t="s">
        <v>173</v>
      </c>
      <c r="CS89" t="s">
        <v>173</v>
      </c>
      <c r="CT89" t="s">
        <v>173</v>
      </c>
      <c r="CU89" t="s">
        <v>173</v>
      </c>
      <c r="CV89" t="s">
        <v>173</v>
      </c>
      <c r="CW89" t="s">
        <v>173</v>
      </c>
      <c r="CX89" t="s">
        <v>173</v>
      </c>
      <c r="CY89" t="s">
        <v>173</v>
      </c>
      <c r="CZ89" t="s">
        <v>173</v>
      </c>
      <c r="DA89" t="s">
        <v>173</v>
      </c>
      <c r="DB89" t="s">
        <v>173</v>
      </c>
      <c r="DC89" t="s">
        <v>173</v>
      </c>
      <c r="DD89" t="s">
        <v>173</v>
      </c>
      <c r="DE89" t="s">
        <v>173</v>
      </c>
      <c r="DF89" t="s">
        <v>173</v>
      </c>
      <c r="DG89" t="s">
        <v>173</v>
      </c>
      <c r="DH89" t="s">
        <v>173</v>
      </c>
    </row>
    <row r="90" spans="1:112">
      <c r="A90">
        <v>62</v>
      </c>
      <c r="B90" t="s">
        <v>361</v>
      </c>
      <c r="C90" t="s">
        <v>362</v>
      </c>
      <c r="D90">
        <v>2024</v>
      </c>
      <c r="E90" t="s">
        <v>253</v>
      </c>
      <c r="F90" t="s">
        <v>363</v>
      </c>
      <c r="G90" t="s">
        <v>172</v>
      </c>
      <c r="H90" t="s">
        <v>173</v>
      </c>
      <c r="I90" t="s">
        <v>174</v>
      </c>
      <c r="J90" t="s">
        <v>173</v>
      </c>
      <c r="K90" t="s">
        <v>173</v>
      </c>
      <c r="L90" t="s">
        <v>173</v>
      </c>
      <c r="M90" t="s">
        <v>173</v>
      </c>
      <c r="N90" t="s">
        <v>173</v>
      </c>
      <c r="O90" t="s">
        <v>173</v>
      </c>
      <c r="P90" t="s">
        <v>173</v>
      </c>
      <c r="Q90" t="s">
        <v>173</v>
      </c>
      <c r="R90" t="s">
        <v>173</v>
      </c>
      <c r="S90" t="s">
        <v>173</v>
      </c>
      <c r="T90" t="s">
        <v>173</v>
      </c>
      <c r="U90" t="s">
        <v>173</v>
      </c>
      <c r="V90" t="s">
        <v>173</v>
      </c>
      <c r="W90" t="s">
        <v>173</v>
      </c>
      <c r="X90" t="s">
        <v>173</v>
      </c>
      <c r="Y90" t="s">
        <v>173</v>
      </c>
      <c r="Z90" t="s">
        <v>173</v>
      </c>
      <c r="AA90" t="s">
        <v>173</v>
      </c>
      <c r="AB90" t="s">
        <v>173</v>
      </c>
      <c r="AC90" t="s">
        <v>173</v>
      </c>
      <c r="AD90" t="s">
        <v>173</v>
      </c>
      <c r="AE90" t="s">
        <v>173</v>
      </c>
      <c r="AF90" t="s">
        <v>173</v>
      </c>
      <c r="AG90" t="s">
        <v>173</v>
      </c>
      <c r="AH90" t="s">
        <v>173</v>
      </c>
      <c r="AI90" t="s">
        <v>173</v>
      </c>
      <c r="AJ90" t="s">
        <v>173</v>
      </c>
      <c r="AK90" t="s">
        <v>173</v>
      </c>
      <c r="AL90" t="s">
        <v>173</v>
      </c>
      <c r="AM90" t="s">
        <v>173</v>
      </c>
      <c r="AN90" t="s">
        <v>173</v>
      </c>
      <c r="AO90" t="s">
        <v>173</v>
      </c>
      <c r="AP90" t="s">
        <v>173</v>
      </c>
      <c r="AQ90" t="s">
        <v>173</v>
      </c>
      <c r="AR90" t="s">
        <v>173</v>
      </c>
      <c r="AS90" t="s">
        <v>173</v>
      </c>
      <c r="AT90" t="s">
        <v>173</v>
      </c>
      <c r="AU90" t="s">
        <v>173</v>
      </c>
      <c r="AV90" t="s">
        <v>173</v>
      </c>
      <c r="AW90" t="s">
        <v>173</v>
      </c>
      <c r="AX90" t="s">
        <v>173</v>
      </c>
      <c r="AY90" t="s">
        <v>173</v>
      </c>
      <c r="AZ90" t="s">
        <v>173</v>
      </c>
      <c r="BA90" t="s">
        <v>173</v>
      </c>
      <c r="BB90" t="s">
        <v>173</v>
      </c>
      <c r="BC90" t="s">
        <v>173</v>
      </c>
      <c r="BD90" t="s">
        <v>173</v>
      </c>
      <c r="BE90" t="s">
        <v>173</v>
      </c>
      <c r="BF90" t="s">
        <v>173</v>
      </c>
      <c r="BG90" t="s">
        <v>173</v>
      </c>
      <c r="BH90" t="s">
        <v>173</v>
      </c>
      <c r="BI90" t="s">
        <v>173</v>
      </c>
      <c r="BJ90" t="s">
        <v>173</v>
      </c>
      <c r="BK90" t="s">
        <v>173</v>
      </c>
      <c r="BL90" t="s">
        <v>173</v>
      </c>
      <c r="BM90" t="s">
        <v>173</v>
      </c>
      <c r="BN90" t="s">
        <v>173</v>
      </c>
      <c r="BO90" t="s">
        <v>173</v>
      </c>
      <c r="BP90" t="s">
        <v>173</v>
      </c>
      <c r="BQ90" t="s">
        <v>173</v>
      </c>
      <c r="BR90" t="s">
        <v>173</v>
      </c>
      <c r="BS90" t="s">
        <v>173</v>
      </c>
      <c r="BT90" t="s">
        <v>173</v>
      </c>
      <c r="BU90" t="s">
        <v>173</v>
      </c>
      <c r="BV90" t="s">
        <v>173</v>
      </c>
      <c r="BX90" t="s">
        <v>173</v>
      </c>
      <c r="BY90" t="s">
        <v>173</v>
      </c>
      <c r="BZ90" t="s">
        <v>173</v>
      </c>
      <c r="CA90" t="s">
        <v>173</v>
      </c>
      <c r="CB90" t="s">
        <v>173</v>
      </c>
      <c r="CC90" t="s">
        <v>173</v>
      </c>
      <c r="CD90" t="s">
        <v>173</v>
      </c>
      <c r="CE90" t="s">
        <v>173</v>
      </c>
      <c r="CF90" t="s">
        <v>173</v>
      </c>
      <c r="CG90" t="s">
        <v>173</v>
      </c>
      <c r="CH90" t="s">
        <v>173</v>
      </c>
      <c r="CI90" t="s">
        <v>173</v>
      </c>
      <c r="CJ90" t="s">
        <v>173</v>
      </c>
      <c r="CK90" t="s">
        <v>173</v>
      </c>
      <c r="CL90" t="s">
        <v>173</v>
      </c>
      <c r="CM90" t="s">
        <v>173</v>
      </c>
      <c r="CN90" t="s">
        <v>173</v>
      </c>
      <c r="CO90" t="s">
        <v>173</v>
      </c>
      <c r="CP90" t="s">
        <v>173</v>
      </c>
      <c r="CQ90" t="s">
        <v>173</v>
      </c>
      <c r="CR90" t="s">
        <v>173</v>
      </c>
      <c r="CS90" t="s">
        <v>173</v>
      </c>
      <c r="CT90" t="s">
        <v>173</v>
      </c>
      <c r="CU90" t="s">
        <v>173</v>
      </c>
      <c r="CV90" t="s">
        <v>173</v>
      </c>
      <c r="CW90" t="s">
        <v>173</v>
      </c>
      <c r="CX90" t="s">
        <v>173</v>
      </c>
      <c r="CY90" t="s">
        <v>173</v>
      </c>
      <c r="CZ90" t="s">
        <v>173</v>
      </c>
      <c r="DA90" t="s">
        <v>173</v>
      </c>
      <c r="DB90" t="s">
        <v>173</v>
      </c>
      <c r="DC90" t="s">
        <v>173</v>
      </c>
      <c r="DD90" t="s">
        <v>173</v>
      </c>
      <c r="DE90" t="s">
        <v>173</v>
      </c>
      <c r="DF90" t="s">
        <v>173</v>
      </c>
      <c r="DG90" t="s">
        <v>173</v>
      </c>
      <c r="DH90" t="s">
        <v>173</v>
      </c>
    </row>
    <row r="91" spans="1:112">
      <c r="A91">
        <v>63</v>
      </c>
      <c r="B91" t="s">
        <v>364</v>
      </c>
      <c r="C91" t="s">
        <v>365</v>
      </c>
      <c r="D91">
        <v>2024</v>
      </c>
      <c r="E91" t="s">
        <v>366</v>
      </c>
      <c r="F91" t="s">
        <v>367</v>
      </c>
      <c r="G91" t="s">
        <v>172</v>
      </c>
      <c r="H91">
        <v>0.64</v>
      </c>
      <c r="I91" t="s">
        <v>187</v>
      </c>
      <c r="J91" t="s">
        <v>173</v>
      </c>
      <c r="K91" t="s">
        <v>173</v>
      </c>
      <c r="L91" t="s">
        <v>173</v>
      </c>
      <c r="M91" t="s">
        <v>173</v>
      </c>
      <c r="N91" t="s">
        <v>173</v>
      </c>
      <c r="O91" t="s">
        <v>173</v>
      </c>
      <c r="P91" t="s">
        <v>173</v>
      </c>
      <c r="Q91" t="s">
        <v>173</v>
      </c>
      <c r="R91" t="s">
        <v>173</v>
      </c>
      <c r="S91" t="s">
        <v>173</v>
      </c>
      <c r="T91" t="s">
        <v>173</v>
      </c>
      <c r="U91" t="s">
        <v>173</v>
      </c>
      <c r="V91" t="s">
        <v>173</v>
      </c>
      <c r="W91" t="s">
        <v>173</v>
      </c>
      <c r="X91" t="s">
        <v>173</v>
      </c>
      <c r="Y91" t="s">
        <v>173</v>
      </c>
      <c r="Z91" t="s">
        <v>173</v>
      </c>
      <c r="AA91" t="s">
        <v>173</v>
      </c>
      <c r="AB91" t="s">
        <v>173</v>
      </c>
      <c r="AC91" t="s">
        <v>173</v>
      </c>
      <c r="AD91" t="s">
        <v>173</v>
      </c>
      <c r="AE91" t="s">
        <v>173</v>
      </c>
      <c r="AF91" t="s">
        <v>173</v>
      </c>
      <c r="AG91" t="s">
        <v>173</v>
      </c>
      <c r="AH91" t="s">
        <v>173</v>
      </c>
      <c r="AI91" t="s">
        <v>173</v>
      </c>
      <c r="AJ91" t="s">
        <v>173</v>
      </c>
      <c r="AK91" t="s">
        <v>173</v>
      </c>
      <c r="AL91" t="s">
        <v>173</v>
      </c>
      <c r="AM91" t="s">
        <v>173</v>
      </c>
      <c r="AN91" t="s">
        <v>173</v>
      </c>
      <c r="AO91" t="s">
        <v>173</v>
      </c>
      <c r="AP91" t="s">
        <v>173</v>
      </c>
      <c r="AQ91" t="s">
        <v>173</v>
      </c>
      <c r="AR91" t="s">
        <v>173</v>
      </c>
      <c r="AS91" t="s">
        <v>173</v>
      </c>
      <c r="AT91" t="s">
        <v>173</v>
      </c>
      <c r="AU91" t="s">
        <v>173</v>
      </c>
      <c r="AV91" t="s">
        <v>173</v>
      </c>
      <c r="AW91" t="s">
        <v>173</v>
      </c>
      <c r="AX91" t="s">
        <v>173</v>
      </c>
      <c r="AY91" t="s">
        <v>173</v>
      </c>
      <c r="AZ91" t="s">
        <v>173</v>
      </c>
      <c r="BA91" t="s">
        <v>173</v>
      </c>
      <c r="BB91" t="s">
        <v>173</v>
      </c>
      <c r="BC91" t="s">
        <v>173</v>
      </c>
      <c r="BD91" t="s">
        <v>173</v>
      </c>
      <c r="BE91" t="s">
        <v>173</v>
      </c>
      <c r="BF91" t="s">
        <v>173</v>
      </c>
      <c r="BG91" t="s">
        <v>173</v>
      </c>
      <c r="BH91" t="s">
        <v>173</v>
      </c>
      <c r="BI91" t="s">
        <v>173</v>
      </c>
      <c r="BJ91" t="s">
        <v>173</v>
      </c>
      <c r="BK91" t="s">
        <v>173</v>
      </c>
      <c r="BL91" t="s">
        <v>173</v>
      </c>
      <c r="BM91" t="s">
        <v>173</v>
      </c>
      <c r="BN91" t="s">
        <v>173</v>
      </c>
      <c r="BO91" t="s">
        <v>173</v>
      </c>
      <c r="BP91" t="s">
        <v>173</v>
      </c>
      <c r="BQ91" t="s">
        <v>173</v>
      </c>
      <c r="BR91" t="s">
        <v>173</v>
      </c>
      <c r="BS91" t="s">
        <v>173</v>
      </c>
      <c r="BT91" t="s">
        <v>173</v>
      </c>
      <c r="BU91" t="s">
        <v>173</v>
      </c>
      <c r="BV91" t="s">
        <v>173</v>
      </c>
      <c r="BX91" t="s">
        <v>173</v>
      </c>
      <c r="BY91" t="s">
        <v>173</v>
      </c>
      <c r="BZ91" t="s">
        <v>173</v>
      </c>
      <c r="CA91" t="s">
        <v>173</v>
      </c>
      <c r="CB91" t="s">
        <v>173</v>
      </c>
      <c r="CC91" t="s">
        <v>173</v>
      </c>
      <c r="CD91" t="s">
        <v>173</v>
      </c>
      <c r="CE91" t="s">
        <v>173</v>
      </c>
      <c r="CF91" t="s">
        <v>173</v>
      </c>
      <c r="CG91" t="s">
        <v>173</v>
      </c>
      <c r="CH91" t="s">
        <v>173</v>
      </c>
      <c r="CI91" t="s">
        <v>173</v>
      </c>
      <c r="CJ91" t="s">
        <v>173</v>
      </c>
      <c r="CK91" t="s">
        <v>173</v>
      </c>
      <c r="CL91" t="s">
        <v>173</v>
      </c>
      <c r="CM91" t="s">
        <v>173</v>
      </c>
      <c r="CN91" t="s">
        <v>173</v>
      </c>
      <c r="CO91" t="s">
        <v>173</v>
      </c>
      <c r="CP91" t="s">
        <v>173</v>
      </c>
      <c r="CQ91" t="s">
        <v>173</v>
      </c>
      <c r="CR91" t="s">
        <v>173</v>
      </c>
      <c r="CS91" t="s">
        <v>173</v>
      </c>
      <c r="CT91" t="s">
        <v>173</v>
      </c>
      <c r="CU91" t="s">
        <v>173</v>
      </c>
      <c r="CV91" t="s">
        <v>173</v>
      </c>
      <c r="CW91" t="s">
        <v>173</v>
      </c>
      <c r="CX91" t="s">
        <v>173</v>
      </c>
      <c r="CY91" t="s">
        <v>173</v>
      </c>
      <c r="CZ91" t="s">
        <v>173</v>
      </c>
      <c r="DA91" t="s">
        <v>173</v>
      </c>
      <c r="DB91" t="s">
        <v>173</v>
      </c>
      <c r="DC91" t="s">
        <v>173</v>
      </c>
      <c r="DD91" t="s">
        <v>173</v>
      </c>
      <c r="DE91" t="s">
        <v>173</v>
      </c>
      <c r="DF91" t="s">
        <v>173</v>
      </c>
      <c r="DG91" t="s">
        <v>173</v>
      </c>
      <c r="DH91" t="s">
        <v>173</v>
      </c>
    </row>
    <row r="92" spans="1:112">
      <c r="A92">
        <v>63</v>
      </c>
      <c r="B92" t="s">
        <v>364</v>
      </c>
      <c r="C92" t="s">
        <v>365</v>
      </c>
      <c r="D92">
        <v>2024</v>
      </c>
      <c r="E92" t="s">
        <v>366</v>
      </c>
      <c r="F92" t="s">
        <v>367</v>
      </c>
      <c r="G92" t="s">
        <v>172</v>
      </c>
      <c r="H92">
        <v>0.64</v>
      </c>
      <c r="I92" t="s">
        <v>187</v>
      </c>
      <c r="J92" t="s">
        <v>173</v>
      </c>
      <c r="K92" t="s">
        <v>173</v>
      </c>
      <c r="L92" t="s">
        <v>173</v>
      </c>
      <c r="M92" t="s">
        <v>173</v>
      </c>
      <c r="N92" t="s">
        <v>173</v>
      </c>
      <c r="O92" t="s">
        <v>173</v>
      </c>
      <c r="P92" t="s">
        <v>173</v>
      </c>
      <c r="Q92" t="s">
        <v>173</v>
      </c>
      <c r="R92" t="s">
        <v>173</v>
      </c>
      <c r="S92" t="s">
        <v>173</v>
      </c>
      <c r="T92" t="s">
        <v>173</v>
      </c>
      <c r="U92" t="s">
        <v>173</v>
      </c>
      <c r="V92" t="s">
        <v>173</v>
      </c>
      <c r="W92" t="s">
        <v>173</v>
      </c>
      <c r="X92" t="s">
        <v>173</v>
      </c>
      <c r="Y92" t="s">
        <v>173</v>
      </c>
      <c r="Z92" t="s">
        <v>173</v>
      </c>
      <c r="AA92" t="s">
        <v>173</v>
      </c>
      <c r="AB92" t="s">
        <v>173</v>
      </c>
      <c r="AC92" t="s">
        <v>173</v>
      </c>
      <c r="AD92" t="s">
        <v>173</v>
      </c>
      <c r="AE92" t="s">
        <v>173</v>
      </c>
      <c r="AF92" t="s">
        <v>173</v>
      </c>
      <c r="AG92" t="s">
        <v>173</v>
      </c>
      <c r="AH92" t="s">
        <v>173</v>
      </c>
      <c r="AI92" t="s">
        <v>173</v>
      </c>
      <c r="AJ92" t="s">
        <v>173</v>
      </c>
      <c r="AK92" t="s">
        <v>173</v>
      </c>
      <c r="AL92" t="s">
        <v>173</v>
      </c>
      <c r="AM92" t="s">
        <v>173</v>
      </c>
      <c r="AN92" t="s">
        <v>173</v>
      </c>
      <c r="AO92" t="s">
        <v>173</v>
      </c>
      <c r="AP92" t="s">
        <v>173</v>
      </c>
      <c r="AQ92" t="s">
        <v>173</v>
      </c>
      <c r="AR92" t="s">
        <v>173</v>
      </c>
      <c r="AS92" t="s">
        <v>173</v>
      </c>
      <c r="AT92" t="s">
        <v>173</v>
      </c>
      <c r="AU92" t="s">
        <v>173</v>
      </c>
      <c r="AV92" t="s">
        <v>173</v>
      </c>
      <c r="AW92" t="s">
        <v>173</v>
      </c>
      <c r="AX92" t="s">
        <v>173</v>
      </c>
      <c r="AY92" t="s">
        <v>173</v>
      </c>
      <c r="AZ92" t="s">
        <v>173</v>
      </c>
      <c r="BA92" t="s">
        <v>173</v>
      </c>
      <c r="BB92" t="s">
        <v>173</v>
      </c>
      <c r="BC92" t="s">
        <v>173</v>
      </c>
      <c r="BD92" t="s">
        <v>173</v>
      </c>
      <c r="BE92" t="s">
        <v>173</v>
      </c>
      <c r="BF92" t="s">
        <v>173</v>
      </c>
      <c r="BG92" t="s">
        <v>173</v>
      </c>
      <c r="BH92" t="s">
        <v>173</v>
      </c>
      <c r="BI92" t="s">
        <v>173</v>
      </c>
      <c r="BJ92" t="s">
        <v>173</v>
      </c>
      <c r="BK92" t="s">
        <v>173</v>
      </c>
      <c r="BL92" t="s">
        <v>173</v>
      </c>
      <c r="BM92" t="s">
        <v>173</v>
      </c>
      <c r="BN92" t="s">
        <v>173</v>
      </c>
      <c r="BO92" t="s">
        <v>173</v>
      </c>
      <c r="BP92" t="s">
        <v>173</v>
      </c>
      <c r="BQ92" t="s">
        <v>173</v>
      </c>
      <c r="BR92" t="s">
        <v>173</v>
      </c>
      <c r="BS92" t="s">
        <v>173</v>
      </c>
      <c r="BT92" t="s">
        <v>173</v>
      </c>
      <c r="BU92" t="s">
        <v>173</v>
      </c>
      <c r="BV92" t="s">
        <v>173</v>
      </c>
      <c r="BX92" t="s">
        <v>173</v>
      </c>
      <c r="BY92" t="s">
        <v>173</v>
      </c>
      <c r="BZ92" t="s">
        <v>173</v>
      </c>
      <c r="CA92" t="s">
        <v>173</v>
      </c>
      <c r="CB92" t="s">
        <v>173</v>
      </c>
      <c r="CC92" t="s">
        <v>173</v>
      </c>
      <c r="CD92" t="s">
        <v>173</v>
      </c>
      <c r="CE92" t="s">
        <v>173</v>
      </c>
      <c r="CF92" t="s">
        <v>173</v>
      </c>
      <c r="CG92" t="s">
        <v>173</v>
      </c>
      <c r="CH92" t="s">
        <v>173</v>
      </c>
      <c r="CI92" t="s">
        <v>173</v>
      </c>
      <c r="CJ92" t="s">
        <v>173</v>
      </c>
      <c r="CK92" t="s">
        <v>173</v>
      </c>
      <c r="CL92" t="s">
        <v>173</v>
      </c>
      <c r="CM92" t="s">
        <v>173</v>
      </c>
      <c r="CN92" t="s">
        <v>173</v>
      </c>
      <c r="CO92" t="s">
        <v>173</v>
      </c>
      <c r="CP92" t="s">
        <v>173</v>
      </c>
      <c r="CQ92" t="s">
        <v>173</v>
      </c>
      <c r="CR92" t="s">
        <v>173</v>
      </c>
      <c r="CS92" t="s">
        <v>173</v>
      </c>
      <c r="CT92" t="s">
        <v>173</v>
      </c>
      <c r="CU92" t="s">
        <v>173</v>
      </c>
      <c r="CV92" t="s">
        <v>173</v>
      </c>
      <c r="CW92" t="s">
        <v>173</v>
      </c>
      <c r="CX92" t="s">
        <v>173</v>
      </c>
      <c r="CY92" t="s">
        <v>173</v>
      </c>
      <c r="CZ92" t="s">
        <v>173</v>
      </c>
      <c r="DA92" t="s">
        <v>173</v>
      </c>
      <c r="DB92" t="s">
        <v>173</v>
      </c>
      <c r="DC92" t="s">
        <v>173</v>
      </c>
      <c r="DD92" t="s">
        <v>173</v>
      </c>
      <c r="DE92" t="s">
        <v>173</v>
      </c>
      <c r="DF92" t="s">
        <v>173</v>
      </c>
      <c r="DG92" t="s">
        <v>173</v>
      </c>
      <c r="DH92" t="s">
        <v>173</v>
      </c>
    </row>
    <row r="93" spans="1:112">
      <c r="A93">
        <v>63</v>
      </c>
      <c r="B93" t="s">
        <v>364</v>
      </c>
      <c r="C93" t="s">
        <v>365</v>
      </c>
      <c r="D93">
        <v>2024</v>
      </c>
      <c r="E93" t="s">
        <v>366</v>
      </c>
      <c r="F93" t="s">
        <v>367</v>
      </c>
      <c r="G93" t="s">
        <v>172</v>
      </c>
      <c r="H93">
        <v>0.64</v>
      </c>
      <c r="I93" t="s">
        <v>187</v>
      </c>
      <c r="J93" t="s">
        <v>173</v>
      </c>
      <c r="K93" t="s">
        <v>173</v>
      </c>
      <c r="L93" t="s">
        <v>173</v>
      </c>
      <c r="M93" t="s">
        <v>173</v>
      </c>
      <c r="N93" t="s">
        <v>173</v>
      </c>
      <c r="O93" t="s">
        <v>173</v>
      </c>
      <c r="P93" t="s">
        <v>173</v>
      </c>
      <c r="Q93" t="s">
        <v>173</v>
      </c>
      <c r="R93" t="s">
        <v>173</v>
      </c>
      <c r="S93" t="s">
        <v>173</v>
      </c>
      <c r="T93" t="s">
        <v>173</v>
      </c>
      <c r="U93" t="s">
        <v>173</v>
      </c>
      <c r="V93" t="s">
        <v>173</v>
      </c>
      <c r="W93" t="s">
        <v>173</v>
      </c>
      <c r="X93" t="s">
        <v>173</v>
      </c>
      <c r="Y93" t="s">
        <v>173</v>
      </c>
      <c r="Z93" t="s">
        <v>173</v>
      </c>
      <c r="AA93" t="s">
        <v>173</v>
      </c>
      <c r="AB93" t="s">
        <v>173</v>
      </c>
      <c r="AC93" t="s">
        <v>173</v>
      </c>
      <c r="AD93" t="s">
        <v>173</v>
      </c>
      <c r="AE93" t="s">
        <v>173</v>
      </c>
      <c r="AF93" t="s">
        <v>173</v>
      </c>
      <c r="AG93" t="s">
        <v>173</v>
      </c>
      <c r="AH93" t="s">
        <v>173</v>
      </c>
      <c r="AI93" t="s">
        <v>173</v>
      </c>
      <c r="AJ93" t="s">
        <v>173</v>
      </c>
      <c r="AK93" t="s">
        <v>173</v>
      </c>
      <c r="AL93" t="s">
        <v>173</v>
      </c>
      <c r="AM93" t="s">
        <v>173</v>
      </c>
      <c r="AN93" t="s">
        <v>173</v>
      </c>
      <c r="AO93" t="s">
        <v>173</v>
      </c>
      <c r="AP93" t="s">
        <v>173</v>
      </c>
      <c r="AQ93" t="s">
        <v>173</v>
      </c>
      <c r="AR93" t="s">
        <v>173</v>
      </c>
      <c r="AS93" t="s">
        <v>173</v>
      </c>
      <c r="AT93" t="s">
        <v>173</v>
      </c>
      <c r="AU93" t="s">
        <v>173</v>
      </c>
      <c r="AV93" t="s">
        <v>173</v>
      </c>
      <c r="AW93" t="s">
        <v>173</v>
      </c>
      <c r="AX93" t="s">
        <v>173</v>
      </c>
      <c r="AY93" t="s">
        <v>173</v>
      </c>
      <c r="AZ93" t="s">
        <v>173</v>
      </c>
      <c r="BA93" t="s">
        <v>173</v>
      </c>
      <c r="BB93" t="s">
        <v>173</v>
      </c>
      <c r="BC93" t="s">
        <v>173</v>
      </c>
      <c r="BD93" t="s">
        <v>173</v>
      </c>
      <c r="BE93" t="s">
        <v>173</v>
      </c>
      <c r="BF93" t="s">
        <v>173</v>
      </c>
      <c r="BG93" t="s">
        <v>173</v>
      </c>
      <c r="BH93" t="s">
        <v>173</v>
      </c>
      <c r="BI93" t="s">
        <v>173</v>
      </c>
      <c r="BJ93" t="s">
        <v>173</v>
      </c>
      <c r="BK93" t="s">
        <v>173</v>
      </c>
      <c r="BL93" t="s">
        <v>173</v>
      </c>
      <c r="BM93" t="s">
        <v>173</v>
      </c>
      <c r="BN93" t="s">
        <v>173</v>
      </c>
      <c r="BO93" t="s">
        <v>173</v>
      </c>
      <c r="BP93" t="s">
        <v>173</v>
      </c>
      <c r="BQ93" t="s">
        <v>173</v>
      </c>
      <c r="BR93" t="s">
        <v>173</v>
      </c>
      <c r="BS93" t="s">
        <v>173</v>
      </c>
      <c r="BT93" t="s">
        <v>173</v>
      </c>
      <c r="BU93" t="s">
        <v>173</v>
      </c>
      <c r="BV93" t="s">
        <v>173</v>
      </c>
      <c r="BX93" t="s">
        <v>173</v>
      </c>
      <c r="BY93" t="s">
        <v>173</v>
      </c>
      <c r="BZ93" t="s">
        <v>173</v>
      </c>
      <c r="CA93" t="s">
        <v>173</v>
      </c>
      <c r="CB93" t="s">
        <v>173</v>
      </c>
      <c r="CC93" t="s">
        <v>173</v>
      </c>
      <c r="CD93" t="s">
        <v>173</v>
      </c>
      <c r="CE93" t="s">
        <v>173</v>
      </c>
      <c r="CF93" t="s">
        <v>173</v>
      </c>
      <c r="CG93" t="s">
        <v>173</v>
      </c>
      <c r="CH93" t="s">
        <v>173</v>
      </c>
      <c r="CI93" t="s">
        <v>173</v>
      </c>
      <c r="CJ93" t="s">
        <v>173</v>
      </c>
      <c r="CK93" t="s">
        <v>173</v>
      </c>
      <c r="CL93" t="s">
        <v>173</v>
      </c>
      <c r="CM93" t="s">
        <v>173</v>
      </c>
      <c r="CN93" t="s">
        <v>173</v>
      </c>
      <c r="CO93" t="s">
        <v>173</v>
      </c>
      <c r="CP93" t="s">
        <v>173</v>
      </c>
      <c r="CQ93" t="s">
        <v>173</v>
      </c>
      <c r="CR93" t="s">
        <v>173</v>
      </c>
      <c r="CS93" t="s">
        <v>173</v>
      </c>
      <c r="CT93" t="s">
        <v>173</v>
      </c>
      <c r="CU93" t="s">
        <v>173</v>
      </c>
      <c r="CV93" t="s">
        <v>173</v>
      </c>
      <c r="CW93" t="s">
        <v>173</v>
      </c>
      <c r="CX93" t="s">
        <v>173</v>
      </c>
      <c r="CY93" t="s">
        <v>173</v>
      </c>
      <c r="CZ93" t="s">
        <v>173</v>
      </c>
      <c r="DA93" t="s">
        <v>173</v>
      </c>
      <c r="DB93" t="s">
        <v>173</v>
      </c>
      <c r="DC93" t="s">
        <v>173</v>
      </c>
      <c r="DD93" t="s">
        <v>173</v>
      </c>
      <c r="DE93" t="s">
        <v>173</v>
      </c>
      <c r="DF93" t="s">
        <v>173</v>
      </c>
      <c r="DG93" t="s">
        <v>173</v>
      </c>
      <c r="DH93" t="s">
        <v>173</v>
      </c>
    </row>
    <row r="94" spans="1:112">
      <c r="A94">
        <v>63</v>
      </c>
      <c r="B94" t="s">
        <v>364</v>
      </c>
      <c r="C94" t="s">
        <v>365</v>
      </c>
      <c r="D94">
        <v>2024</v>
      </c>
      <c r="E94" t="s">
        <v>366</v>
      </c>
      <c r="F94" t="s">
        <v>367</v>
      </c>
      <c r="G94" t="s">
        <v>172</v>
      </c>
      <c r="H94">
        <v>0.64</v>
      </c>
      <c r="I94" t="s">
        <v>187</v>
      </c>
      <c r="J94" t="s">
        <v>173</v>
      </c>
      <c r="K94" t="s">
        <v>173</v>
      </c>
      <c r="L94" t="s">
        <v>173</v>
      </c>
      <c r="M94" t="s">
        <v>173</v>
      </c>
      <c r="N94" t="s">
        <v>173</v>
      </c>
      <c r="O94" t="s">
        <v>173</v>
      </c>
      <c r="P94" t="s">
        <v>173</v>
      </c>
      <c r="Q94" t="s">
        <v>173</v>
      </c>
      <c r="R94" t="s">
        <v>173</v>
      </c>
      <c r="S94" t="s">
        <v>173</v>
      </c>
      <c r="T94" t="s">
        <v>173</v>
      </c>
      <c r="U94" t="s">
        <v>173</v>
      </c>
      <c r="V94" t="s">
        <v>173</v>
      </c>
      <c r="W94" t="s">
        <v>173</v>
      </c>
      <c r="X94" t="s">
        <v>173</v>
      </c>
      <c r="Y94" t="s">
        <v>173</v>
      </c>
      <c r="Z94" t="s">
        <v>173</v>
      </c>
      <c r="AA94" t="s">
        <v>173</v>
      </c>
      <c r="AB94" t="s">
        <v>173</v>
      </c>
      <c r="AC94" t="s">
        <v>173</v>
      </c>
      <c r="AD94" t="s">
        <v>173</v>
      </c>
      <c r="AE94" t="s">
        <v>173</v>
      </c>
      <c r="AF94" t="s">
        <v>173</v>
      </c>
      <c r="AG94" t="s">
        <v>173</v>
      </c>
      <c r="AH94" t="s">
        <v>173</v>
      </c>
      <c r="AI94" t="s">
        <v>173</v>
      </c>
      <c r="AJ94" t="s">
        <v>173</v>
      </c>
      <c r="AK94" t="s">
        <v>173</v>
      </c>
      <c r="AL94" t="s">
        <v>173</v>
      </c>
      <c r="AM94" t="s">
        <v>173</v>
      </c>
      <c r="AN94" t="s">
        <v>173</v>
      </c>
      <c r="AO94" t="s">
        <v>173</v>
      </c>
      <c r="AP94" t="s">
        <v>173</v>
      </c>
      <c r="AQ94" t="s">
        <v>173</v>
      </c>
      <c r="AR94" t="s">
        <v>173</v>
      </c>
      <c r="AS94" t="s">
        <v>173</v>
      </c>
      <c r="AT94" t="s">
        <v>173</v>
      </c>
      <c r="AU94" t="s">
        <v>173</v>
      </c>
      <c r="AV94" t="s">
        <v>173</v>
      </c>
      <c r="AW94" t="s">
        <v>173</v>
      </c>
      <c r="AX94" t="s">
        <v>173</v>
      </c>
      <c r="AY94" t="s">
        <v>173</v>
      </c>
      <c r="AZ94" t="s">
        <v>173</v>
      </c>
      <c r="BA94" t="s">
        <v>173</v>
      </c>
      <c r="BB94" t="s">
        <v>173</v>
      </c>
      <c r="BC94" t="s">
        <v>173</v>
      </c>
      <c r="BD94" t="s">
        <v>173</v>
      </c>
      <c r="BE94" t="s">
        <v>173</v>
      </c>
      <c r="BF94" t="s">
        <v>173</v>
      </c>
      <c r="BG94" t="s">
        <v>173</v>
      </c>
      <c r="BH94" t="s">
        <v>173</v>
      </c>
      <c r="BI94" t="s">
        <v>173</v>
      </c>
      <c r="BJ94" t="s">
        <v>173</v>
      </c>
      <c r="BK94" t="s">
        <v>173</v>
      </c>
      <c r="BL94" t="s">
        <v>173</v>
      </c>
      <c r="BM94" t="s">
        <v>173</v>
      </c>
      <c r="BN94" t="s">
        <v>173</v>
      </c>
      <c r="BO94" t="s">
        <v>173</v>
      </c>
      <c r="BP94" t="s">
        <v>173</v>
      </c>
      <c r="BQ94" t="s">
        <v>173</v>
      </c>
      <c r="BR94" t="s">
        <v>173</v>
      </c>
      <c r="BS94" t="s">
        <v>173</v>
      </c>
      <c r="BT94" t="s">
        <v>173</v>
      </c>
      <c r="BU94" t="s">
        <v>173</v>
      </c>
      <c r="BV94" t="s">
        <v>173</v>
      </c>
      <c r="BX94" t="s">
        <v>173</v>
      </c>
      <c r="BY94" t="s">
        <v>173</v>
      </c>
      <c r="BZ94" t="s">
        <v>173</v>
      </c>
      <c r="CA94" t="s">
        <v>173</v>
      </c>
      <c r="CB94" t="s">
        <v>173</v>
      </c>
      <c r="CC94" t="s">
        <v>173</v>
      </c>
      <c r="CD94" t="s">
        <v>173</v>
      </c>
      <c r="CE94" t="s">
        <v>173</v>
      </c>
      <c r="CF94" t="s">
        <v>173</v>
      </c>
      <c r="CG94" t="s">
        <v>173</v>
      </c>
      <c r="CH94" t="s">
        <v>173</v>
      </c>
      <c r="CI94" t="s">
        <v>173</v>
      </c>
      <c r="CJ94" t="s">
        <v>173</v>
      </c>
      <c r="CK94" t="s">
        <v>173</v>
      </c>
      <c r="CL94" t="s">
        <v>173</v>
      </c>
      <c r="CM94" t="s">
        <v>173</v>
      </c>
      <c r="CN94" t="s">
        <v>173</v>
      </c>
      <c r="CO94" t="s">
        <v>173</v>
      </c>
      <c r="CP94" t="s">
        <v>173</v>
      </c>
      <c r="CQ94" t="s">
        <v>173</v>
      </c>
      <c r="CR94" t="s">
        <v>173</v>
      </c>
      <c r="CS94" t="s">
        <v>173</v>
      </c>
      <c r="CT94" t="s">
        <v>173</v>
      </c>
      <c r="CU94" t="s">
        <v>173</v>
      </c>
      <c r="CV94" t="s">
        <v>173</v>
      </c>
      <c r="CW94" t="s">
        <v>173</v>
      </c>
      <c r="CX94" t="s">
        <v>173</v>
      </c>
      <c r="CY94" t="s">
        <v>173</v>
      </c>
      <c r="CZ94" t="s">
        <v>173</v>
      </c>
      <c r="DA94" t="s">
        <v>173</v>
      </c>
      <c r="DB94" t="s">
        <v>173</v>
      </c>
      <c r="DC94" t="s">
        <v>173</v>
      </c>
      <c r="DD94" t="s">
        <v>173</v>
      </c>
      <c r="DE94" t="s">
        <v>173</v>
      </c>
      <c r="DF94" t="s">
        <v>173</v>
      </c>
      <c r="DG94" t="s">
        <v>173</v>
      </c>
      <c r="DH94" t="s">
        <v>173</v>
      </c>
    </row>
    <row r="95" spans="1:112">
      <c r="A95">
        <v>63</v>
      </c>
      <c r="B95" t="s">
        <v>364</v>
      </c>
      <c r="C95" t="s">
        <v>365</v>
      </c>
      <c r="D95">
        <v>2024</v>
      </c>
      <c r="E95" t="s">
        <v>366</v>
      </c>
      <c r="F95" t="s">
        <v>367</v>
      </c>
      <c r="G95" t="s">
        <v>172</v>
      </c>
      <c r="H95">
        <v>0.64</v>
      </c>
      <c r="I95" t="s">
        <v>187</v>
      </c>
      <c r="J95" t="s">
        <v>173</v>
      </c>
      <c r="K95" t="s">
        <v>173</v>
      </c>
      <c r="L95" t="s">
        <v>173</v>
      </c>
      <c r="M95" t="s">
        <v>173</v>
      </c>
      <c r="N95" t="s">
        <v>173</v>
      </c>
      <c r="O95" t="s">
        <v>173</v>
      </c>
      <c r="P95" t="s">
        <v>173</v>
      </c>
      <c r="Q95" t="s">
        <v>173</v>
      </c>
      <c r="R95" t="s">
        <v>173</v>
      </c>
      <c r="S95" t="s">
        <v>173</v>
      </c>
      <c r="T95" t="s">
        <v>173</v>
      </c>
      <c r="U95" t="s">
        <v>173</v>
      </c>
      <c r="V95" t="s">
        <v>173</v>
      </c>
      <c r="W95" t="s">
        <v>173</v>
      </c>
      <c r="X95" t="s">
        <v>173</v>
      </c>
      <c r="Y95" t="s">
        <v>173</v>
      </c>
      <c r="Z95" t="s">
        <v>173</v>
      </c>
      <c r="AA95" t="s">
        <v>173</v>
      </c>
      <c r="AB95" t="s">
        <v>173</v>
      </c>
      <c r="AC95" t="s">
        <v>173</v>
      </c>
      <c r="AD95" t="s">
        <v>173</v>
      </c>
      <c r="AE95" t="s">
        <v>173</v>
      </c>
      <c r="AF95" t="s">
        <v>173</v>
      </c>
      <c r="AG95" t="s">
        <v>173</v>
      </c>
      <c r="AH95" t="s">
        <v>173</v>
      </c>
      <c r="AI95" t="s">
        <v>173</v>
      </c>
      <c r="AJ95" t="s">
        <v>173</v>
      </c>
      <c r="AK95" t="s">
        <v>173</v>
      </c>
      <c r="AL95" t="s">
        <v>173</v>
      </c>
      <c r="AM95" t="s">
        <v>173</v>
      </c>
      <c r="AN95" t="s">
        <v>173</v>
      </c>
      <c r="AO95" t="s">
        <v>173</v>
      </c>
      <c r="AP95" t="s">
        <v>173</v>
      </c>
      <c r="AQ95" t="s">
        <v>173</v>
      </c>
      <c r="AR95" t="s">
        <v>173</v>
      </c>
      <c r="AS95" t="s">
        <v>173</v>
      </c>
      <c r="AT95" t="s">
        <v>173</v>
      </c>
      <c r="AU95" t="s">
        <v>173</v>
      </c>
      <c r="AV95" t="s">
        <v>173</v>
      </c>
      <c r="AW95" t="s">
        <v>173</v>
      </c>
      <c r="AX95" t="s">
        <v>173</v>
      </c>
      <c r="AY95" t="s">
        <v>173</v>
      </c>
      <c r="AZ95" t="s">
        <v>173</v>
      </c>
      <c r="BA95" t="s">
        <v>173</v>
      </c>
      <c r="BB95" t="s">
        <v>173</v>
      </c>
      <c r="BC95" t="s">
        <v>173</v>
      </c>
      <c r="BD95" t="s">
        <v>173</v>
      </c>
      <c r="BE95" t="s">
        <v>173</v>
      </c>
      <c r="BF95" t="s">
        <v>173</v>
      </c>
      <c r="BG95" t="s">
        <v>173</v>
      </c>
      <c r="BH95" t="s">
        <v>173</v>
      </c>
      <c r="BI95" t="s">
        <v>173</v>
      </c>
      <c r="BJ95" t="s">
        <v>173</v>
      </c>
      <c r="BK95" t="s">
        <v>173</v>
      </c>
      <c r="BL95" t="s">
        <v>173</v>
      </c>
      <c r="BM95" t="s">
        <v>173</v>
      </c>
      <c r="BN95" t="s">
        <v>173</v>
      </c>
      <c r="BO95" t="s">
        <v>173</v>
      </c>
      <c r="BP95" t="s">
        <v>173</v>
      </c>
      <c r="BQ95" t="s">
        <v>173</v>
      </c>
      <c r="BR95" t="s">
        <v>173</v>
      </c>
      <c r="BS95" t="s">
        <v>173</v>
      </c>
      <c r="BT95" t="s">
        <v>173</v>
      </c>
      <c r="BU95" t="s">
        <v>173</v>
      </c>
      <c r="BV95" t="s">
        <v>173</v>
      </c>
      <c r="BX95" t="s">
        <v>173</v>
      </c>
      <c r="BY95" t="s">
        <v>173</v>
      </c>
      <c r="BZ95" t="s">
        <v>173</v>
      </c>
      <c r="CA95" t="s">
        <v>173</v>
      </c>
      <c r="CB95" t="s">
        <v>173</v>
      </c>
      <c r="CC95" t="s">
        <v>173</v>
      </c>
      <c r="CD95" t="s">
        <v>173</v>
      </c>
      <c r="CE95" t="s">
        <v>173</v>
      </c>
      <c r="CF95" t="s">
        <v>173</v>
      </c>
      <c r="CG95" t="s">
        <v>173</v>
      </c>
      <c r="CH95" t="s">
        <v>173</v>
      </c>
      <c r="CI95" t="s">
        <v>173</v>
      </c>
      <c r="CJ95" t="s">
        <v>173</v>
      </c>
      <c r="CK95" t="s">
        <v>173</v>
      </c>
      <c r="CL95" t="s">
        <v>173</v>
      </c>
      <c r="CM95" t="s">
        <v>173</v>
      </c>
      <c r="CN95" t="s">
        <v>173</v>
      </c>
      <c r="CO95" t="s">
        <v>173</v>
      </c>
      <c r="CP95" t="s">
        <v>173</v>
      </c>
      <c r="CQ95" t="s">
        <v>173</v>
      </c>
      <c r="CR95" t="s">
        <v>173</v>
      </c>
      <c r="CS95" t="s">
        <v>173</v>
      </c>
      <c r="CT95" t="s">
        <v>173</v>
      </c>
      <c r="CU95" t="s">
        <v>173</v>
      </c>
      <c r="CV95" t="s">
        <v>173</v>
      </c>
      <c r="CW95" t="s">
        <v>173</v>
      </c>
      <c r="CX95" t="s">
        <v>173</v>
      </c>
      <c r="CY95" t="s">
        <v>173</v>
      </c>
      <c r="CZ95" t="s">
        <v>173</v>
      </c>
      <c r="DA95" t="s">
        <v>173</v>
      </c>
      <c r="DB95" t="s">
        <v>173</v>
      </c>
      <c r="DC95" t="s">
        <v>173</v>
      </c>
      <c r="DD95" t="s">
        <v>173</v>
      </c>
      <c r="DE95" t="s">
        <v>173</v>
      </c>
      <c r="DF95" t="s">
        <v>173</v>
      </c>
      <c r="DG95" t="s">
        <v>173</v>
      </c>
      <c r="DH95" t="s">
        <v>173</v>
      </c>
    </row>
    <row r="96" spans="1:112">
      <c r="A96">
        <v>63</v>
      </c>
      <c r="B96" t="s">
        <v>364</v>
      </c>
      <c r="C96" t="s">
        <v>365</v>
      </c>
      <c r="D96">
        <v>2024</v>
      </c>
      <c r="E96" t="s">
        <v>366</v>
      </c>
      <c r="F96" t="s">
        <v>367</v>
      </c>
      <c r="G96" t="s">
        <v>172</v>
      </c>
      <c r="H96">
        <v>0.64</v>
      </c>
      <c r="I96" t="s">
        <v>187</v>
      </c>
      <c r="J96" t="s">
        <v>173</v>
      </c>
      <c r="K96" t="s">
        <v>173</v>
      </c>
      <c r="L96" t="s">
        <v>173</v>
      </c>
      <c r="M96" t="s">
        <v>173</v>
      </c>
      <c r="N96" t="s">
        <v>173</v>
      </c>
      <c r="O96" t="s">
        <v>173</v>
      </c>
      <c r="P96" t="s">
        <v>173</v>
      </c>
      <c r="Q96" t="s">
        <v>173</v>
      </c>
      <c r="R96" t="s">
        <v>173</v>
      </c>
      <c r="S96" t="s">
        <v>173</v>
      </c>
      <c r="T96" t="s">
        <v>173</v>
      </c>
      <c r="U96" t="s">
        <v>173</v>
      </c>
      <c r="V96" t="s">
        <v>173</v>
      </c>
      <c r="W96" t="s">
        <v>173</v>
      </c>
      <c r="X96" t="s">
        <v>173</v>
      </c>
      <c r="Y96" t="s">
        <v>173</v>
      </c>
      <c r="Z96" t="s">
        <v>173</v>
      </c>
      <c r="AA96" t="s">
        <v>173</v>
      </c>
      <c r="AB96" t="s">
        <v>173</v>
      </c>
      <c r="AC96" t="s">
        <v>173</v>
      </c>
      <c r="AD96" t="s">
        <v>173</v>
      </c>
      <c r="AE96" t="s">
        <v>173</v>
      </c>
      <c r="AF96" t="s">
        <v>173</v>
      </c>
      <c r="AG96" t="s">
        <v>173</v>
      </c>
      <c r="AH96" t="s">
        <v>173</v>
      </c>
      <c r="AI96" t="s">
        <v>173</v>
      </c>
      <c r="AJ96" t="s">
        <v>173</v>
      </c>
      <c r="AK96" t="s">
        <v>173</v>
      </c>
      <c r="AL96" t="s">
        <v>173</v>
      </c>
      <c r="AM96" t="s">
        <v>173</v>
      </c>
      <c r="AN96" t="s">
        <v>173</v>
      </c>
      <c r="AO96" t="s">
        <v>173</v>
      </c>
      <c r="AP96" t="s">
        <v>173</v>
      </c>
      <c r="AQ96" t="s">
        <v>173</v>
      </c>
      <c r="AR96" t="s">
        <v>173</v>
      </c>
      <c r="AS96" t="s">
        <v>173</v>
      </c>
      <c r="AT96" t="s">
        <v>173</v>
      </c>
      <c r="AU96" t="s">
        <v>173</v>
      </c>
      <c r="AV96" t="s">
        <v>173</v>
      </c>
      <c r="AW96" t="s">
        <v>173</v>
      </c>
      <c r="AX96" t="s">
        <v>173</v>
      </c>
      <c r="AY96" t="s">
        <v>173</v>
      </c>
      <c r="AZ96" t="s">
        <v>173</v>
      </c>
      <c r="BA96" t="s">
        <v>173</v>
      </c>
      <c r="BB96" t="s">
        <v>173</v>
      </c>
      <c r="BC96" t="s">
        <v>173</v>
      </c>
      <c r="BD96" t="s">
        <v>173</v>
      </c>
      <c r="BE96" t="s">
        <v>173</v>
      </c>
      <c r="BF96" t="s">
        <v>173</v>
      </c>
      <c r="BG96" t="s">
        <v>173</v>
      </c>
      <c r="BH96" t="s">
        <v>173</v>
      </c>
      <c r="BI96" t="s">
        <v>173</v>
      </c>
      <c r="BJ96" t="s">
        <v>173</v>
      </c>
      <c r="BK96" t="s">
        <v>173</v>
      </c>
      <c r="BL96" t="s">
        <v>173</v>
      </c>
      <c r="BM96" t="s">
        <v>173</v>
      </c>
      <c r="BN96" t="s">
        <v>173</v>
      </c>
      <c r="BO96" t="s">
        <v>173</v>
      </c>
      <c r="BP96" t="s">
        <v>173</v>
      </c>
      <c r="BQ96" t="s">
        <v>173</v>
      </c>
      <c r="BR96" t="s">
        <v>173</v>
      </c>
      <c r="BS96" t="s">
        <v>173</v>
      </c>
      <c r="BT96" t="s">
        <v>173</v>
      </c>
      <c r="BU96" t="s">
        <v>173</v>
      </c>
      <c r="BV96" t="s">
        <v>173</v>
      </c>
      <c r="BX96" t="s">
        <v>173</v>
      </c>
      <c r="BY96" t="s">
        <v>173</v>
      </c>
      <c r="BZ96" t="s">
        <v>173</v>
      </c>
      <c r="CA96" t="s">
        <v>173</v>
      </c>
      <c r="CB96" t="s">
        <v>173</v>
      </c>
      <c r="CC96" t="s">
        <v>173</v>
      </c>
      <c r="CD96" t="s">
        <v>173</v>
      </c>
      <c r="CE96" t="s">
        <v>173</v>
      </c>
      <c r="CF96" t="s">
        <v>173</v>
      </c>
      <c r="CG96" t="s">
        <v>173</v>
      </c>
      <c r="CH96" t="s">
        <v>173</v>
      </c>
      <c r="CI96" t="s">
        <v>173</v>
      </c>
      <c r="CJ96" t="s">
        <v>173</v>
      </c>
      <c r="CK96" t="s">
        <v>173</v>
      </c>
      <c r="CL96" t="s">
        <v>173</v>
      </c>
      <c r="CM96" t="s">
        <v>173</v>
      </c>
      <c r="CN96" t="s">
        <v>173</v>
      </c>
      <c r="CO96" t="s">
        <v>173</v>
      </c>
      <c r="CP96" t="s">
        <v>173</v>
      </c>
      <c r="CQ96" t="s">
        <v>173</v>
      </c>
      <c r="CR96" t="s">
        <v>173</v>
      </c>
      <c r="CS96" t="s">
        <v>173</v>
      </c>
      <c r="CT96" t="s">
        <v>173</v>
      </c>
      <c r="CU96" t="s">
        <v>173</v>
      </c>
      <c r="CV96" t="s">
        <v>173</v>
      </c>
      <c r="CW96" t="s">
        <v>173</v>
      </c>
      <c r="CX96" t="s">
        <v>173</v>
      </c>
      <c r="CY96" t="s">
        <v>173</v>
      </c>
      <c r="CZ96" t="s">
        <v>173</v>
      </c>
      <c r="DA96" t="s">
        <v>173</v>
      </c>
      <c r="DB96" t="s">
        <v>173</v>
      </c>
      <c r="DC96" t="s">
        <v>173</v>
      </c>
      <c r="DD96" t="s">
        <v>173</v>
      </c>
      <c r="DE96" t="s">
        <v>173</v>
      </c>
      <c r="DF96" t="s">
        <v>173</v>
      </c>
      <c r="DG96" t="s">
        <v>173</v>
      </c>
      <c r="DH96" t="s">
        <v>173</v>
      </c>
    </row>
    <row r="97" spans="1:112">
      <c r="A97">
        <v>63</v>
      </c>
      <c r="B97" t="s">
        <v>364</v>
      </c>
      <c r="C97" t="s">
        <v>365</v>
      </c>
      <c r="D97">
        <v>2024</v>
      </c>
      <c r="E97" t="s">
        <v>366</v>
      </c>
      <c r="F97" t="s">
        <v>367</v>
      </c>
      <c r="G97" t="s">
        <v>172</v>
      </c>
      <c r="H97">
        <v>0.64</v>
      </c>
      <c r="I97" t="s">
        <v>187</v>
      </c>
      <c r="J97" t="s">
        <v>173</v>
      </c>
      <c r="K97" t="s">
        <v>173</v>
      </c>
      <c r="L97" t="s">
        <v>173</v>
      </c>
      <c r="M97" t="s">
        <v>173</v>
      </c>
      <c r="N97" t="s">
        <v>173</v>
      </c>
      <c r="O97" t="s">
        <v>173</v>
      </c>
      <c r="P97" t="s">
        <v>173</v>
      </c>
      <c r="Q97" t="s">
        <v>173</v>
      </c>
      <c r="R97" t="s">
        <v>173</v>
      </c>
      <c r="S97" t="s">
        <v>173</v>
      </c>
      <c r="T97" t="s">
        <v>173</v>
      </c>
      <c r="U97" t="s">
        <v>173</v>
      </c>
      <c r="V97" t="s">
        <v>173</v>
      </c>
      <c r="W97" t="s">
        <v>173</v>
      </c>
      <c r="X97" t="s">
        <v>173</v>
      </c>
      <c r="Y97" t="s">
        <v>173</v>
      </c>
      <c r="Z97" t="s">
        <v>173</v>
      </c>
      <c r="AA97" t="s">
        <v>173</v>
      </c>
      <c r="AB97" t="s">
        <v>173</v>
      </c>
      <c r="AC97" t="s">
        <v>173</v>
      </c>
      <c r="AD97" t="s">
        <v>173</v>
      </c>
      <c r="AE97" t="s">
        <v>173</v>
      </c>
      <c r="AF97" t="s">
        <v>173</v>
      </c>
      <c r="AG97" t="s">
        <v>173</v>
      </c>
      <c r="AH97" t="s">
        <v>173</v>
      </c>
      <c r="AI97" t="s">
        <v>173</v>
      </c>
      <c r="AJ97" t="s">
        <v>173</v>
      </c>
      <c r="AK97" t="s">
        <v>173</v>
      </c>
      <c r="AL97" t="s">
        <v>173</v>
      </c>
      <c r="AM97" t="s">
        <v>173</v>
      </c>
      <c r="AN97" t="s">
        <v>173</v>
      </c>
      <c r="AO97" t="s">
        <v>173</v>
      </c>
      <c r="AP97" t="s">
        <v>173</v>
      </c>
      <c r="AQ97" t="s">
        <v>173</v>
      </c>
      <c r="AR97" t="s">
        <v>173</v>
      </c>
      <c r="AS97" t="s">
        <v>173</v>
      </c>
      <c r="AT97" t="s">
        <v>173</v>
      </c>
      <c r="AU97" t="s">
        <v>173</v>
      </c>
      <c r="AV97" t="s">
        <v>173</v>
      </c>
      <c r="AW97" t="s">
        <v>173</v>
      </c>
      <c r="AX97" t="s">
        <v>173</v>
      </c>
      <c r="AY97" t="s">
        <v>173</v>
      </c>
      <c r="AZ97" t="s">
        <v>173</v>
      </c>
      <c r="BA97" t="s">
        <v>173</v>
      </c>
      <c r="BB97" t="s">
        <v>173</v>
      </c>
      <c r="BC97" t="s">
        <v>173</v>
      </c>
      <c r="BD97" t="s">
        <v>173</v>
      </c>
      <c r="BE97" t="s">
        <v>173</v>
      </c>
      <c r="BF97" t="s">
        <v>173</v>
      </c>
      <c r="BG97" t="s">
        <v>173</v>
      </c>
      <c r="BH97" t="s">
        <v>173</v>
      </c>
      <c r="BI97" t="s">
        <v>173</v>
      </c>
      <c r="BJ97" t="s">
        <v>173</v>
      </c>
      <c r="BK97" t="s">
        <v>173</v>
      </c>
      <c r="BL97" t="s">
        <v>173</v>
      </c>
      <c r="BM97" t="s">
        <v>173</v>
      </c>
      <c r="BN97" t="s">
        <v>173</v>
      </c>
      <c r="BO97" t="s">
        <v>173</v>
      </c>
      <c r="BP97" t="s">
        <v>173</v>
      </c>
      <c r="BQ97" t="s">
        <v>173</v>
      </c>
      <c r="BR97" t="s">
        <v>173</v>
      </c>
      <c r="BS97" t="s">
        <v>173</v>
      </c>
      <c r="BT97" t="s">
        <v>173</v>
      </c>
      <c r="BU97" t="s">
        <v>173</v>
      </c>
      <c r="BV97" t="s">
        <v>173</v>
      </c>
      <c r="BX97" t="s">
        <v>173</v>
      </c>
      <c r="BY97" t="s">
        <v>173</v>
      </c>
      <c r="BZ97" t="s">
        <v>173</v>
      </c>
      <c r="CA97" t="s">
        <v>173</v>
      </c>
      <c r="CB97" t="s">
        <v>173</v>
      </c>
      <c r="CC97" t="s">
        <v>173</v>
      </c>
      <c r="CD97" t="s">
        <v>173</v>
      </c>
      <c r="CE97" t="s">
        <v>173</v>
      </c>
      <c r="CF97" t="s">
        <v>173</v>
      </c>
      <c r="CG97" t="s">
        <v>173</v>
      </c>
      <c r="CH97" t="s">
        <v>173</v>
      </c>
      <c r="CI97" t="s">
        <v>173</v>
      </c>
      <c r="CJ97" t="s">
        <v>173</v>
      </c>
      <c r="CK97" t="s">
        <v>173</v>
      </c>
      <c r="CL97" t="s">
        <v>173</v>
      </c>
      <c r="CM97" t="s">
        <v>173</v>
      </c>
      <c r="CN97" t="s">
        <v>173</v>
      </c>
      <c r="CO97" t="s">
        <v>173</v>
      </c>
      <c r="CP97" t="s">
        <v>173</v>
      </c>
      <c r="CQ97" t="s">
        <v>173</v>
      </c>
      <c r="CR97" t="s">
        <v>173</v>
      </c>
      <c r="CS97" t="s">
        <v>173</v>
      </c>
      <c r="CT97" t="s">
        <v>173</v>
      </c>
      <c r="CU97" t="s">
        <v>173</v>
      </c>
      <c r="CV97" t="s">
        <v>173</v>
      </c>
      <c r="CW97" t="s">
        <v>173</v>
      </c>
      <c r="CX97" t="s">
        <v>173</v>
      </c>
      <c r="CY97" t="s">
        <v>173</v>
      </c>
      <c r="CZ97" t="s">
        <v>173</v>
      </c>
      <c r="DA97" t="s">
        <v>173</v>
      </c>
      <c r="DB97" t="s">
        <v>173</v>
      </c>
      <c r="DC97" t="s">
        <v>173</v>
      </c>
      <c r="DD97" t="s">
        <v>173</v>
      </c>
      <c r="DE97" t="s">
        <v>173</v>
      </c>
      <c r="DF97" t="s">
        <v>173</v>
      </c>
      <c r="DG97" t="s">
        <v>173</v>
      </c>
      <c r="DH97" t="s">
        <v>173</v>
      </c>
    </row>
    <row r="98" spans="1:112">
      <c r="A98">
        <v>63</v>
      </c>
      <c r="B98" t="s">
        <v>364</v>
      </c>
      <c r="C98" t="s">
        <v>365</v>
      </c>
      <c r="D98">
        <v>2024</v>
      </c>
      <c r="E98" t="s">
        <v>366</v>
      </c>
      <c r="F98" t="s">
        <v>367</v>
      </c>
      <c r="G98" t="s">
        <v>172</v>
      </c>
      <c r="H98">
        <v>0.64</v>
      </c>
      <c r="I98" t="s">
        <v>187</v>
      </c>
      <c r="J98" t="s">
        <v>173</v>
      </c>
      <c r="K98" t="s">
        <v>173</v>
      </c>
      <c r="L98" t="s">
        <v>173</v>
      </c>
      <c r="M98" t="s">
        <v>173</v>
      </c>
      <c r="N98" t="s">
        <v>173</v>
      </c>
      <c r="O98" t="s">
        <v>173</v>
      </c>
      <c r="P98" t="s">
        <v>173</v>
      </c>
      <c r="Q98" t="s">
        <v>173</v>
      </c>
      <c r="R98" t="s">
        <v>173</v>
      </c>
      <c r="S98" t="s">
        <v>173</v>
      </c>
      <c r="T98" t="s">
        <v>173</v>
      </c>
      <c r="U98" t="s">
        <v>173</v>
      </c>
      <c r="V98" t="s">
        <v>173</v>
      </c>
      <c r="W98" t="s">
        <v>173</v>
      </c>
      <c r="X98" t="s">
        <v>173</v>
      </c>
      <c r="Y98" t="s">
        <v>173</v>
      </c>
      <c r="Z98" t="s">
        <v>173</v>
      </c>
      <c r="AA98" t="s">
        <v>173</v>
      </c>
      <c r="AB98" t="s">
        <v>173</v>
      </c>
      <c r="AC98" t="s">
        <v>173</v>
      </c>
      <c r="AD98" t="s">
        <v>173</v>
      </c>
      <c r="AE98" t="s">
        <v>173</v>
      </c>
      <c r="AF98" t="s">
        <v>173</v>
      </c>
      <c r="AG98" t="s">
        <v>173</v>
      </c>
      <c r="AH98" t="s">
        <v>173</v>
      </c>
      <c r="AI98" t="s">
        <v>173</v>
      </c>
      <c r="AJ98" t="s">
        <v>173</v>
      </c>
      <c r="AK98" t="s">
        <v>173</v>
      </c>
      <c r="AL98" t="s">
        <v>173</v>
      </c>
      <c r="AM98" t="s">
        <v>173</v>
      </c>
      <c r="AN98" t="s">
        <v>173</v>
      </c>
      <c r="AO98" t="s">
        <v>173</v>
      </c>
      <c r="AP98" t="s">
        <v>173</v>
      </c>
      <c r="AQ98" t="s">
        <v>173</v>
      </c>
      <c r="AR98" t="s">
        <v>173</v>
      </c>
      <c r="AS98" t="s">
        <v>173</v>
      </c>
      <c r="AT98" t="s">
        <v>173</v>
      </c>
      <c r="AU98" t="s">
        <v>173</v>
      </c>
      <c r="AV98" t="s">
        <v>173</v>
      </c>
      <c r="AW98" t="s">
        <v>173</v>
      </c>
      <c r="AX98" t="s">
        <v>173</v>
      </c>
      <c r="AY98" t="s">
        <v>173</v>
      </c>
      <c r="AZ98" t="s">
        <v>173</v>
      </c>
      <c r="BA98" t="s">
        <v>173</v>
      </c>
      <c r="BB98" t="s">
        <v>173</v>
      </c>
      <c r="BC98" t="s">
        <v>173</v>
      </c>
      <c r="BD98" t="s">
        <v>173</v>
      </c>
      <c r="BE98" t="s">
        <v>173</v>
      </c>
      <c r="BF98" t="s">
        <v>173</v>
      </c>
      <c r="BG98" t="s">
        <v>173</v>
      </c>
      <c r="BH98" t="s">
        <v>173</v>
      </c>
      <c r="BI98" t="s">
        <v>173</v>
      </c>
      <c r="BJ98" t="s">
        <v>173</v>
      </c>
      <c r="BK98" t="s">
        <v>173</v>
      </c>
      <c r="BL98" t="s">
        <v>173</v>
      </c>
      <c r="BM98" t="s">
        <v>173</v>
      </c>
      <c r="BN98" t="s">
        <v>173</v>
      </c>
      <c r="BO98" t="s">
        <v>173</v>
      </c>
      <c r="BP98" t="s">
        <v>173</v>
      </c>
      <c r="BQ98" t="s">
        <v>173</v>
      </c>
      <c r="BR98" t="s">
        <v>173</v>
      </c>
      <c r="BS98" t="s">
        <v>173</v>
      </c>
      <c r="BT98" t="s">
        <v>173</v>
      </c>
      <c r="BU98" t="s">
        <v>173</v>
      </c>
      <c r="BV98" t="s">
        <v>173</v>
      </c>
      <c r="BX98" t="s">
        <v>173</v>
      </c>
      <c r="BY98" t="s">
        <v>173</v>
      </c>
      <c r="BZ98" t="s">
        <v>173</v>
      </c>
      <c r="CA98" t="s">
        <v>173</v>
      </c>
      <c r="CB98" t="s">
        <v>173</v>
      </c>
      <c r="CC98" t="s">
        <v>173</v>
      </c>
      <c r="CD98" t="s">
        <v>173</v>
      </c>
      <c r="CE98" t="s">
        <v>173</v>
      </c>
      <c r="CF98" t="s">
        <v>173</v>
      </c>
      <c r="CG98" t="s">
        <v>173</v>
      </c>
      <c r="CH98" t="s">
        <v>173</v>
      </c>
      <c r="CI98" t="s">
        <v>173</v>
      </c>
      <c r="CJ98" t="s">
        <v>173</v>
      </c>
      <c r="CK98" t="s">
        <v>173</v>
      </c>
      <c r="CL98" t="s">
        <v>173</v>
      </c>
      <c r="CM98" t="s">
        <v>173</v>
      </c>
      <c r="CN98" t="s">
        <v>173</v>
      </c>
      <c r="CO98" t="s">
        <v>173</v>
      </c>
      <c r="CP98" t="s">
        <v>173</v>
      </c>
      <c r="CQ98" t="s">
        <v>173</v>
      </c>
      <c r="CR98" t="s">
        <v>173</v>
      </c>
      <c r="CS98" t="s">
        <v>173</v>
      </c>
      <c r="CT98" t="s">
        <v>173</v>
      </c>
      <c r="CU98" t="s">
        <v>173</v>
      </c>
      <c r="CV98" t="s">
        <v>173</v>
      </c>
      <c r="CW98" t="s">
        <v>173</v>
      </c>
      <c r="CX98" t="s">
        <v>173</v>
      </c>
      <c r="CY98" t="s">
        <v>173</v>
      </c>
      <c r="CZ98" t="s">
        <v>173</v>
      </c>
      <c r="DA98" t="s">
        <v>173</v>
      </c>
      <c r="DB98" t="s">
        <v>173</v>
      </c>
      <c r="DC98" t="s">
        <v>173</v>
      </c>
      <c r="DD98" t="s">
        <v>173</v>
      </c>
      <c r="DE98" t="s">
        <v>173</v>
      </c>
      <c r="DF98" t="s">
        <v>173</v>
      </c>
      <c r="DG98" t="s">
        <v>173</v>
      </c>
      <c r="DH98" t="s">
        <v>173</v>
      </c>
    </row>
    <row r="99" spans="1:112">
      <c r="A99">
        <v>63</v>
      </c>
      <c r="B99" t="s">
        <v>364</v>
      </c>
      <c r="C99" t="s">
        <v>365</v>
      </c>
      <c r="D99">
        <v>2024</v>
      </c>
      <c r="E99" t="s">
        <v>366</v>
      </c>
      <c r="F99" t="s">
        <v>367</v>
      </c>
      <c r="G99" t="s">
        <v>172</v>
      </c>
      <c r="H99">
        <v>0.64</v>
      </c>
      <c r="I99" t="s">
        <v>187</v>
      </c>
      <c r="J99" t="s">
        <v>173</v>
      </c>
      <c r="K99" t="s">
        <v>173</v>
      </c>
      <c r="L99" t="s">
        <v>173</v>
      </c>
      <c r="M99" t="s">
        <v>173</v>
      </c>
      <c r="N99" t="s">
        <v>173</v>
      </c>
      <c r="O99" t="s">
        <v>173</v>
      </c>
      <c r="P99" t="s">
        <v>173</v>
      </c>
      <c r="Q99" t="s">
        <v>173</v>
      </c>
      <c r="R99" t="s">
        <v>173</v>
      </c>
      <c r="S99" t="s">
        <v>173</v>
      </c>
      <c r="T99" t="s">
        <v>173</v>
      </c>
      <c r="U99" t="s">
        <v>173</v>
      </c>
      <c r="V99" t="s">
        <v>173</v>
      </c>
      <c r="W99" t="s">
        <v>173</v>
      </c>
      <c r="X99" t="s">
        <v>173</v>
      </c>
      <c r="Y99" t="s">
        <v>173</v>
      </c>
      <c r="Z99" t="s">
        <v>173</v>
      </c>
      <c r="AA99" t="s">
        <v>173</v>
      </c>
      <c r="AB99" t="s">
        <v>173</v>
      </c>
      <c r="AC99" t="s">
        <v>173</v>
      </c>
      <c r="AD99" t="s">
        <v>173</v>
      </c>
      <c r="AE99" t="s">
        <v>173</v>
      </c>
      <c r="AF99" t="s">
        <v>173</v>
      </c>
      <c r="AG99" t="s">
        <v>173</v>
      </c>
      <c r="AH99" t="s">
        <v>173</v>
      </c>
      <c r="AI99" t="s">
        <v>173</v>
      </c>
      <c r="AJ99" t="s">
        <v>173</v>
      </c>
      <c r="AK99" t="s">
        <v>173</v>
      </c>
      <c r="AL99" t="s">
        <v>173</v>
      </c>
      <c r="AM99" t="s">
        <v>173</v>
      </c>
      <c r="AN99" t="s">
        <v>173</v>
      </c>
      <c r="AO99" t="s">
        <v>173</v>
      </c>
      <c r="AP99" t="s">
        <v>173</v>
      </c>
      <c r="AQ99" t="s">
        <v>173</v>
      </c>
      <c r="AR99" t="s">
        <v>173</v>
      </c>
      <c r="AS99" t="s">
        <v>173</v>
      </c>
      <c r="AT99" t="s">
        <v>173</v>
      </c>
      <c r="AU99" t="s">
        <v>173</v>
      </c>
      <c r="AV99" t="s">
        <v>173</v>
      </c>
      <c r="AW99" t="s">
        <v>173</v>
      </c>
      <c r="AX99" t="s">
        <v>173</v>
      </c>
      <c r="AY99" t="s">
        <v>173</v>
      </c>
      <c r="AZ99" t="s">
        <v>173</v>
      </c>
      <c r="BA99" t="s">
        <v>173</v>
      </c>
      <c r="BB99" t="s">
        <v>173</v>
      </c>
      <c r="BC99" t="s">
        <v>173</v>
      </c>
      <c r="BD99" t="s">
        <v>173</v>
      </c>
      <c r="BE99" t="s">
        <v>173</v>
      </c>
      <c r="BF99" t="s">
        <v>173</v>
      </c>
      <c r="BG99" t="s">
        <v>173</v>
      </c>
      <c r="BH99" t="s">
        <v>173</v>
      </c>
      <c r="BI99" t="s">
        <v>173</v>
      </c>
      <c r="BJ99" t="s">
        <v>173</v>
      </c>
      <c r="BK99" t="s">
        <v>173</v>
      </c>
      <c r="BL99" t="s">
        <v>173</v>
      </c>
      <c r="BM99" t="s">
        <v>173</v>
      </c>
      <c r="BN99" t="s">
        <v>173</v>
      </c>
      <c r="BO99" t="s">
        <v>173</v>
      </c>
      <c r="BP99" t="s">
        <v>173</v>
      </c>
      <c r="BQ99" t="s">
        <v>173</v>
      </c>
      <c r="BR99" t="s">
        <v>173</v>
      </c>
      <c r="BS99" t="s">
        <v>173</v>
      </c>
      <c r="BT99" t="s">
        <v>173</v>
      </c>
      <c r="BU99" t="s">
        <v>173</v>
      </c>
      <c r="BV99" t="s">
        <v>173</v>
      </c>
      <c r="BX99" t="s">
        <v>173</v>
      </c>
      <c r="BY99" t="s">
        <v>173</v>
      </c>
      <c r="BZ99" t="s">
        <v>173</v>
      </c>
      <c r="CA99" t="s">
        <v>173</v>
      </c>
      <c r="CB99" t="s">
        <v>173</v>
      </c>
      <c r="CC99" t="s">
        <v>173</v>
      </c>
      <c r="CD99" t="s">
        <v>173</v>
      </c>
      <c r="CE99" t="s">
        <v>173</v>
      </c>
      <c r="CF99" t="s">
        <v>173</v>
      </c>
      <c r="CG99" t="s">
        <v>173</v>
      </c>
      <c r="CH99" t="s">
        <v>173</v>
      </c>
      <c r="CI99" t="s">
        <v>173</v>
      </c>
      <c r="CJ99" t="s">
        <v>173</v>
      </c>
      <c r="CK99" t="s">
        <v>173</v>
      </c>
      <c r="CL99" t="s">
        <v>173</v>
      </c>
      <c r="CM99" t="s">
        <v>173</v>
      </c>
      <c r="CN99" t="s">
        <v>173</v>
      </c>
      <c r="CO99" t="s">
        <v>173</v>
      </c>
      <c r="CP99" t="s">
        <v>173</v>
      </c>
      <c r="CQ99" t="s">
        <v>173</v>
      </c>
      <c r="CR99" t="s">
        <v>173</v>
      </c>
      <c r="CS99" t="s">
        <v>173</v>
      </c>
      <c r="CT99" t="s">
        <v>173</v>
      </c>
      <c r="CU99" t="s">
        <v>173</v>
      </c>
      <c r="CV99" t="s">
        <v>173</v>
      </c>
      <c r="CW99" t="s">
        <v>173</v>
      </c>
      <c r="CX99" t="s">
        <v>173</v>
      </c>
      <c r="CY99" t="s">
        <v>173</v>
      </c>
      <c r="CZ99" t="s">
        <v>173</v>
      </c>
      <c r="DA99" t="s">
        <v>173</v>
      </c>
      <c r="DB99" t="s">
        <v>173</v>
      </c>
      <c r="DC99" t="s">
        <v>173</v>
      </c>
      <c r="DD99" t="s">
        <v>173</v>
      </c>
      <c r="DE99" t="s">
        <v>173</v>
      </c>
      <c r="DF99" t="s">
        <v>173</v>
      </c>
      <c r="DG99" t="s">
        <v>173</v>
      </c>
      <c r="DH99" t="s">
        <v>173</v>
      </c>
    </row>
    <row r="100" spans="1:112">
      <c r="A100">
        <v>64</v>
      </c>
      <c r="B100" t="s">
        <v>368</v>
      </c>
      <c r="C100" t="s">
        <v>369</v>
      </c>
      <c r="D100">
        <v>2024</v>
      </c>
      <c r="E100" t="s">
        <v>370</v>
      </c>
      <c r="F100" t="s">
        <v>371</v>
      </c>
      <c r="G100" t="s">
        <v>172</v>
      </c>
      <c r="H100">
        <v>0.71</v>
      </c>
      <c r="I100" t="s">
        <v>187</v>
      </c>
      <c r="J100" t="s">
        <v>173</v>
      </c>
      <c r="K100" t="s">
        <v>173</v>
      </c>
      <c r="L100" t="s">
        <v>173</v>
      </c>
      <c r="M100" t="s">
        <v>173</v>
      </c>
      <c r="N100" t="s">
        <v>173</v>
      </c>
      <c r="O100" t="s">
        <v>173</v>
      </c>
      <c r="P100" t="s">
        <v>173</v>
      </c>
      <c r="Q100" t="s">
        <v>173</v>
      </c>
      <c r="R100" t="s">
        <v>173</v>
      </c>
      <c r="S100" t="s">
        <v>173</v>
      </c>
      <c r="T100" t="s">
        <v>173</v>
      </c>
      <c r="U100" t="s">
        <v>173</v>
      </c>
      <c r="V100" t="s">
        <v>173</v>
      </c>
      <c r="W100" t="s">
        <v>173</v>
      </c>
      <c r="X100" t="s">
        <v>173</v>
      </c>
      <c r="Y100" t="s">
        <v>173</v>
      </c>
      <c r="Z100" t="s">
        <v>173</v>
      </c>
      <c r="AA100" t="s">
        <v>173</v>
      </c>
      <c r="AB100" t="s">
        <v>173</v>
      </c>
      <c r="AC100" t="s">
        <v>173</v>
      </c>
      <c r="AD100" t="s">
        <v>173</v>
      </c>
      <c r="AE100" t="s">
        <v>173</v>
      </c>
      <c r="AF100" t="s">
        <v>173</v>
      </c>
      <c r="AG100" t="s">
        <v>173</v>
      </c>
      <c r="AH100" t="s">
        <v>173</v>
      </c>
      <c r="AI100" t="s">
        <v>173</v>
      </c>
      <c r="AJ100" t="s">
        <v>173</v>
      </c>
      <c r="AK100" t="s">
        <v>173</v>
      </c>
      <c r="AL100" t="s">
        <v>173</v>
      </c>
      <c r="AM100" t="s">
        <v>173</v>
      </c>
      <c r="AN100" t="s">
        <v>173</v>
      </c>
      <c r="AO100" t="s">
        <v>173</v>
      </c>
      <c r="AP100" t="s">
        <v>173</v>
      </c>
      <c r="AQ100" t="s">
        <v>173</v>
      </c>
      <c r="AR100" t="s">
        <v>173</v>
      </c>
      <c r="AS100" t="s">
        <v>173</v>
      </c>
      <c r="AT100" t="s">
        <v>173</v>
      </c>
      <c r="AU100" t="s">
        <v>173</v>
      </c>
      <c r="AV100" t="s">
        <v>173</v>
      </c>
      <c r="AW100" t="s">
        <v>173</v>
      </c>
      <c r="AX100" t="s">
        <v>173</v>
      </c>
      <c r="AY100" t="s">
        <v>173</v>
      </c>
      <c r="AZ100" t="s">
        <v>173</v>
      </c>
      <c r="BA100" t="s">
        <v>173</v>
      </c>
      <c r="BB100" t="s">
        <v>173</v>
      </c>
      <c r="BC100" t="s">
        <v>173</v>
      </c>
      <c r="BD100" t="s">
        <v>173</v>
      </c>
      <c r="BE100" t="s">
        <v>173</v>
      </c>
      <c r="BF100" t="s">
        <v>173</v>
      </c>
      <c r="BG100" t="s">
        <v>173</v>
      </c>
      <c r="BH100" t="s">
        <v>173</v>
      </c>
      <c r="BI100" t="s">
        <v>173</v>
      </c>
      <c r="BJ100" t="s">
        <v>173</v>
      </c>
      <c r="BK100" t="s">
        <v>173</v>
      </c>
      <c r="BL100" t="s">
        <v>173</v>
      </c>
      <c r="BM100" t="s">
        <v>173</v>
      </c>
      <c r="BN100" t="s">
        <v>173</v>
      </c>
      <c r="BO100" t="s">
        <v>173</v>
      </c>
      <c r="BP100" t="s">
        <v>173</v>
      </c>
      <c r="BQ100" t="s">
        <v>173</v>
      </c>
      <c r="BR100" t="s">
        <v>173</v>
      </c>
      <c r="BS100" t="s">
        <v>173</v>
      </c>
      <c r="BT100" t="s">
        <v>173</v>
      </c>
      <c r="BU100" t="s">
        <v>173</v>
      </c>
      <c r="BV100" t="s">
        <v>173</v>
      </c>
      <c r="BX100" t="s">
        <v>173</v>
      </c>
      <c r="BY100" t="s">
        <v>173</v>
      </c>
      <c r="BZ100" t="s">
        <v>173</v>
      </c>
      <c r="CA100" t="s">
        <v>173</v>
      </c>
      <c r="CB100" t="s">
        <v>173</v>
      </c>
      <c r="CC100" t="s">
        <v>173</v>
      </c>
      <c r="CD100" t="s">
        <v>173</v>
      </c>
      <c r="CE100" t="s">
        <v>173</v>
      </c>
      <c r="CF100" t="s">
        <v>173</v>
      </c>
      <c r="CG100" t="s">
        <v>173</v>
      </c>
      <c r="CH100" t="s">
        <v>173</v>
      </c>
      <c r="CI100" t="s">
        <v>173</v>
      </c>
      <c r="CJ100" t="s">
        <v>173</v>
      </c>
      <c r="CK100" t="s">
        <v>173</v>
      </c>
      <c r="CL100" t="s">
        <v>173</v>
      </c>
      <c r="CM100" t="s">
        <v>173</v>
      </c>
      <c r="CN100" t="s">
        <v>173</v>
      </c>
      <c r="CO100" t="s">
        <v>173</v>
      </c>
      <c r="CP100" t="s">
        <v>173</v>
      </c>
      <c r="CQ100" t="s">
        <v>173</v>
      </c>
      <c r="CR100" t="s">
        <v>173</v>
      </c>
      <c r="CS100" t="s">
        <v>173</v>
      </c>
      <c r="CT100" t="s">
        <v>173</v>
      </c>
      <c r="CU100" t="s">
        <v>173</v>
      </c>
      <c r="CV100" t="s">
        <v>173</v>
      </c>
      <c r="CW100" t="s">
        <v>173</v>
      </c>
      <c r="CX100" t="s">
        <v>173</v>
      </c>
      <c r="CY100" t="s">
        <v>173</v>
      </c>
      <c r="CZ100" t="s">
        <v>173</v>
      </c>
      <c r="DA100" t="s">
        <v>173</v>
      </c>
      <c r="DB100" t="s">
        <v>173</v>
      </c>
      <c r="DC100" t="s">
        <v>173</v>
      </c>
      <c r="DD100" t="s">
        <v>173</v>
      </c>
      <c r="DE100" t="s">
        <v>173</v>
      </c>
      <c r="DF100" t="s">
        <v>173</v>
      </c>
      <c r="DG100" t="s">
        <v>173</v>
      </c>
      <c r="DH100" t="s">
        <v>173</v>
      </c>
    </row>
    <row r="101" spans="1:112">
      <c r="A101">
        <v>64</v>
      </c>
      <c r="B101" t="s">
        <v>368</v>
      </c>
      <c r="C101" t="s">
        <v>369</v>
      </c>
      <c r="D101">
        <v>2024</v>
      </c>
      <c r="E101" t="s">
        <v>370</v>
      </c>
      <c r="F101" t="s">
        <v>371</v>
      </c>
      <c r="G101" t="s">
        <v>172</v>
      </c>
      <c r="H101">
        <v>0.71</v>
      </c>
      <c r="I101" t="s">
        <v>187</v>
      </c>
      <c r="J101" t="s">
        <v>173</v>
      </c>
      <c r="K101" t="s">
        <v>173</v>
      </c>
      <c r="L101" t="s">
        <v>173</v>
      </c>
      <c r="M101" t="s">
        <v>173</v>
      </c>
      <c r="N101" t="s">
        <v>173</v>
      </c>
      <c r="O101" t="s">
        <v>173</v>
      </c>
      <c r="P101" t="s">
        <v>173</v>
      </c>
      <c r="Q101" t="s">
        <v>173</v>
      </c>
      <c r="R101" t="s">
        <v>173</v>
      </c>
      <c r="S101" t="s">
        <v>173</v>
      </c>
      <c r="T101" t="s">
        <v>173</v>
      </c>
      <c r="U101" t="s">
        <v>173</v>
      </c>
      <c r="V101" t="s">
        <v>173</v>
      </c>
      <c r="W101" t="s">
        <v>173</v>
      </c>
      <c r="X101" t="s">
        <v>173</v>
      </c>
      <c r="Y101" t="s">
        <v>173</v>
      </c>
      <c r="Z101" t="s">
        <v>173</v>
      </c>
      <c r="AA101" t="s">
        <v>173</v>
      </c>
      <c r="AB101" t="s">
        <v>173</v>
      </c>
      <c r="AC101" t="s">
        <v>173</v>
      </c>
      <c r="AD101" t="s">
        <v>173</v>
      </c>
      <c r="AE101" t="s">
        <v>173</v>
      </c>
      <c r="AF101" t="s">
        <v>173</v>
      </c>
      <c r="AG101" t="s">
        <v>173</v>
      </c>
      <c r="AH101" t="s">
        <v>173</v>
      </c>
      <c r="AI101" t="s">
        <v>173</v>
      </c>
      <c r="AJ101" t="s">
        <v>173</v>
      </c>
      <c r="AK101" t="s">
        <v>173</v>
      </c>
      <c r="AL101" t="s">
        <v>173</v>
      </c>
      <c r="AM101" t="s">
        <v>173</v>
      </c>
      <c r="AN101" t="s">
        <v>173</v>
      </c>
      <c r="AO101" t="s">
        <v>173</v>
      </c>
      <c r="AP101" t="s">
        <v>173</v>
      </c>
      <c r="AQ101" t="s">
        <v>173</v>
      </c>
      <c r="AR101" t="s">
        <v>173</v>
      </c>
      <c r="AS101" t="s">
        <v>173</v>
      </c>
      <c r="AT101" t="s">
        <v>173</v>
      </c>
      <c r="AU101" t="s">
        <v>173</v>
      </c>
      <c r="AV101" t="s">
        <v>173</v>
      </c>
      <c r="AW101" t="s">
        <v>173</v>
      </c>
      <c r="AX101" t="s">
        <v>173</v>
      </c>
      <c r="AY101" t="s">
        <v>173</v>
      </c>
      <c r="AZ101" t="s">
        <v>173</v>
      </c>
      <c r="BA101" t="s">
        <v>173</v>
      </c>
      <c r="BB101" t="s">
        <v>173</v>
      </c>
      <c r="BC101" t="s">
        <v>173</v>
      </c>
      <c r="BD101" t="s">
        <v>173</v>
      </c>
      <c r="BE101" t="s">
        <v>173</v>
      </c>
      <c r="BF101" t="s">
        <v>173</v>
      </c>
      <c r="BG101" t="s">
        <v>173</v>
      </c>
      <c r="BH101" t="s">
        <v>173</v>
      </c>
      <c r="BI101" t="s">
        <v>173</v>
      </c>
      <c r="BJ101" t="s">
        <v>173</v>
      </c>
      <c r="BK101" t="s">
        <v>173</v>
      </c>
      <c r="BL101" t="s">
        <v>173</v>
      </c>
      <c r="BM101" t="s">
        <v>173</v>
      </c>
      <c r="BN101" t="s">
        <v>173</v>
      </c>
      <c r="BO101" t="s">
        <v>173</v>
      </c>
      <c r="BP101" t="s">
        <v>173</v>
      </c>
      <c r="BQ101" t="s">
        <v>173</v>
      </c>
      <c r="BR101" t="s">
        <v>173</v>
      </c>
      <c r="BS101" t="s">
        <v>173</v>
      </c>
      <c r="BT101" t="s">
        <v>173</v>
      </c>
      <c r="BU101" t="s">
        <v>173</v>
      </c>
      <c r="BV101" t="s">
        <v>173</v>
      </c>
      <c r="BX101" t="s">
        <v>173</v>
      </c>
      <c r="BY101" t="s">
        <v>173</v>
      </c>
      <c r="BZ101" t="s">
        <v>173</v>
      </c>
      <c r="CA101" t="s">
        <v>173</v>
      </c>
      <c r="CB101" t="s">
        <v>173</v>
      </c>
      <c r="CC101" t="s">
        <v>173</v>
      </c>
      <c r="CD101" t="s">
        <v>173</v>
      </c>
      <c r="CE101" t="s">
        <v>173</v>
      </c>
      <c r="CF101" t="s">
        <v>173</v>
      </c>
      <c r="CG101" t="s">
        <v>173</v>
      </c>
      <c r="CH101" t="s">
        <v>173</v>
      </c>
      <c r="CI101" t="s">
        <v>173</v>
      </c>
      <c r="CJ101" t="s">
        <v>173</v>
      </c>
      <c r="CK101" t="s">
        <v>173</v>
      </c>
      <c r="CL101" t="s">
        <v>173</v>
      </c>
      <c r="CM101" t="s">
        <v>173</v>
      </c>
      <c r="CN101" t="s">
        <v>173</v>
      </c>
      <c r="CO101" t="s">
        <v>173</v>
      </c>
      <c r="CP101" t="s">
        <v>173</v>
      </c>
      <c r="CQ101" t="s">
        <v>173</v>
      </c>
      <c r="CR101" t="s">
        <v>173</v>
      </c>
      <c r="CS101" t="s">
        <v>173</v>
      </c>
      <c r="CT101" t="s">
        <v>173</v>
      </c>
      <c r="CU101" t="s">
        <v>173</v>
      </c>
      <c r="CV101" t="s">
        <v>173</v>
      </c>
      <c r="CW101" t="s">
        <v>173</v>
      </c>
      <c r="CX101" t="s">
        <v>173</v>
      </c>
      <c r="CY101" t="s">
        <v>173</v>
      </c>
      <c r="CZ101" t="s">
        <v>173</v>
      </c>
      <c r="DA101" t="s">
        <v>173</v>
      </c>
      <c r="DB101" t="s">
        <v>173</v>
      </c>
      <c r="DC101" t="s">
        <v>173</v>
      </c>
      <c r="DD101" t="s">
        <v>173</v>
      </c>
      <c r="DE101" t="s">
        <v>173</v>
      </c>
      <c r="DF101" t="s">
        <v>173</v>
      </c>
      <c r="DG101" t="s">
        <v>173</v>
      </c>
      <c r="DH101" t="s">
        <v>173</v>
      </c>
    </row>
    <row r="102" spans="1:112">
      <c r="A102">
        <v>65</v>
      </c>
      <c r="B102" t="s">
        <v>372</v>
      </c>
      <c r="C102" t="s">
        <v>373</v>
      </c>
      <c r="D102">
        <v>2024</v>
      </c>
      <c r="E102" t="s">
        <v>374</v>
      </c>
      <c r="F102" t="s">
        <v>375</v>
      </c>
      <c r="G102" t="s">
        <v>172</v>
      </c>
      <c r="H102" t="s">
        <v>173</v>
      </c>
      <c r="I102" t="s">
        <v>174</v>
      </c>
      <c r="J102" t="s">
        <v>173</v>
      </c>
      <c r="K102" t="s">
        <v>173</v>
      </c>
      <c r="L102" t="s">
        <v>173</v>
      </c>
      <c r="M102" t="s">
        <v>173</v>
      </c>
      <c r="N102" t="s">
        <v>173</v>
      </c>
      <c r="O102" t="s">
        <v>173</v>
      </c>
      <c r="P102" t="s">
        <v>173</v>
      </c>
      <c r="Q102" t="s">
        <v>173</v>
      </c>
      <c r="R102" t="s">
        <v>173</v>
      </c>
      <c r="S102" t="s">
        <v>173</v>
      </c>
      <c r="T102" t="s">
        <v>173</v>
      </c>
      <c r="U102" t="s">
        <v>173</v>
      </c>
      <c r="V102" t="s">
        <v>173</v>
      </c>
      <c r="W102" t="s">
        <v>173</v>
      </c>
      <c r="X102" t="s">
        <v>173</v>
      </c>
      <c r="Y102" t="s">
        <v>173</v>
      </c>
      <c r="Z102" t="s">
        <v>173</v>
      </c>
      <c r="AA102" t="s">
        <v>173</v>
      </c>
      <c r="AB102" t="s">
        <v>173</v>
      </c>
      <c r="AC102" t="s">
        <v>173</v>
      </c>
      <c r="AD102" t="s">
        <v>173</v>
      </c>
      <c r="AE102" t="s">
        <v>173</v>
      </c>
      <c r="AF102" t="s">
        <v>173</v>
      </c>
      <c r="AG102" t="s">
        <v>173</v>
      </c>
      <c r="AH102" t="s">
        <v>173</v>
      </c>
      <c r="AI102" t="s">
        <v>173</v>
      </c>
      <c r="AJ102" t="s">
        <v>173</v>
      </c>
      <c r="AK102" t="s">
        <v>173</v>
      </c>
      <c r="AL102" t="s">
        <v>173</v>
      </c>
      <c r="AM102" t="s">
        <v>173</v>
      </c>
      <c r="AN102" t="s">
        <v>173</v>
      </c>
      <c r="AO102" t="s">
        <v>173</v>
      </c>
      <c r="AP102" t="s">
        <v>173</v>
      </c>
      <c r="AQ102" t="s">
        <v>173</v>
      </c>
      <c r="AR102" t="s">
        <v>173</v>
      </c>
      <c r="AS102" t="s">
        <v>173</v>
      </c>
      <c r="AT102" t="s">
        <v>173</v>
      </c>
      <c r="AU102" t="s">
        <v>173</v>
      </c>
      <c r="AV102" t="s">
        <v>173</v>
      </c>
      <c r="AW102" t="s">
        <v>173</v>
      </c>
      <c r="AX102" t="s">
        <v>173</v>
      </c>
      <c r="AY102" t="s">
        <v>173</v>
      </c>
      <c r="AZ102" t="s">
        <v>173</v>
      </c>
      <c r="BA102" t="s">
        <v>173</v>
      </c>
      <c r="BB102" t="s">
        <v>173</v>
      </c>
      <c r="BC102" t="s">
        <v>173</v>
      </c>
      <c r="BD102" t="s">
        <v>173</v>
      </c>
      <c r="BE102" t="s">
        <v>173</v>
      </c>
      <c r="BF102" t="s">
        <v>173</v>
      </c>
      <c r="BG102" t="s">
        <v>173</v>
      </c>
      <c r="BH102" t="s">
        <v>173</v>
      </c>
      <c r="BI102" t="s">
        <v>173</v>
      </c>
      <c r="BJ102" t="s">
        <v>173</v>
      </c>
      <c r="BK102" t="s">
        <v>173</v>
      </c>
      <c r="BL102" t="s">
        <v>173</v>
      </c>
      <c r="BM102" t="s">
        <v>173</v>
      </c>
      <c r="BN102" t="s">
        <v>173</v>
      </c>
      <c r="BO102" t="s">
        <v>173</v>
      </c>
      <c r="BP102" t="s">
        <v>173</v>
      </c>
      <c r="BQ102" t="s">
        <v>173</v>
      </c>
      <c r="BR102" t="s">
        <v>173</v>
      </c>
      <c r="BS102" t="s">
        <v>173</v>
      </c>
      <c r="BT102" t="s">
        <v>173</v>
      </c>
      <c r="BU102" t="s">
        <v>173</v>
      </c>
      <c r="BV102" t="s">
        <v>173</v>
      </c>
      <c r="BX102" t="s">
        <v>173</v>
      </c>
      <c r="BY102" t="s">
        <v>173</v>
      </c>
      <c r="BZ102" t="s">
        <v>173</v>
      </c>
      <c r="CA102" t="s">
        <v>173</v>
      </c>
      <c r="CB102" t="s">
        <v>173</v>
      </c>
      <c r="CC102" t="s">
        <v>173</v>
      </c>
      <c r="CD102" t="s">
        <v>173</v>
      </c>
      <c r="CE102" t="s">
        <v>173</v>
      </c>
      <c r="CF102" t="s">
        <v>173</v>
      </c>
      <c r="CG102" t="s">
        <v>173</v>
      </c>
      <c r="CH102" t="s">
        <v>173</v>
      </c>
      <c r="CI102" t="s">
        <v>173</v>
      </c>
      <c r="CJ102" t="s">
        <v>173</v>
      </c>
      <c r="CK102" t="s">
        <v>173</v>
      </c>
      <c r="CL102" t="s">
        <v>173</v>
      </c>
      <c r="CM102" t="s">
        <v>173</v>
      </c>
      <c r="CN102" t="s">
        <v>173</v>
      </c>
      <c r="CO102" t="s">
        <v>173</v>
      </c>
      <c r="CP102" t="s">
        <v>173</v>
      </c>
      <c r="CQ102" t="s">
        <v>173</v>
      </c>
      <c r="CR102" t="s">
        <v>173</v>
      </c>
      <c r="CS102" t="s">
        <v>173</v>
      </c>
      <c r="CT102" t="s">
        <v>173</v>
      </c>
      <c r="CU102" t="s">
        <v>173</v>
      </c>
      <c r="CV102" t="s">
        <v>173</v>
      </c>
      <c r="CW102" t="s">
        <v>173</v>
      </c>
      <c r="CX102" t="s">
        <v>173</v>
      </c>
      <c r="CY102" t="s">
        <v>173</v>
      </c>
      <c r="CZ102" t="s">
        <v>173</v>
      </c>
      <c r="DA102" t="s">
        <v>173</v>
      </c>
      <c r="DB102" t="s">
        <v>173</v>
      </c>
      <c r="DC102" t="s">
        <v>173</v>
      </c>
      <c r="DD102" t="s">
        <v>173</v>
      </c>
      <c r="DE102" t="s">
        <v>173</v>
      </c>
      <c r="DF102" t="s">
        <v>173</v>
      </c>
      <c r="DG102" t="s">
        <v>173</v>
      </c>
      <c r="DH102" t="s">
        <v>173</v>
      </c>
    </row>
    <row r="103" spans="1:112">
      <c r="A103">
        <v>66</v>
      </c>
      <c r="B103" t="s">
        <v>376</v>
      </c>
      <c r="C103" t="s">
        <v>377</v>
      </c>
      <c r="D103">
        <v>2024</v>
      </c>
      <c r="E103" t="s">
        <v>378</v>
      </c>
      <c r="F103" t="s">
        <v>379</v>
      </c>
      <c r="G103" t="s">
        <v>172</v>
      </c>
      <c r="H103" t="s">
        <v>173</v>
      </c>
      <c r="I103" t="s">
        <v>174</v>
      </c>
      <c r="J103" t="s">
        <v>173</v>
      </c>
      <c r="K103" t="s">
        <v>173</v>
      </c>
      <c r="L103" t="s">
        <v>173</v>
      </c>
      <c r="M103" t="s">
        <v>173</v>
      </c>
      <c r="N103" t="s">
        <v>173</v>
      </c>
      <c r="O103" t="s">
        <v>173</v>
      </c>
      <c r="P103" t="s">
        <v>173</v>
      </c>
      <c r="Q103" t="s">
        <v>173</v>
      </c>
      <c r="R103" t="s">
        <v>173</v>
      </c>
      <c r="S103" t="s">
        <v>173</v>
      </c>
      <c r="T103" t="s">
        <v>173</v>
      </c>
      <c r="U103" t="s">
        <v>173</v>
      </c>
      <c r="V103" t="s">
        <v>173</v>
      </c>
      <c r="W103" t="s">
        <v>173</v>
      </c>
      <c r="X103" t="s">
        <v>173</v>
      </c>
      <c r="Y103" t="s">
        <v>173</v>
      </c>
      <c r="Z103" t="s">
        <v>173</v>
      </c>
      <c r="AA103" t="s">
        <v>173</v>
      </c>
      <c r="AB103" t="s">
        <v>173</v>
      </c>
      <c r="AC103" t="s">
        <v>173</v>
      </c>
      <c r="AD103" t="s">
        <v>173</v>
      </c>
      <c r="AE103" t="s">
        <v>173</v>
      </c>
      <c r="AF103" t="s">
        <v>173</v>
      </c>
      <c r="AG103" t="s">
        <v>173</v>
      </c>
      <c r="AH103" t="s">
        <v>173</v>
      </c>
      <c r="AI103" t="s">
        <v>173</v>
      </c>
      <c r="AJ103" t="s">
        <v>173</v>
      </c>
      <c r="AK103" t="s">
        <v>173</v>
      </c>
      <c r="AL103" t="s">
        <v>173</v>
      </c>
      <c r="AM103" t="s">
        <v>173</v>
      </c>
      <c r="AN103" t="s">
        <v>173</v>
      </c>
      <c r="AO103" t="s">
        <v>173</v>
      </c>
      <c r="AP103" t="s">
        <v>173</v>
      </c>
      <c r="AQ103" t="s">
        <v>173</v>
      </c>
      <c r="AR103" t="s">
        <v>173</v>
      </c>
      <c r="AS103" t="s">
        <v>173</v>
      </c>
      <c r="AT103" t="s">
        <v>173</v>
      </c>
      <c r="AU103" t="s">
        <v>173</v>
      </c>
      <c r="AV103" t="s">
        <v>173</v>
      </c>
      <c r="AW103" t="s">
        <v>173</v>
      </c>
      <c r="AX103" t="s">
        <v>173</v>
      </c>
      <c r="AY103" t="s">
        <v>173</v>
      </c>
      <c r="AZ103" t="s">
        <v>173</v>
      </c>
      <c r="BA103" t="s">
        <v>173</v>
      </c>
      <c r="BB103" t="s">
        <v>173</v>
      </c>
      <c r="BC103" t="s">
        <v>173</v>
      </c>
      <c r="BD103" t="s">
        <v>173</v>
      </c>
      <c r="BE103" t="s">
        <v>173</v>
      </c>
      <c r="BF103" t="s">
        <v>173</v>
      </c>
      <c r="BG103" t="s">
        <v>173</v>
      </c>
      <c r="BH103" t="s">
        <v>173</v>
      </c>
      <c r="BI103" t="s">
        <v>173</v>
      </c>
      <c r="BJ103" t="s">
        <v>173</v>
      </c>
      <c r="BK103" t="s">
        <v>173</v>
      </c>
      <c r="BL103" t="s">
        <v>173</v>
      </c>
      <c r="BM103" t="s">
        <v>173</v>
      </c>
      <c r="BN103" t="s">
        <v>173</v>
      </c>
      <c r="BO103" t="s">
        <v>173</v>
      </c>
      <c r="BP103" t="s">
        <v>173</v>
      </c>
      <c r="BQ103" t="s">
        <v>173</v>
      </c>
      <c r="BR103" t="s">
        <v>173</v>
      </c>
      <c r="BS103" t="s">
        <v>173</v>
      </c>
      <c r="BT103" t="s">
        <v>173</v>
      </c>
      <c r="BU103" t="s">
        <v>173</v>
      </c>
      <c r="BV103" t="s">
        <v>173</v>
      </c>
      <c r="BX103" t="s">
        <v>173</v>
      </c>
      <c r="BY103" t="s">
        <v>173</v>
      </c>
      <c r="BZ103" t="s">
        <v>173</v>
      </c>
      <c r="CA103" t="s">
        <v>173</v>
      </c>
      <c r="CB103" t="s">
        <v>173</v>
      </c>
      <c r="CC103" t="s">
        <v>173</v>
      </c>
      <c r="CD103" t="s">
        <v>173</v>
      </c>
      <c r="CE103" t="s">
        <v>173</v>
      </c>
      <c r="CF103" t="s">
        <v>173</v>
      </c>
      <c r="CG103" t="s">
        <v>173</v>
      </c>
      <c r="CH103" t="s">
        <v>173</v>
      </c>
      <c r="CI103" t="s">
        <v>173</v>
      </c>
      <c r="CJ103" t="s">
        <v>173</v>
      </c>
      <c r="CK103" t="s">
        <v>173</v>
      </c>
      <c r="CL103" t="s">
        <v>173</v>
      </c>
      <c r="CM103" t="s">
        <v>173</v>
      </c>
      <c r="CN103" t="s">
        <v>173</v>
      </c>
      <c r="CO103" t="s">
        <v>173</v>
      </c>
      <c r="CP103" t="s">
        <v>173</v>
      </c>
      <c r="CQ103" t="s">
        <v>173</v>
      </c>
      <c r="CR103" t="s">
        <v>173</v>
      </c>
      <c r="CS103" t="s">
        <v>173</v>
      </c>
      <c r="CT103" t="s">
        <v>173</v>
      </c>
      <c r="CU103" t="s">
        <v>173</v>
      </c>
      <c r="CV103" t="s">
        <v>173</v>
      </c>
      <c r="CW103" t="s">
        <v>173</v>
      </c>
      <c r="CX103" t="s">
        <v>173</v>
      </c>
      <c r="CY103" t="s">
        <v>173</v>
      </c>
      <c r="CZ103" t="s">
        <v>173</v>
      </c>
      <c r="DA103" t="s">
        <v>173</v>
      </c>
      <c r="DB103" t="s">
        <v>173</v>
      </c>
      <c r="DC103" t="s">
        <v>173</v>
      </c>
      <c r="DD103" t="s">
        <v>173</v>
      </c>
      <c r="DE103" t="s">
        <v>173</v>
      </c>
      <c r="DF103" t="s">
        <v>173</v>
      </c>
      <c r="DG103" t="s">
        <v>173</v>
      </c>
      <c r="DH103" t="s">
        <v>173</v>
      </c>
    </row>
    <row r="104" spans="1:112">
      <c r="A104">
        <v>67</v>
      </c>
      <c r="B104" t="s">
        <v>380</v>
      </c>
      <c r="C104" t="s">
        <v>381</v>
      </c>
      <c r="D104">
        <v>2024</v>
      </c>
      <c r="E104" t="s">
        <v>231</v>
      </c>
      <c r="F104" t="s">
        <v>382</v>
      </c>
      <c r="G104" t="s">
        <v>172</v>
      </c>
      <c r="H104" t="s">
        <v>173</v>
      </c>
      <c r="I104" t="s">
        <v>197</v>
      </c>
      <c r="J104" t="s">
        <v>173</v>
      </c>
      <c r="K104" t="s">
        <v>173</v>
      </c>
      <c r="L104" t="s">
        <v>173</v>
      </c>
      <c r="M104" t="s">
        <v>173</v>
      </c>
      <c r="N104" t="s">
        <v>173</v>
      </c>
      <c r="O104" t="s">
        <v>173</v>
      </c>
      <c r="P104" t="s">
        <v>173</v>
      </c>
      <c r="Q104" t="s">
        <v>173</v>
      </c>
      <c r="R104" t="s">
        <v>173</v>
      </c>
      <c r="S104" t="s">
        <v>173</v>
      </c>
      <c r="T104" t="s">
        <v>173</v>
      </c>
      <c r="U104" t="s">
        <v>173</v>
      </c>
      <c r="V104" t="s">
        <v>173</v>
      </c>
      <c r="W104" t="s">
        <v>173</v>
      </c>
      <c r="X104" t="s">
        <v>173</v>
      </c>
      <c r="Y104" t="s">
        <v>173</v>
      </c>
      <c r="Z104" t="s">
        <v>173</v>
      </c>
      <c r="AA104" t="s">
        <v>173</v>
      </c>
      <c r="AB104" t="s">
        <v>173</v>
      </c>
      <c r="AC104" t="s">
        <v>173</v>
      </c>
      <c r="AD104" t="s">
        <v>173</v>
      </c>
      <c r="AE104" t="s">
        <v>173</v>
      </c>
      <c r="AF104" t="s">
        <v>173</v>
      </c>
      <c r="AG104" t="s">
        <v>173</v>
      </c>
      <c r="AH104" t="s">
        <v>173</v>
      </c>
      <c r="AI104" t="s">
        <v>173</v>
      </c>
      <c r="AJ104" t="s">
        <v>173</v>
      </c>
      <c r="AK104" t="s">
        <v>173</v>
      </c>
      <c r="AL104" t="s">
        <v>173</v>
      </c>
      <c r="AM104" t="s">
        <v>173</v>
      </c>
      <c r="AN104" t="s">
        <v>173</v>
      </c>
      <c r="AO104" t="s">
        <v>173</v>
      </c>
      <c r="AP104" t="s">
        <v>173</v>
      </c>
      <c r="AQ104" t="s">
        <v>173</v>
      </c>
      <c r="AR104" t="s">
        <v>173</v>
      </c>
      <c r="AS104" t="s">
        <v>173</v>
      </c>
      <c r="AT104" t="s">
        <v>173</v>
      </c>
      <c r="AU104" t="s">
        <v>173</v>
      </c>
      <c r="AV104" t="s">
        <v>173</v>
      </c>
      <c r="AW104" t="s">
        <v>173</v>
      </c>
      <c r="AX104" t="s">
        <v>173</v>
      </c>
      <c r="AY104" t="s">
        <v>173</v>
      </c>
      <c r="AZ104" t="s">
        <v>173</v>
      </c>
      <c r="BA104" t="s">
        <v>173</v>
      </c>
      <c r="BB104" t="s">
        <v>173</v>
      </c>
      <c r="BC104" t="s">
        <v>173</v>
      </c>
      <c r="BD104" t="s">
        <v>173</v>
      </c>
      <c r="BE104" t="s">
        <v>173</v>
      </c>
      <c r="BF104" t="s">
        <v>173</v>
      </c>
      <c r="BG104" t="s">
        <v>173</v>
      </c>
      <c r="BH104" t="s">
        <v>173</v>
      </c>
      <c r="BI104" t="s">
        <v>173</v>
      </c>
      <c r="BJ104" t="s">
        <v>173</v>
      </c>
      <c r="BK104" t="s">
        <v>173</v>
      </c>
      <c r="BL104" t="s">
        <v>173</v>
      </c>
      <c r="BM104" t="s">
        <v>173</v>
      </c>
      <c r="BN104" t="s">
        <v>173</v>
      </c>
      <c r="BO104" t="s">
        <v>173</v>
      </c>
      <c r="BP104" t="s">
        <v>173</v>
      </c>
      <c r="BQ104" t="s">
        <v>173</v>
      </c>
      <c r="BR104" t="s">
        <v>173</v>
      </c>
      <c r="BS104" t="s">
        <v>173</v>
      </c>
      <c r="BT104" t="s">
        <v>173</v>
      </c>
      <c r="BU104" t="s">
        <v>173</v>
      </c>
      <c r="BV104" t="s">
        <v>173</v>
      </c>
      <c r="BX104" t="s">
        <v>173</v>
      </c>
      <c r="BY104" t="s">
        <v>173</v>
      </c>
      <c r="BZ104" t="s">
        <v>173</v>
      </c>
      <c r="CA104" t="s">
        <v>173</v>
      </c>
      <c r="CB104" t="s">
        <v>173</v>
      </c>
      <c r="CC104" t="s">
        <v>173</v>
      </c>
      <c r="CD104" t="s">
        <v>173</v>
      </c>
      <c r="CE104" t="s">
        <v>173</v>
      </c>
      <c r="CF104" t="s">
        <v>173</v>
      </c>
      <c r="CG104" t="s">
        <v>173</v>
      </c>
      <c r="CH104" t="s">
        <v>173</v>
      </c>
      <c r="CI104" t="s">
        <v>173</v>
      </c>
      <c r="CJ104" t="s">
        <v>173</v>
      </c>
      <c r="CK104" t="s">
        <v>173</v>
      </c>
      <c r="CL104" t="s">
        <v>173</v>
      </c>
      <c r="CM104" t="s">
        <v>173</v>
      </c>
      <c r="CN104" t="s">
        <v>173</v>
      </c>
      <c r="CO104" t="s">
        <v>173</v>
      </c>
      <c r="CP104" t="s">
        <v>173</v>
      </c>
      <c r="CQ104" t="s">
        <v>173</v>
      </c>
      <c r="CR104" t="s">
        <v>173</v>
      </c>
      <c r="CS104" t="s">
        <v>173</v>
      </c>
      <c r="CT104" t="s">
        <v>173</v>
      </c>
      <c r="CU104" t="s">
        <v>173</v>
      </c>
      <c r="CV104" t="s">
        <v>173</v>
      </c>
      <c r="CW104" t="s">
        <v>173</v>
      </c>
      <c r="CX104" t="s">
        <v>173</v>
      </c>
      <c r="CY104" t="s">
        <v>173</v>
      </c>
      <c r="CZ104" t="s">
        <v>173</v>
      </c>
      <c r="DA104" t="s">
        <v>173</v>
      </c>
      <c r="DB104" t="s">
        <v>173</v>
      </c>
      <c r="DC104" t="s">
        <v>173</v>
      </c>
      <c r="DD104" t="s">
        <v>173</v>
      </c>
      <c r="DE104" t="s">
        <v>173</v>
      </c>
      <c r="DF104" t="s">
        <v>173</v>
      </c>
      <c r="DG104" t="s">
        <v>173</v>
      </c>
      <c r="DH104" t="s">
        <v>173</v>
      </c>
    </row>
    <row r="105" spans="1:112">
      <c r="A105">
        <v>68</v>
      </c>
      <c r="B105" t="s">
        <v>383</v>
      </c>
      <c r="C105" t="s">
        <v>384</v>
      </c>
      <c r="D105">
        <v>2024</v>
      </c>
      <c r="E105" t="s">
        <v>385</v>
      </c>
      <c r="F105" t="s">
        <v>386</v>
      </c>
      <c r="G105" t="s">
        <v>172</v>
      </c>
      <c r="H105" t="s">
        <v>173</v>
      </c>
      <c r="I105" t="s">
        <v>174</v>
      </c>
      <c r="J105" t="s">
        <v>173</v>
      </c>
      <c r="K105" t="s">
        <v>173</v>
      </c>
      <c r="L105" t="s">
        <v>173</v>
      </c>
      <c r="M105" t="s">
        <v>173</v>
      </c>
      <c r="N105" t="s">
        <v>173</v>
      </c>
      <c r="O105" t="s">
        <v>173</v>
      </c>
      <c r="P105" t="s">
        <v>173</v>
      </c>
      <c r="Q105" t="s">
        <v>173</v>
      </c>
      <c r="R105" t="s">
        <v>173</v>
      </c>
      <c r="S105" t="s">
        <v>173</v>
      </c>
      <c r="T105" t="s">
        <v>173</v>
      </c>
      <c r="U105" t="s">
        <v>173</v>
      </c>
      <c r="V105" t="s">
        <v>173</v>
      </c>
      <c r="W105" t="s">
        <v>173</v>
      </c>
      <c r="X105" t="s">
        <v>173</v>
      </c>
      <c r="Y105" t="s">
        <v>173</v>
      </c>
      <c r="Z105" t="s">
        <v>173</v>
      </c>
      <c r="AA105" t="s">
        <v>173</v>
      </c>
      <c r="AB105" t="s">
        <v>173</v>
      </c>
      <c r="AC105" t="s">
        <v>173</v>
      </c>
      <c r="AD105" t="s">
        <v>173</v>
      </c>
      <c r="AE105" t="s">
        <v>173</v>
      </c>
      <c r="AF105" t="s">
        <v>173</v>
      </c>
      <c r="AG105" t="s">
        <v>173</v>
      </c>
      <c r="AH105" t="s">
        <v>173</v>
      </c>
      <c r="AI105" t="s">
        <v>173</v>
      </c>
      <c r="AJ105" t="s">
        <v>173</v>
      </c>
      <c r="AK105" t="s">
        <v>173</v>
      </c>
      <c r="AL105" t="s">
        <v>173</v>
      </c>
      <c r="AM105" t="s">
        <v>173</v>
      </c>
      <c r="AN105" t="s">
        <v>173</v>
      </c>
      <c r="AO105" t="s">
        <v>173</v>
      </c>
      <c r="AP105" t="s">
        <v>173</v>
      </c>
      <c r="AQ105" t="s">
        <v>173</v>
      </c>
      <c r="AR105" t="s">
        <v>173</v>
      </c>
      <c r="AS105" t="s">
        <v>173</v>
      </c>
      <c r="AT105" t="s">
        <v>173</v>
      </c>
      <c r="AU105" t="s">
        <v>173</v>
      </c>
      <c r="AV105" t="s">
        <v>173</v>
      </c>
      <c r="AW105" t="s">
        <v>173</v>
      </c>
      <c r="AX105" t="s">
        <v>173</v>
      </c>
      <c r="AY105" t="s">
        <v>173</v>
      </c>
      <c r="AZ105" t="s">
        <v>173</v>
      </c>
      <c r="BA105" t="s">
        <v>173</v>
      </c>
      <c r="BB105" t="s">
        <v>173</v>
      </c>
      <c r="BC105" t="s">
        <v>173</v>
      </c>
      <c r="BD105" t="s">
        <v>173</v>
      </c>
      <c r="BE105" t="s">
        <v>173</v>
      </c>
      <c r="BF105" t="s">
        <v>173</v>
      </c>
      <c r="BG105" t="s">
        <v>173</v>
      </c>
      <c r="BH105" t="s">
        <v>173</v>
      </c>
      <c r="BI105" t="s">
        <v>173</v>
      </c>
      <c r="BJ105" t="s">
        <v>173</v>
      </c>
      <c r="BK105" t="s">
        <v>173</v>
      </c>
      <c r="BL105" t="s">
        <v>173</v>
      </c>
      <c r="BM105" t="s">
        <v>173</v>
      </c>
      <c r="BN105" t="s">
        <v>173</v>
      </c>
      <c r="BO105" t="s">
        <v>173</v>
      </c>
      <c r="BP105" t="s">
        <v>173</v>
      </c>
      <c r="BQ105" t="s">
        <v>173</v>
      </c>
      <c r="BR105" t="s">
        <v>173</v>
      </c>
      <c r="BS105" t="s">
        <v>173</v>
      </c>
      <c r="BT105" t="s">
        <v>173</v>
      </c>
      <c r="BU105" t="s">
        <v>173</v>
      </c>
      <c r="BV105" t="s">
        <v>173</v>
      </c>
      <c r="BX105" t="s">
        <v>173</v>
      </c>
      <c r="BY105" t="s">
        <v>173</v>
      </c>
      <c r="BZ105" t="s">
        <v>173</v>
      </c>
      <c r="CA105" t="s">
        <v>173</v>
      </c>
      <c r="CB105" t="s">
        <v>173</v>
      </c>
      <c r="CC105" t="s">
        <v>173</v>
      </c>
      <c r="CD105" t="s">
        <v>173</v>
      </c>
      <c r="CE105" t="s">
        <v>173</v>
      </c>
      <c r="CF105" t="s">
        <v>173</v>
      </c>
      <c r="CG105" t="s">
        <v>173</v>
      </c>
      <c r="CH105" t="s">
        <v>173</v>
      </c>
      <c r="CI105" t="s">
        <v>173</v>
      </c>
      <c r="CJ105" t="s">
        <v>173</v>
      </c>
      <c r="CK105" t="s">
        <v>173</v>
      </c>
      <c r="CL105" t="s">
        <v>173</v>
      </c>
      <c r="CM105" t="s">
        <v>173</v>
      </c>
      <c r="CN105" t="s">
        <v>173</v>
      </c>
      <c r="CO105" t="s">
        <v>173</v>
      </c>
      <c r="CP105" t="s">
        <v>173</v>
      </c>
      <c r="CQ105" t="s">
        <v>173</v>
      </c>
      <c r="CR105" t="s">
        <v>173</v>
      </c>
      <c r="CS105" t="s">
        <v>173</v>
      </c>
      <c r="CT105" t="s">
        <v>173</v>
      </c>
      <c r="CU105" t="s">
        <v>173</v>
      </c>
      <c r="CV105" t="s">
        <v>173</v>
      </c>
      <c r="CW105" t="s">
        <v>173</v>
      </c>
      <c r="CX105" t="s">
        <v>173</v>
      </c>
      <c r="CY105" t="s">
        <v>173</v>
      </c>
      <c r="CZ105" t="s">
        <v>173</v>
      </c>
      <c r="DA105" t="s">
        <v>173</v>
      </c>
      <c r="DB105" t="s">
        <v>173</v>
      </c>
      <c r="DC105" t="s">
        <v>173</v>
      </c>
      <c r="DD105" t="s">
        <v>173</v>
      </c>
      <c r="DE105" t="s">
        <v>173</v>
      </c>
      <c r="DF105" t="s">
        <v>173</v>
      </c>
      <c r="DG105" t="s">
        <v>173</v>
      </c>
      <c r="DH105" t="s">
        <v>173</v>
      </c>
    </row>
    <row r="106" spans="1:112">
      <c r="A106">
        <v>69</v>
      </c>
      <c r="B106" t="s">
        <v>387</v>
      </c>
      <c r="C106" t="s">
        <v>388</v>
      </c>
      <c r="D106">
        <v>2024</v>
      </c>
      <c r="E106" t="s">
        <v>389</v>
      </c>
      <c r="F106" t="s">
        <v>390</v>
      </c>
      <c r="G106" t="s">
        <v>172</v>
      </c>
      <c r="H106" t="s">
        <v>173</v>
      </c>
      <c r="I106" t="s">
        <v>174</v>
      </c>
      <c r="J106" t="s">
        <v>173</v>
      </c>
      <c r="K106" t="s">
        <v>173</v>
      </c>
      <c r="L106" t="s">
        <v>173</v>
      </c>
      <c r="M106" t="s">
        <v>173</v>
      </c>
      <c r="N106" t="s">
        <v>173</v>
      </c>
      <c r="O106" t="s">
        <v>173</v>
      </c>
      <c r="P106" t="s">
        <v>173</v>
      </c>
      <c r="Q106" t="s">
        <v>173</v>
      </c>
      <c r="R106" t="s">
        <v>173</v>
      </c>
      <c r="S106" t="s">
        <v>173</v>
      </c>
      <c r="T106" t="s">
        <v>173</v>
      </c>
      <c r="U106" t="s">
        <v>173</v>
      </c>
      <c r="V106" t="s">
        <v>173</v>
      </c>
      <c r="W106" t="s">
        <v>173</v>
      </c>
      <c r="X106" t="s">
        <v>173</v>
      </c>
      <c r="Y106" t="s">
        <v>173</v>
      </c>
      <c r="Z106" t="s">
        <v>173</v>
      </c>
      <c r="AA106" t="s">
        <v>173</v>
      </c>
      <c r="AB106" t="s">
        <v>173</v>
      </c>
      <c r="AC106" t="s">
        <v>173</v>
      </c>
      <c r="AD106" t="s">
        <v>173</v>
      </c>
      <c r="AE106" t="s">
        <v>173</v>
      </c>
      <c r="AF106" t="s">
        <v>173</v>
      </c>
      <c r="AG106" t="s">
        <v>173</v>
      </c>
      <c r="AH106" t="s">
        <v>173</v>
      </c>
      <c r="AI106" t="s">
        <v>173</v>
      </c>
      <c r="AJ106" t="s">
        <v>173</v>
      </c>
      <c r="AK106" t="s">
        <v>173</v>
      </c>
      <c r="AL106" t="s">
        <v>173</v>
      </c>
      <c r="AM106" t="s">
        <v>173</v>
      </c>
      <c r="AN106" t="s">
        <v>173</v>
      </c>
      <c r="AO106" t="s">
        <v>173</v>
      </c>
      <c r="AP106" t="s">
        <v>173</v>
      </c>
      <c r="AQ106" t="s">
        <v>173</v>
      </c>
      <c r="AR106" t="s">
        <v>173</v>
      </c>
      <c r="AS106" t="s">
        <v>173</v>
      </c>
      <c r="AT106" t="s">
        <v>173</v>
      </c>
      <c r="AU106" t="s">
        <v>173</v>
      </c>
      <c r="AV106" t="s">
        <v>173</v>
      </c>
      <c r="AW106" t="s">
        <v>173</v>
      </c>
      <c r="AX106" t="s">
        <v>173</v>
      </c>
      <c r="AY106" t="s">
        <v>173</v>
      </c>
      <c r="AZ106" t="s">
        <v>173</v>
      </c>
      <c r="BA106" t="s">
        <v>173</v>
      </c>
      <c r="BB106" t="s">
        <v>173</v>
      </c>
      <c r="BC106" t="s">
        <v>173</v>
      </c>
      <c r="BD106" t="s">
        <v>173</v>
      </c>
      <c r="BE106" t="s">
        <v>173</v>
      </c>
      <c r="BF106" t="s">
        <v>173</v>
      </c>
      <c r="BG106" t="s">
        <v>173</v>
      </c>
      <c r="BH106" t="s">
        <v>173</v>
      </c>
      <c r="BI106" t="s">
        <v>173</v>
      </c>
      <c r="BJ106" t="s">
        <v>173</v>
      </c>
      <c r="BK106" t="s">
        <v>173</v>
      </c>
      <c r="BL106" t="s">
        <v>173</v>
      </c>
      <c r="BM106" t="s">
        <v>173</v>
      </c>
      <c r="BN106" t="s">
        <v>173</v>
      </c>
      <c r="BO106" t="s">
        <v>173</v>
      </c>
      <c r="BP106" t="s">
        <v>173</v>
      </c>
      <c r="BQ106" t="s">
        <v>173</v>
      </c>
      <c r="BR106" t="s">
        <v>173</v>
      </c>
      <c r="BS106" t="s">
        <v>173</v>
      </c>
      <c r="BT106" t="s">
        <v>173</v>
      </c>
      <c r="BU106" t="s">
        <v>173</v>
      </c>
      <c r="BV106" t="s">
        <v>173</v>
      </c>
      <c r="BX106" t="s">
        <v>173</v>
      </c>
      <c r="BY106" t="s">
        <v>173</v>
      </c>
      <c r="BZ106" t="s">
        <v>173</v>
      </c>
      <c r="CA106" t="s">
        <v>173</v>
      </c>
      <c r="CB106" t="s">
        <v>173</v>
      </c>
      <c r="CC106" t="s">
        <v>173</v>
      </c>
      <c r="CD106" t="s">
        <v>173</v>
      </c>
      <c r="CE106" t="s">
        <v>173</v>
      </c>
      <c r="CF106" t="s">
        <v>173</v>
      </c>
      <c r="CG106" t="s">
        <v>173</v>
      </c>
      <c r="CH106" t="s">
        <v>173</v>
      </c>
      <c r="CI106" t="s">
        <v>173</v>
      </c>
      <c r="CJ106" t="s">
        <v>173</v>
      </c>
      <c r="CK106" t="s">
        <v>173</v>
      </c>
      <c r="CL106" t="s">
        <v>173</v>
      </c>
      <c r="CM106" t="s">
        <v>173</v>
      </c>
      <c r="CN106" t="s">
        <v>173</v>
      </c>
      <c r="CO106" t="s">
        <v>173</v>
      </c>
      <c r="CP106" t="s">
        <v>173</v>
      </c>
      <c r="CQ106" t="s">
        <v>173</v>
      </c>
      <c r="CR106" t="s">
        <v>173</v>
      </c>
      <c r="CS106" t="s">
        <v>173</v>
      </c>
      <c r="CT106" t="s">
        <v>173</v>
      </c>
      <c r="CU106" t="s">
        <v>173</v>
      </c>
      <c r="CV106" t="s">
        <v>173</v>
      </c>
      <c r="CW106" t="s">
        <v>173</v>
      </c>
      <c r="CX106" t="s">
        <v>173</v>
      </c>
      <c r="CY106" t="s">
        <v>173</v>
      </c>
      <c r="CZ106" t="s">
        <v>173</v>
      </c>
      <c r="DA106" t="s">
        <v>173</v>
      </c>
      <c r="DB106" t="s">
        <v>173</v>
      </c>
      <c r="DC106" t="s">
        <v>173</v>
      </c>
      <c r="DD106" t="s">
        <v>173</v>
      </c>
      <c r="DE106" t="s">
        <v>173</v>
      </c>
      <c r="DF106" t="s">
        <v>173</v>
      </c>
      <c r="DG106" t="s">
        <v>173</v>
      </c>
      <c r="DH106" t="s">
        <v>173</v>
      </c>
    </row>
    <row r="107" spans="1:112">
      <c r="A107">
        <v>70</v>
      </c>
      <c r="B107" t="s">
        <v>391</v>
      </c>
      <c r="C107" t="s">
        <v>392</v>
      </c>
      <c r="D107">
        <v>2024</v>
      </c>
      <c r="E107" t="s">
        <v>378</v>
      </c>
      <c r="F107" t="s">
        <v>393</v>
      </c>
      <c r="G107" t="s">
        <v>172</v>
      </c>
      <c r="H107" t="s">
        <v>173</v>
      </c>
      <c r="I107" t="s">
        <v>174</v>
      </c>
      <c r="J107" t="s">
        <v>173</v>
      </c>
      <c r="K107" t="s">
        <v>173</v>
      </c>
      <c r="L107" t="s">
        <v>173</v>
      </c>
      <c r="M107" t="s">
        <v>173</v>
      </c>
      <c r="N107" t="s">
        <v>173</v>
      </c>
      <c r="O107" t="s">
        <v>173</v>
      </c>
      <c r="P107" t="s">
        <v>173</v>
      </c>
      <c r="Q107" t="s">
        <v>173</v>
      </c>
      <c r="R107" t="s">
        <v>173</v>
      </c>
      <c r="S107" t="s">
        <v>173</v>
      </c>
      <c r="T107" t="s">
        <v>173</v>
      </c>
      <c r="U107" t="s">
        <v>173</v>
      </c>
      <c r="V107" t="s">
        <v>173</v>
      </c>
      <c r="W107" t="s">
        <v>173</v>
      </c>
      <c r="X107" t="s">
        <v>173</v>
      </c>
      <c r="Y107" t="s">
        <v>173</v>
      </c>
      <c r="Z107" t="s">
        <v>173</v>
      </c>
      <c r="AA107" t="s">
        <v>173</v>
      </c>
      <c r="AB107" t="s">
        <v>173</v>
      </c>
      <c r="AC107" t="s">
        <v>173</v>
      </c>
      <c r="AD107" t="s">
        <v>173</v>
      </c>
      <c r="AE107" t="s">
        <v>173</v>
      </c>
      <c r="AF107" t="s">
        <v>173</v>
      </c>
      <c r="AG107" t="s">
        <v>173</v>
      </c>
      <c r="AH107" t="s">
        <v>173</v>
      </c>
      <c r="AI107" t="s">
        <v>173</v>
      </c>
      <c r="AJ107" t="s">
        <v>173</v>
      </c>
      <c r="AK107" t="s">
        <v>173</v>
      </c>
      <c r="AL107" t="s">
        <v>173</v>
      </c>
      <c r="AM107" t="s">
        <v>173</v>
      </c>
      <c r="AN107" t="s">
        <v>173</v>
      </c>
      <c r="AO107" t="s">
        <v>173</v>
      </c>
      <c r="AP107" t="s">
        <v>173</v>
      </c>
      <c r="AQ107" t="s">
        <v>173</v>
      </c>
      <c r="AR107" t="s">
        <v>173</v>
      </c>
      <c r="AS107" t="s">
        <v>173</v>
      </c>
      <c r="AT107" t="s">
        <v>173</v>
      </c>
      <c r="AU107" t="s">
        <v>173</v>
      </c>
      <c r="AV107" t="s">
        <v>173</v>
      </c>
      <c r="AW107" t="s">
        <v>173</v>
      </c>
      <c r="AX107" t="s">
        <v>173</v>
      </c>
      <c r="AY107" t="s">
        <v>173</v>
      </c>
      <c r="AZ107" t="s">
        <v>173</v>
      </c>
      <c r="BA107" t="s">
        <v>173</v>
      </c>
      <c r="BB107" t="s">
        <v>173</v>
      </c>
      <c r="BC107" t="s">
        <v>173</v>
      </c>
      <c r="BD107" t="s">
        <v>173</v>
      </c>
      <c r="BE107" t="s">
        <v>173</v>
      </c>
      <c r="BF107" t="s">
        <v>173</v>
      </c>
      <c r="BG107" t="s">
        <v>173</v>
      </c>
      <c r="BH107" t="s">
        <v>173</v>
      </c>
      <c r="BI107" t="s">
        <v>173</v>
      </c>
      <c r="BJ107" t="s">
        <v>173</v>
      </c>
      <c r="BK107" t="s">
        <v>173</v>
      </c>
      <c r="BL107" t="s">
        <v>173</v>
      </c>
      <c r="BM107" t="s">
        <v>173</v>
      </c>
      <c r="BN107" t="s">
        <v>173</v>
      </c>
      <c r="BO107" t="s">
        <v>173</v>
      </c>
      <c r="BP107" t="s">
        <v>173</v>
      </c>
      <c r="BQ107" t="s">
        <v>173</v>
      </c>
      <c r="BR107" t="s">
        <v>173</v>
      </c>
      <c r="BS107" t="s">
        <v>173</v>
      </c>
      <c r="BT107" t="s">
        <v>173</v>
      </c>
      <c r="BU107" t="s">
        <v>173</v>
      </c>
      <c r="BV107" t="s">
        <v>173</v>
      </c>
      <c r="BX107" t="s">
        <v>173</v>
      </c>
      <c r="BY107" t="s">
        <v>173</v>
      </c>
      <c r="BZ107" t="s">
        <v>173</v>
      </c>
      <c r="CA107" t="s">
        <v>173</v>
      </c>
      <c r="CB107" t="s">
        <v>173</v>
      </c>
      <c r="CC107" t="s">
        <v>173</v>
      </c>
      <c r="CD107" t="s">
        <v>173</v>
      </c>
      <c r="CE107" t="s">
        <v>173</v>
      </c>
      <c r="CF107" t="s">
        <v>173</v>
      </c>
      <c r="CG107" t="s">
        <v>173</v>
      </c>
      <c r="CH107" t="s">
        <v>173</v>
      </c>
      <c r="CI107" t="s">
        <v>173</v>
      </c>
      <c r="CJ107" t="s">
        <v>173</v>
      </c>
      <c r="CK107" t="s">
        <v>173</v>
      </c>
      <c r="CL107" t="s">
        <v>173</v>
      </c>
      <c r="CM107" t="s">
        <v>173</v>
      </c>
      <c r="CN107" t="s">
        <v>173</v>
      </c>
      <c r="CO107" t="s">
        <v>173</v>
      </c>
      <c r="CP107" t="s">
        <v>173</v>
      </c>
      <c r="CQ107" t="s">
        <v>173</v>
      </c>
      <c r="CR107" t="s">
        <v>173</v>
      </c>
      <c r="CS107" t="s">
        <v>173</v>
      </c>
      <c r="CT107" t="s">
        <v>173</v>
      </c>
      <c r="CU107" t="s">
        <v>173</v>
      </c>
      <c r="CV107" t="s">
        <v>173</v>
      </c>
      <c r="CW107" t="s">
        <v>173</v>
      </c>
      <c r="CX107" t="s">
        <v>173</v>
      </c>
      <c r="CY107" t="s">
        <v>173</v>
      </c>
      <c r="CZ107" t="s">
        <v>173</v>
      </c>
      <c r="DA107" t="s">
        <v>173</v>
      </c>
      <c r="DB107" t="s">
        <v>173</v>
      </c>
      <c r="DC107" t="s">
        <v>173</v>
      </c>
      <c r="DD107" t="s">
        <v>173</v>
      </c>
      <c r="DE107" t="s">
        <v>173</v>
      </c>
      <c r="DF107" t="s">
        <v>173</v>
      </c>
      <c r="DG107" t="s">
        <v>173</v>
      </c>
      <c r="DH107" t="s">
        <v>173</v>
      </c>
    </row>
    <row r="108" spans="1:112">
      <c r="A108">
        <v>74</v>
      </c>
      <c r="B108" t="s">
        <v>394</v>
      </c>
      <c r="C108" t="s">
        <v>395</v>
      </c>
      <c r="D108">
        <v>2024</v>
      </c>
      <c r="E108" t="s">
        <v>177</v>
      </c>
      <c r="F108" t="s">
        <v>396</v>
      </c>
      <c r="G108" t="s">
        <v>172</v>
      </c>
      <c r="H108" t="s">
        <v>173</v>
      </c>
      <c r="I108" t="s">
        <v>197</v>
      </c>
      <c r="J108" t="s">
        <v>173</v>
      </c>
      <c r="K108" t="s">
        <v>173</v>
      </c>
      <c r="L108" t="s">
        <v>173</v>
      </c>
      <c r="M108" t="s">
        <v>173</v>
      </c>
      <c r="N108" t="s">
        <v>173</v>
      </c>
      <c r="O108" t="s">
        <v>173</v>
      </c>
      <c r="P108" t="s">
        <v>173</v>
      </c>
      <c r="Q108" t="s">
        <v>173</v>
      </c>
      <c r="R108" t="s">
        <v>173</v>
      </c>
      <c r="S108" t="s">
        <v>173</v>
      </c>
      <c r="T108" t="s">
        <v>173</v>
      </c>
      <c r="U108" t="s">
        <v>173</v>
      </c>
      <c r="V108" t="s">
        <v>173</v>
      </c>
      <c r="W108" t="s">
        <v>173</v>
      </c>
      <c r="X108" t="s">
        <v>173</v>
      </c>
      <c r="Y108" t="s">
        <v>173</v>
      </c>
      <c r="Z108" t="s">
        <v>173</v>
      </c>
      <c r="AA108" t="s">
        <v>173</v>
      </c>
      <c r="AB108" t="s">
        <v>173</v>
      </c>
      <c r="AC108" t="s">
        <v>173</v>
      </c>
      <c r="AD108" t="s">
        <v>173</v>
      </c>
      <c r="AE108" t="s">
        <v>173</v>
      </c>
      <c r="AF108" t="s">
        <v>173</v>
      </c>
      <c r="AG108" t="s">
        <v>173</v>
      </c>
      <c r="AH108" t="s">
        <v>173</v>
      </c>
      <c r="AI108" t="s">
        <v>173</v>
      </c>
      <c r="AJ108" t="s">
        <v>173</v>
      </c>
      <c r="AK108" t="s">
        <v>173</v>
      </c>
      <c r="AL108" t="s">
        <v>173</v>
      </c>
      <c r="AM108" t="s">
        <v>173</v>
      </c>
      <c r="AN108" t="s">
        <v>173</v>
      </c>
      <c r="AO108" t="s">
        <v>173</v>
      </c>
      <c r="AP108" t="s">
        <v>173</v>
      </c>
      <c r="AQ108" t="s">
        <v>173</v>
      </c>
      <c r="AR108" t="s">
        <v>173</v>
      </c>
      <c r="AS108" t="s">
        <v>173</v>
      </c>
      <c r="AT108" t="s">
        <v>173</v>
      </c>
      <c r="AU108" t="s">
        <v>173</v>
      </c>
      <c r="AV108" t="s">
        <v>173</v>
      </c>
      <c r="AW108" t="s">
        <v>173</v>
      </c>
      <c r="AX108" t="s">
        <v>173</v>
      </c>
      <c r="AY108" t="s">
        <v>173</v>
      </c>
      <c r="AZ108" t="s">
        <v>173</v>
      </c>
      <c r="BA108" t="s">
        <v>173</v>
      </c>
      <c r="BB108" t="s">
        <v>173</v>
      </c>
      <c r="BC108" t="s">
        <v>173</v>
      </c>
      <c r="BD108" t="s">
        <v>173</v>
      </c>
      <c r="BE108" t="s">
        <v>173</v>
      </c>
      <c r="BF108" t="s">
        <v>173</v>
      </c>
      <c r="BG108" t="s">
        <v>173</v>
      </c>
      <c r="BH108" t="s">
        <v>173</v>
      </c>
      <c r="BI108" t="s">
        <v>173</v>
      </c>
      <c r="BJ108" t="s">
        <v>173</v>
      </c>
      <c r="BK108" t="s">
        <v>173</v>
      </c>
      <c r="BL108" t="s">
        <v>173</v>
      </c>
      <c r="BM108" t="s">
        <v>173</v>
      </c>
      <c r="BN108" t="s">
        <v>173</v>
      </c>
      <c r="BO108" t="s">
        <v>173</v>
      </c>
      <c r="BP108" t="s">
        <v>173</v>
      </c>
      <c r="BQ108" t="s">
        <v>173</v>
      </c>
      <c r="BR108" t="s">
        <v>173</v>
      </c>
      <c r="BS108" t="s">
        <v>173</v>
      </c>
      <c r="BT108" t="s">
        <v>173</v>
      </c>
      <c r="BU108" t="s">
        <v>173</v>
      </c>
      <c r="BV108" t="s">
        <v>173</v>
      </c>
      <c r="BX108" t="s">
        <v>173</v>
      </c>
      <c r="BY108" t="s">
        <v>173</v>
      </c>
      <c r="BZ108" t="s">
        <v>173</v>
      </c>
      <c r="CA108" t="s">
        <v>173</v>
      </c>
      <c r="CB108" t="s">
        <v>173</v>
      </c>
      <c r="CC108" t="s">
        <v>173</v>
      </c>
      <c r="CD108" t="s">
        <v>173</v>
      </c>
      <c r="CE108" t="s">
        <v>173</v>
      </c>
      <c r="CF108" t="s">
        <v>173</v>
      </c>
      <c r="CG108" t="s">
        <v>173</v>
      </c>
      <c r="CH108" t="s">
        <v>173</v>
      </c>
      <c r="CI108" t="s">
        <v>173</v>
      </c>
      <c r="CJ108" t="s">
        <v>173</v>
      </c>
      <c r="CK108" t="s">
        <v>173</v>
      </c>
      <c r="CL108" t="s">
        <v>173</v>
      </c>
      <c r="CM108" t="s">
        <v>173</v>
      </c>
      <c r="CN108" t="s">
        <v>173</v>
      </c>
      <c r="CO108" t="s">
        <v>173</v>
      </c>
      <c r="CP108" t="s">
        <v>173</v>
      </c>
      <c r="CQ108" t="s">
        <v>173</v>
      </c>
      <c r="CR108" t="s">
        <v>173</v>
      </c>
      <c r="CS108" t="s">
        <v>173</v>
      </c>
      <c r="CT108" t="s">
        <v>173</v>
      </c>
      <c r="CU108" t="s">
        <v>173</v>
      </c>
      <c r="CV108" t="s">
        <v>173</v>
      </c>
      <c r="CW108" t="s">
        <v>173</v>
      </c>
      <c r="CX108" t="s">
        <v>173</v>
      </c>
      <c r="CY108" t="s">
        <v>173</v>
      </c>
      <c r="CZ108" t="s">
        <v>173</v>
      </c>
      <c r="DA108" t="s">
        <v>173</v>
      </c>
      <c r="DB108" t="s">
        <v>173</v>
      </c>
      <c r="DC108" t="s">
        <v>173</v>
      </c>
      <c r="DD108" t="s">
        <v>173</v>
      </c>
      <c r="DE108" t="s">
        <v>173</v>
      </c>
      <c r="DF108" t="s">
        <v>173</v>
      </c>
      <c r="DG108" t="s">
        <v>173</v>
      </c>
      <c r="DH108" t="s">
        <v>173</v>
      </c>
    </row>
    <row r="109" spans="1:112">
      <c r="A109">
        <v>75</v>
      </c>
      <c r="B109" t="s">
        <v>397</v>
      </c>
      <c r="C109" t="s">
        <v>398</v>
      </c>
      <c r="D109">
        <v>2024</v>
      </c>
      <c r="E109" t="s">
        <v>399</v>
      </c>
      <c r="F109" t="s">
        <v>400</v>
      </c>
      <c r="G109" t="s">
        <v>172</v>
      </c>
      <c r="H109" t="s">
        <v>173</v>
      </c>
      <c r="I109" t="s">
        <v>174</v>
      </c>
      <c r="J109" t="s">
        <v>173</v>
      </c>
      <c r="K109" t="s">
        <v>173</v>
      </c>
      <c r="L109" t="s">
        <v>173</v>
      </c>
      <c r="M109" t="s">
        <v>173</v>
      </c>
      <c r="N109" t="s">
        <v>173</v>
      </c>
      <c r="O109" t="s">
        <v>173</v>
      </c>
      <c r="P109" t="s">
        <v>173</v>
      </c>
      <c r="Q109" t="s">
        <v>173</v>
      </c>
      <c r="R109" t="s">
        <v>173</v>
      </c>
      <c r="S109" t="s">
        <v>173</v>
      </c>
      <c r="T109" t="s">
        <v>173</v>
      </c>
      <c r="U109" t="s">
        <v>173</v>
      </c>
      <c r="V109" t="s">
        <v>173</v>
      </c>
      <c r="W109" t="s">
        <v>173</v>
      </c>
      <c r="X109" t="s">
        <v>173</v>
      </c>
      <c r="Y109" t="s">
        <v>173</v>
      </c>
      <c r="Z109" t="s">
        <v>173</v>
      </c>
      <c r="AA109" t="s">
        <v>173</v>
      </c>
      <c r="AB109" t="s">
        <v>173</v>
      </c>
      <c r="AC109" t="s">
        <v>173</v>
      </c>
      <c r="AD109" t="s">
        <v>173</v>
      </c>
      <c r="AE109" t="s">
        <v>173</v>
      </c>
      <c r="AF109" t="s">
        <v>173</v>
      </c>
      <c r="AG109" t="s">
        <v>173</v>
      </c>
      <c r="AH109" t="s">
        <v>173</v>
      </c>
      <c r="AI109" t="s">
        <v>173</v>
      </c>
      <c r="AJ109" t="s">
        <v>173</v>
      </c>
      <c r="AK109" t="s">
        <v>173</v>
      </c>
      <c r="AL109" t="s">
        <v>173</v>
      </c>
      <c r="AM109" t="s">
        <v>173</v>
      </c>
      <c r="AN109" t="s">
        <v>173</v>
      </c>
      <c r="AO109" t="s">
        <v>173</v>
      </c>
      <c r="AP109" t="s">
        <v>173</v>
      </c>
      <c r="AQ109" t="s">
        <v>173</v>
      </c>
      <c r="AR109" t="s">
        <v>173</v>
      </c>
      <c r="AS109" t="s">
        <v>173</v>
      </c>
      <c r="AT109" t="s">
        <v>173</v>
      </c>
      <c r="AU109" t="s">
        <v>173</v>
      </c>
      <c r="AV109" t="s">
        <v>173</v>
      </c>
      <c r="AW109" t="s">
        <v>173</v>
      </c>
      <c r="AX109" t="s">
        <v>173</v>
      </c>
      <c r="AY109" t="s">
        <v>173</v>
      </c>
      <c r="AZ109" t="s">
        <v>173</v>
      </c>
      <c r="BA109" t="s">
        <v>173</v>
      </c>
      <c r="BB109" t="s">
        <v>173</v>
      </c>
      <c r="BC109" t="s">
        <v>173</v>
      </c>
      <c r="BD109" t="s">
        <v>173</v>
      </c>
      <c r="BE109" t="s">
        <v>173</v>
      </c>
      <c r="BF109" t="s">
        <v>173</v>
      </c>
      <c r="BG109" t="s">
        <v>173</v>
      </c>
      <c r="BH109" t="s">
        <v>173</v>
      </c>
      <c r="BI109" t="s">
        <v>173</v>
      </c>
      <c r="BJ109" t="s">
        <v>173</v>
      </c>
      <c r="BK109" t="s">
        <v>173</v>
      </c>
      <c r="BL109" t="s">
        <v>173</v>
      </c>
      <c r="BM109" t="s">
        <v>173</v>
      </c>
      <c r="BN109" t="s">
        <v>173</v>
      </c>
      <c r="BO109" t="s">
        <v>173</v>
      </c>
      <c r="BP109" t="s">
        <v>173</v>
      </c>
      <c r="BQ109" t="s">
        <v>173</v>
      </c>
      <c r="BR109" t="s">
        <v>173</v>
      </c>
      <c r="BS109" t="s">
        <v>173</v>
      </c>
      <c r="BT109" t="s">
        <v>173</v>
      </c>
      <c r="BU109" t="s">
        <v>173</v>
      </c>
      <c r="BV109" t="s">
        <v>173</v>
      </c>
      <c r="BX109" t="s">
        <v>173</v>
      </c>
      <c r="BY109" t="s">
        <v>173</v>
      </c>
      <c r="BZ109" t="s">
        <v>173</v>
      </c>
      <c r="CA109" t="s">
        <v>173</v>
      </c>
      <c r="CB109" t="s">
        <v>173</v>
      </c>
      <c r="CC109" t="s">
        <v>173</v>
      </c>
      <c r="CD109" t="s">
        <v>173</v>
      </c>
      <c r="CE109" t="s">
        <v>173</v>
      </c>
      <c r="CF109" t="s">
        <v>173</v>
      </c>
      <c r="CG109" t="s">
        <v>173</v>
      </c>
      <c r="CH109" t="s">
        <v>173</v>
      </c>
      <c r="CI109" t="s">
        <v>173</v>
      </c>
      <c r="CJ109" t="s">
        <v>173</v>
      </c>
      <c r="CK109" t="s">
        <v>173</v>
      </c>
      <c r="CL109" t="s">
        <v>173</v>
      </c>
      <c r="CM109" t="s">
        <v>173</v>
      </c>
      <c r="CN109" t="s">
        <v>173</v>
      </c>
      <c r="CO109" t="s">
        <v>173</v>
      </c>
      <c r="CP109" t="s">
        <v>173</v>
      </c>
      <c r="CQ109" t="s">
        <v>173</v>
      </c>
      <c r="CR109" t="s">
        <v>173</v>
      </c>
      <c r="CS109" t="s">
        <v>173</v>
      </c>
      <c r="CT109" t="s">
        <v>173</v>
      </c>
      <c r="CU109" t="s">
        <v>173</v>
      </c>
      <c r="CV109" t="s">
        <v>173</v>
      </c>
      <c r="CW109" t="s">
        <v>173</v>
      </c>
      <c r="CX109" t="s">
        <v>173</v>
      </c>
      <c r="CY109" t="s">
        <v>173</v>
      </c>
      <c r="CZ109" t="s">
        <v>173</v>
      </c>
      <c r="DA109" t="s">
        <v>173</v>
      </c>
      <c r="DB109" t="s">
        <v>173</v>
      </c>
      <c r="DC109" t="s">
        <v>173</v>
      </c>
      <c r="DD109" t="s">
        <v>173</v>
      </c>
      <c r="DE109" t="s">
        <v>173</v>
      </c>
      <c r="DF109" t="s">
        <v>173</v>
      </c>
      <c r="DG109" t="s">
        <v>173</v>
      </c>
      <c r="DH109" t="s">
        <v>173</v>
      </c>
    </row>
    <row r="110" spans="1:112">
      <c r="A110">
        <v>76</v>
      </c>
      <c r="B110" t="s">
        <v>401</v>
      </c>
      <c r="C110" t="s">
        <v>402</v>
      </c>
      <c r="D110">
        <v>2024</v>
      </c>
      <c r="E110" t="s">
        <v>177</v>
      </c>
      <c r="F110" t="s">
        <v>403</v>
      </c>
      <c r="G110" t="s">
        <v>172</v>
      </c>
      <c r="H110" t="s">
        <v>173</v>
      </c>
      <c r="I110" t="s">
        <v>197</v>
      </c>
      <c r="J110" t="s">
        <v>173</v>
      </c>
      <c r="K110" t="s">
        <v>173</v>
      </c>
      <c r="L110" t="s">
        <v>173</v>
      </c>
      <c r="M110" t="s">
        <v>173</v>
      </c>
      <c r="N110" t="s">
        <v>173</v>
      </c>
      <c r="O110" t="s">
        <v>173</v>
      </c>
      <c r="P110" t="s">
        <v>173</v>
      </c>
      <c r="Q110" t="s">
        <v>173</v>
      </c>
      <c r="R110" t="s">
        <v>173</v>
      </c>
      <c r="S110" t="s">
        <v>173</v>
      </c>
      <c r="T110" t="s">
        <v>173</v>
      </c>
      <c r="U110" t="s">
        <v>173</v>
      </c>
      <c r="V110" t="s">
        <v>173</v>
      </c>
      <c r="W110" t="s">
        <v>173</v>
      </c>
      <c r="X110" t="s">
        <v>173</v>
      </c>
      <c r="Y110" t="s">
        <v>173</v>
      </c>
      <c r="Z110" t="s">
        <v>173</v>
      </c>
      <c r="AA110" t="s">
        <v>173</v>
      </c>
      <c r="AB110" t="s">
        <v>173</v>
      </c>
      <c r="AC110" t="s">
        <v>173</v>
      </c>
      <c r="AD110" t="s">
        <v>173</v>
      </c>
      <c r="AE110" t="s">
        <v>173</v>
      </c>
      <c r="AF110" t="s">
        <v>173</v>
      </c>
      <c r="AG110" t="s">
        <v>173</v>
      </c>
      <c r="AH110" t="s">
        <v>173</v>
      </c>
      <c r="AI110" t="s">
        <v>173</v>
      </c>
      <c r="AJ110" t="s">
        <v>173</v>
      </c>
      <c r="AK110" t="s">
        <v>173</v>
      </c>
      <c r="AL110" t="s">
        <v>173</v>
      </c>
      <c r="AM110" t="s">
        <v>173</v>
      </c>
      <c r="AN110" t="s">
        <v>173</v>
      </c>
      <c r="AO110" t="s">
        <v>173</v>
      </c>
      <c r="AP110" t="s">
        <v>173</v>
      </c>
      <c r="AQ110" t="s">
        <v>173</v>
      </c>
      <c r="AR110" t="s">
        <v>173</v>
      </c>
      <c r="AS110" t="s">
        <v>173</v>
      </c>
      <c r="AT110" t="s">
        <v>173</v>
      </c>
      <c r="AU110" t="s">
        <v>173</v>
      </c>
      <c r="AV110" t="s">
        <v>173</v>
      </c>
      <c r="AW110" t="s">
        <v>173</v>
      </c>
      <c r="AX110" t="s">
        <v>173</v>
      </c>
      <c r="AY110" t="s">
        <v>173</v>
      </c>
      <c r="AZ110" t="s">
        <v>173</v>
      </c>
      <c r="BA110" t="s">
        <v>173</v>
      </c>
      <c r="BB110" t="s">
        <v>173</v>
      </c>
      <c r="BC110" t="s">
        <v>173</v>
      </c>
      <c r="BD110" t="s">
        <v>173</v>
      </c>
      <c r="BE110" t="s">
        <v>173</v>
      </c>
      <c r="BF110" t="s">
        <v>173</v>
      </c>
      <c r="BG110" t="s">
        <v>173</v>
      </c>
      <c r="BH110" t="s">
        <v>173</v>
      </c>
      <c r="BI110" t="s">
        <v>173</v>
      </c>
      <c r="BJ110" t="s">
        <v>173</v>
      </c>
      <c r="BK110" t="s">
        <v>173</v>
      </c>
      <c r="BL110" t="s">
        <v>173</v>
      </c>
      <c r="BM110" t="s">
        <v>173</v>
      </c>
      <c r="BN110" t="s">
        <v>173</v>
      </c>
      <c r="BO110" t="s">
        <v>173</v>
      </c>
      <c r="BP110" t="s">
        <v>173</v>
      </c>
      <c r="BQ110" t="s">
        <v>173</v>
      </c>
      <c r="BR110" t="s">
        <v>173</v>
      </c>
      <c r="BS110" t="s">
        <v>173</v>
      </c>
      <c r="BT110" t="s">
        <v>173</v>
      </c>
      <c r="BU110" t="s">
        <v>173</v>
      </c>
      <c r="BV110" t="s">
        <v>173</v>
      </c>
      <c r="BX110" t="s">
        <v>173</v>
      </c>
      <c r="BY110" t="s">
        <v>173</v>
      </c>
      <c r="BZ110" t="s">
        <v>173</v>
      </c>
      <c r="CA110" t="s">
        <v>173</v>
      </c>
      <c r="CB110" t="s">
        <v>173</v>
      </c>
      <c r="CC110" t="s">
        <v>173</v>
      </c>
      <c r="CD110" t="s">
        <v>173</v>
      </c>
      <c r="CE110" t="s">
        <v>173</v>
      </c>
      <c r="CF110" t="s">
        <v>173</v>
      </c>
      <c r="CG110" t="s">
        <v>173</v>
      </c>
      <c r="CH110" t="s">
        <v>173</v>
      </c>
      <c r="CI110" t="s">
        <v>173</v>
      </c>
      <c r="CJ110" t="s">
        <v>173</v>
      </c>
      <c r="CK110" t="s">
        <v>173</v>
      </c>
      <c r="CL110" t="s">
        <v>173</v>
      </c>
      <c r="CM110" t="s">
        <v>173</v>
      </c>
      <c r="CN110" t="s">
        <v>173</v>
      </c>
      <c r="CO110" t="s">
        <v>173</v>
      </c>
      <c r="CP110" t="s">
        <v>173</v>
      </c>
      <c r="CQ110" t="s">
        <v>173</v>
      </c>
      <c r="CR110" t="s">
        <v>173</v>
      </c>
      <c r="CS110" t="s">
        <v>173</v>
      </c>
      <c r="CT110" t="s">
        <v>173</v>
      </c>
      <c r="CU110" t="s">
        <v>173</v>
      </c>
      <c r="CV110" t="s">
        <v>173</v>
      </c>
      <c r="CW110" t="s">
        <v>173</v>
      </c>
      <c r="CX110" t="s">
        <v>173</v>
      </c>
      <c r="CY110" t="s">
        <v>173</v>
      </c>
      <c r="CZ110" t="s">
        <v>173</v>
      </c>
      <c r="DA110" t="s">
        <v>173</v>
      </c>
      <c r="DB110" t="s">
        <v>173</v>
      </c>
      <c r="DC110" t="s">
        <v>173</v>
      </c>
      <c r="DD110" t="s">
        <v>173</v>
      </c>
      <c r="DE110" t="s">
        <v>173</v>
      </c>
      <c r="DF110" t="s">
        <v>173</v>
      </c>
      <c r="DG110" t="s">
        <v>173</v>
      </c>
      <c r="DH110" t="s">
        <v>173</v>
      </c>
    </row>
    <row r="111" spans="1:112">
      <c r="A111">
        <v>77</v>
      </c>
      <c r="B111" t="s">
        <v>404</v>
      </c>
      <c r="C111" t="s">
        <v>405</v>
      </c>
      <c r="D111">
        <v>2024</v>
      </c>
      <c r="E111" t="s">
        <v>185</v>
      </c>
      <c r="F111" t="s">
        <v>406</v>
      </c>
      <c r="G111" t="s">
        <v>172</v>
      </c>
      <c r="H111">
        <v>0.71</v>
      </c>
      <c r="I111" t="s">
        <v>187</v>
      </c>
      <c r="J111" t="s">
        <v>173</v>
      </c>
      <c r="K111" t="s">
        <v>173</v>
      </c>
      <c r="L111" t="s">
        <v>173</v>
      </c>
      <c r="M111" t="s">
        <v>173</v>
      </c>
      <c r="N111" t="s">
        <v>173</v>
      </c>
      <c r="O111" t="s">
        <v>173</v>
      </c>
      <c r="P111" t="s">
        <v>173</v>
      </c>
      <c r="Q111" t="s">
        <v>173</v>
      </c>
      <c r="R111" t="s">
        <v>173</v>
      </c>
      <c r="S111" t="s">
        <v>173</v>
      </c>
      <c r="T111" t="s">
        <v>173</v>
      </c>
      <c r="U111" t="s">
        <v>173</v>
      </c>
      <c r="V111" t="s">
        <v>173</v>
      </c>
      <c r="W111" t="s">
        <v>173</v>
      </c>
      <c r="X111" t="s">
        <v>173</v>
      </c>
      <c r="Y111" t="s">
        <v>173</v>
      </c>
      <c r="Z111" t="s">
        <v>173</v>
      </c>
      <c r="AA111" t="s">
        <v>173</v>
      </c>
      <c r="AB111" t="s">
        <v>173</v>
      </c>
      <c r="AC111" t="s">
        <v>173</v>
      </c>
      <c r="AD111" t="s">
        <v>173</v>
      </c>
      <c r="AE111" t="s">
        <v>173</v>
      </c>
      <c r="AF111" t="s">
        <v>173</v>
      </c>
      <c r="AG111" t="s">
        <v>173</v>
      </c>
      <c r="AH111" t="s">
        <v>173</v>
      </c>
      <c r="AI111" t="s">
        <v>173</v>
      </c>
      <c r="AJ111" t="s">
        <v>173</v>
      </c>
      <c r="AK111" t="s">
        <v>173</v>
      </c>
      <c r="AL111" t="s">
        <v>173</v>
      </c>
      <c r="AM111" t="s">
        <v>173</v>
      </c>
      <c r="AN111" t="s">
        <v>173</v>
      </c>
      <c r="AO111" t="s">
        <v>173</v>
      </c>
      <c r="AP111" t="s">
        <v>173</v>
      </c>
      <c r="AQ111" t="s">
        <v>173</v>
      </c>
      <c r="AR111" t="s">
        <v>173</v>
      </c>
      <c r="AS111" t="s">
        <v>173</v>
      </c>
      <c r="AT111" t="s">
        <v>173</v>
      </c>
      <c r="AU111" t="s">
        <v>173</v>
      </c>
      <c r="AV111" t="s">
        <v>173</v>
      </c>
      <c r="AW111" t="s">
        <v>173</v>
      </c>
      <c r="AX111" t="s">
        <v>173</v>
      </c>
      <c r="AY111" t="s">
        <v>173</v>
      </c>
      <c r="AZ111" t="s">
        <v>173</v>
      </c>
      <c r="BA111" t="s">
        <v>173</v>
      </c>
      <c r="BB111" t="s">
        <v>173</v>
      </c>
      <c r="BC111" t="s">
        <v>173</v>
      </c>
      <c r="BD111" t="s">
        <v>173</v>
      </c>
      <c r="BE111" t="s">
        <v>173</v>
      </c>
      <c r="BF111" t="s">
        <v>173</v>
      </c>
      <c r="BG111" t="s">
        <v>173</v>
      </c>
      <c r="BH111" t="s">
        <v>173</v>
      </c>
      <c r="BI111" t="s">
        <v>173</v>
      </c>
      <c r="BJ111" t="s">
        <v>173</v>
      </c>
      <c r="BK111" t="s">
        <v>173</v>
      </c>
      <c r="BL111" t="s">
        <v>173</v>
      </c>
      <c r="BM111" t="s">
        <v>173</v>
      </c>
      <c r="BN111" t="s">
        <v>173</v>
      </c>
      <c r="BO111" t="s">
        <v>173</v>
      </c>
      <c r="BP111" t="s">
        <v>173</v>
      </c>
      <c r="BQ111" t="s">
        <v>173</v>
      </c>
      <c r="BR111" t="s">
        <v>173</v>
      </c>
      <c r="BS111" t="s">
        <v>173</v>
      </c>
      <c r="BT111" t="s">
        <v>173</v>
      </c>
      <c r="BU111" t="s">
        <v>173</v>
      </c>
      <c r="BV111" t="s">
        <v>173</v>
      </c>
      <c r="BX111" t="s">
        <v>173</v>
      </c>
      <c r="BY111" t="s">
        <v>173</v>
      </c>
      <c r="BZ111" t="s">
        <v>173</v>
      </c>
      <c r="CA111" t="s">
        <v>173</v>
      </c>
      <c r="CB111" t="s">
        <v>173</v>
      </c>
      <c r="CC111" t="s">
        <v>173</v>
      </c>
      <c r="CD111" t="s">
        <v>173</v>
      </c>
      <c r="CE111" t="s">
        <v>173</v>
      </c>
      <c r="CF111" t="s">
        <v>173</v>
      </c>
      <c r="CG111" t="s">
        <v>173</v>
      </c>
      <c r="CH111" t="s">
        <v>173</v>
      </c>
      <c r="CI111" t="s">
        <v>173</v>
      </c>
      <c r="CJ111" t="s">
        <v>173</v>
      </c>
      <c r="CK111" t="s">
        <v>173</v>
      </c>
      <c r="CL111" t="s">
        <v>173</v>
      </c>
      <c r="CM111" t="s">
        <v>173</v>
      </c>
      <c r="CN111" t="s">
        <v>173</v>
      </c>
      <c r="CO111" t="s">
        <v>173</v>
      </c>
      <c r="CP111" t="s">
        <v>173</v>
      </c>
      <c r="CQ111" t="s">
        <v>173</v>
      </c>
      <c r="CR111" t="s">
        <v>173</v>
      </c>
      <c r="CS111" t="s">
        <v>173</v>
      </c>
      <c r="CT111" t="s">
        <v>173</v>
      </c>
      <c r="CU111" t="s">
        <v>173</v>
      </c>
      <c r="CV111" t="s">
        <v>173</v>
      </c>
      <c r="CW111" t="s">
        <v>173</v>
      </c>
      <c r="CX111" t="s">
        <v>173</v>
      </c>
      <c r="CY111" t="s">
        <v>173</v>
      </c>
      <c r="CZ111" t="s">
        <v>173</v>
      </c>
      <c r="DA111" t="s">
        <v>173</v>
      </c>
      <c r="DB111" t="s">
        <v>173</v>
      </c>
      <c r="DC111" t="s">
        <v>173</v>
      </c>
      <c r="DD111" t="s">
        <v>173</v>
      </c>
      <c r="DE111" t="s">
        <v>173</v>
      </c>
      <c r="DF111" t="s">
        <v>173</v>
      </c>
      <c r="DG111" t="s">
        <v>173</v>
      </c>
      <c r="DH111" t="s">
        <v>173</v>
      </c>
    </row>
    <row r="112" spans="1:112">
      <c r="A112">
        <v>77</v>
      </c>
      <c r="B112" t="s">
        <v>404</v>
      </c>
      <c r="C112" t="s">
        <v>405</v>
      </c>
      <c r="D112">
        <v>2024</v>
      </c>
      <c r="E112" t="s">
        <v>185</v>
      </c>
      <c r="F112" t="s">
        <v>406</v>
      </c>
      <c r="G112" t="s">
        <v>172</v>
      </c>
      <c r="H112">
        <v>0.71</v>
      </c>
      <c r="I112" t="s">
        <v>187</v>
      </c>
      <c r="J112" t="s">
        <v>173</v>
      </c>
      <c r="K112" t="s">
        <v>173</v>
      </c>
      <c r="L112" t="s">
        <v>173</v>
      </c>
      <c r="M112" t="s">
        <v>173</v>
      </c>
      <c r="N112" t="s">
        <v>173</v>
      </c>
      <c r="O112" t="s">
        <v>173</v>
      </c>
      <c r="P112" t="s">
        <v>173</v>
      </c>
      <c r="Q112" t="s">
        <v>173</v>
      </c>
      <c r="R112" t="s">
        <v>173</v>
      </c>
      <c r="S112" t="s">
        <v>173</v>
      </c>
      <c r="T112" t="s">
        <v>173</v>
      </c>
      <c r="U112" t="s">
        <v>173</v>
      </c>
      <c r="V112" t="s">
        <v>173</v>
      </c>
      <c r="W112" t="s">
        <v>173</v>
      </c>
      <c r="X112" t="s">
        <v>173</v>
      </c>
      <c r="Y112" t="s">
        <v>173</v>
      </c>
      <c r="Z112" t="s">
        <v>173</v>
      </c>
      <c r="AA112" t="s">
        <v>173</v>
      </c>
      <c r="AB112" t="s">
        <v>173</v>
      </c>
      <c r="AC112" t="s">
        <v>173</v>
      </c>
      <c r="AD112" t="s">
        <v>173</v>
      </c>
      <c r="AE112" t="s">
        <v>173</v>
      </c>
      <c r="AF112" t="s">
        <v>173</v>
      </c>
      <c r="AG112" t="s">
        <v>173</v>
      </c>
      <c r="AH112" t="s">
        <v>173</v>
      </c>
      <c r="AI112" t="s">
        <v>173</v>
      </c>
      <c r="AJ112" t="s">
        <v>173</v>
      </c>
      <c r="AK112" t="s">
        <v>173</v>
      </c>
      <c r="AL112" t="s">
        <v>173</v>
      </c>
      <c r="AM112" t="s">
        <v>173</v>
      </c>
      <c r="AN112" t="s">
        <v>173</v>
      </c>
      <c r="AO112" t="s">
        <v>173</v>
      </c>
      <c r="AP112" t="s">
        <v>173</v>
      </c>
      <c r="AQ112" t="s">
        <v>173</v>
      </c>
      <c r="AR112" t="s">
        <v>173</v>
      </c>
      <c r="AS112" t="s">
        <v>173</v>
      </c>
      <c r="AT112" t="s">
        <v>173</v>
      </c>
      <c r="AU112" t="s">
        <v>173</v>
      </c>
      <c r="AV112" t="s">
        <v>173</v>
      </c>
      <c r="AW112" t="s">
        <v>173</v>
      </c>
      <c r="AX112" t="s">
        <v>173</v>
      </c>
      <c r="AY112" t="s">
        <v>173</v>
      </c>
      <c r="AZ112" t="s">
        <v>173</v>
      </c>
      <c r="BA112" t="s">
        <v>173</v>
      </c>
      <c r="BB112" t="s">
        <v>173</v>
      </c>
      <c r="BC112" t="s">
        <v>173</v>
      </c>
      <c r="BD112" t="s">
        <v>173</v>
      </c>
      <c r="BE112" t="s">
        <v>173</v>
      </c>
      <c r="BF112" t="s">
        <v>173</v>
      </c>
      <c r="BG112" t="s">
        <v>173</v>
      </c>
      <c r="BH112" t="s">
        <v>173</v>
      </c>
      <c r="BI112" t="s">
        <v>173</v>
      </c>
      <c r="BJ112" t="s">
        <v>173</v>
      </c>
      <c r="BK112" t="s">
        <v>173</v>
      </c>
      <c r="BL112" t="s">
        <v>173</v>
      </c>
      <c r="BM112" t="s">
        <v>173</v>
      </c>
      <c r="BN112" t="s">
        <v>173</v>
      </c>
      <c r="BO112" t="s">
        <v>173</v>
      </c>
      <c r="BP112" t="s">
        <v>173</v>
      </c>
      <c r="BQ112" t="s">
        <v>173</v>
      </c>
      <c r="BR112" t="s">
        <v>173</v>
      </c>
      <c r="BS112" t="s">
        <v>173</v>
      </c>
      <c r="BT112" t="s">
        <v>173</v>
      </c>
      <c r="BU112" t="s">
        <v>173</v>
      </c>
      <c r="BV112" t="s">
        <v>173</v>
      </c>
      <c r="BX112" t="s">
        <v>173</v>
      </c>
      <c r="BY112" t="s">
        <v>173</v>
      </c>
      <c r="BZ112" t="s">
        <v>173</v>
      </c>
      <c r="CA112" t="s">
        <v>173</v>
      </c>
      <c r="CB112" t="s">
        <v>173</v>
      </c>
      <c r="CC112" t="s">
        <v>173</v>
      </c>
      <c r="CD112" t="s">
        <v>173</v>
      </c>
      <c r="CE112" t="s">
        <v>173</v>
      </c>
      <c r="CF112" t="s">
        <v>173</v>
      </c>
      <c r="CG112" t="s">
        <v>173</v>
      </c>
      <c r="CH112" t="s">
        <v>173</v>
      </c>
      <c r="CI112" t="s">
        <v>173</v>
      </c>
      <c r="CJ112" t="s">
        <v>173</v>
      </c>
      <c r="CK112" t="s">
        <v>173</v>
      </c>
      <c r="CL112" t="s">
        <v>173</v>
      </c>
      <c r="CM112" t="s">
        <v>173</v>
      </c>
      <c r="CN112" t="s">
        <v>173</v>
      </c>
      <c r="CO112" t="s">
        <v>173</v>
      </c>
      <c r="CP112" t="s">
        <v>173</v>
      </c>
      <c r="CQ112" t="s">
        <v>173</v>
      </c>
      <c r="CR112" t="s">
        <v>173</v>
      </c>
      <c r="CS112" t="s">
        <v>173</v>
      </c>
      <c r="CT112" t="s">
        <v>173</v>
      </c>
      <c r="CU112" t="s">
        <v>173</v>
      </c>
      <c r="CV112" t="s">
        <v>173</v>
      </c>
      <c r="CW112" t="s">
        <v>173</v>
      </c>
      <c r="CX112" t="s">
        <v>173</v>
      </c>
      <c r="CY112" t="s">
        <v>173</v>
      </c>
      <c r="CZ112" t="s">
        <v>173</v>
      </c>
      <c r="DA112" t="s">
        <v>173</v>
      </c>
      <c r="DB112" t="s">
        <v>173</v>
      </c>
      <c r="DC112" t="s">
        <v>173</v>
      </c>
      <c r="DD112" t="s">
        <v>173</v>
      </c>
      <c r="DE112" t="s">
        <v>173</v>
      </c>
      <c r="DF112" t="s">
        <v>173</v>
      </c>
      <c r="DG112" t="s">
        <v>173</v>
      </c>
      <c r="DH112" t="s">
        <v>173</v>
      </c>
    </row>
    <row r="113" spans="1:112">
      <c r="A113">
        <v>77</v>
      </c>
      <c r="B113" t="s">
        <v>404</v>
      </c>
      <c r="C113" t="s">
        <v>405</v>
      </c>
      <c r="D113">
        <v>2024</v>
      </c>
      <c r="E113" t="s">
        <v>185</v>
      </c>
      <c r="F113" t="s">
        <v>406</v>
      </c>
      <c r="G113" t="s">
        <v>172</v>
      </c>
      <c r="H113">
        <v>0.71</v>
      </c>
      <c r="I113" t="s">
        <v>187</v>
      </c>
      <c r="J113" t="s">
        <v>173</v>
      </c>
      <c r="K113" t="s">
        <v>173</v>
      </c>
      <c r="L113" t="s">
        <v>173</v>
      </c>
      <c r="M113" t="s">
        <v>173</v>
      </c>
      <c r="N113" t="s">
        <v>173</v>
      </c>
      <c r="O113" t="s">
        <v>173</v>
      </c>
      <c r="P113" t="s">
        <v>173</v>
      </c>
      <c r="Q113" t="s">
        <v>173</v>
      </c>
      <c r="R113" t="s">
        <v>173</v>
      </c>
      <c r="S113" t="s">
        <v>173</v>
      </c>
      <c r="T113" t="s">
        <v>173</v>
      </c>
      <c r="U113" t="s">
        <v>173</v>
      </c>
      <c r="V113" t="s">
        <v>173</v>
      </c>
      <c r="W113" t="s">
        <v>173</v>
      </c>
      <c r="X113" t="s">
        <v>173</v>
      </c>
      <c r="Y113" t="s">
        <v>173</v>
      </c>
      <c r="Z113" t="s">
        <v>173</v>
      </c>
      <c r="AA113" t="s">
        <v>173</v>
      </c>
      <c r="AB113" t="s">
        <v>173</v>
      </c>
      <c r="AC113" t="s">
        <v>173</v>
      </c>
      <c r="AD113" t="s">
        <v>173</v>
      </c>
      <c r="AE113" t="s">
        <v>173</v>
      </c>
      <c r="AF113" t="s">
        <v>173</v>
      </c>
      <c r="AG113" t="s">
        <v>173</v>
      </c>
      <c r="AH113" t="s">
        <v>173</v>
      </c>
      <c r="AI113" t="s">
        <v>173</v>
      </c>
      <c r="AJ113" t="s">
        <v>173</v>
      </c>
      <c r="AK113" t="s">
        <v>173</v>
      </c>
      <c r="AL113" t="s">
        <v>173</v>
      </c>
      <c r="AM113" t="s">
        <v>173</v>
      </c>
      <c r="AN113" t="s">
        <v>173</v>
      </c>
      <c r="AO113" t="s">
        <v>173</v>
      </c>
      <c r="AP113" t="s">
        <v>173</v>
      </c>
      <c r="AQ113" t="s">
        <v>173</v>
      </c>
      <c r="AR113" t="s">
        <v>173</v>
      </c>
      <c r="AS113" t="s">
        <v>173</v>
      </c>
      <c r="AT113" t="s">
        <v>173</v>
      </c>
      <c r="AU113" t="s">
        <v>173</v>
      </c>
      <c r="AV113" t="s">
        <v>173</v>
      </c>
      <c r="AW113" t="s">
        <v>173</v>
      </c>
      <c r="AX113" t="s">
        <v>173</v>
      </c>
      <c r="AY113" t="s">
        <v>173</v>
      </c>
      <c r="AZ113" t="s">
        <v>173</v>
      </c>
      <c r="BA113" t="s">
        <v>173</v>
      </c>
      <c r="BB113" t="s">
        <v>173</v>
      </c>
      <c r="BC113" t="s">
        <v>173</v>
      </c>
      <c r="BD113" t="s">
        <v>173</v>
      </c>
      <c r="BE113" t="s">
        <v>173</v>
      </c>
      <c r="BF113" t="s">
        <v>173</v>
      </c>
      <c r="BG113" t="s">
        <v>173</v>
      </c>
      <c r="BH113" t="s">
        <v>173</v>
      </c>
      <c r="BI113" t="s">
        <v>173</v>
      </c>
      <c r="BJ113" t="s">
        <v>173</v>
      </c>
      <c r="BK113" t="s">
        <v>173</v>
      </c>
      <c r="BL113" t="s">
        <v>173</v>
      </c>
      <c r="BM113" t="s">
        <v>173</v>
      </c>
      <c r="BN113" t="s">
        <v>173</v>
      </c>
      <c r="BO113" t="s">
        <v>173</v>
      </c>
      <c r="BP113" t="s">
        <v>173</v>
      </c>
      <c r="BQ113" t="s">
        <v>173</v>
      </c>
      <c r="BR113" t="s">
        <v>173</v>
      </c>
      <c r="BS113" t="s">
        <v>173</v>
      </c>
      <c r="BT113" t="s">
        <v>173</v>
      </c>
      <c r="BU113" t="s">
        <v>173</v>
      </c>
      <c r="BV113" t="s">
        <v>173</v>
      </c>
      <c r="BX113" t="s">
        <v>173</v>
      </c>
      <c r="BY113" t="s">
        <v>173</v>
      </c>
      <c r="BZ113" t="s">
        <v>173</v>
      </c>
      <c r="CA113" t="s">
        <v>173</v>
      </c>
      <c r="CB113" t="s">
        <v>173</v>
      </c>
      <c r="CC113" t="s">
        <v>173</v>
      </c>
      <c r="CD113" t="s">
        <v>173</v>
      </c>
      <c r="CE113" t="s">
        <v>173</v>
      </c>
      <c r="CF113" t="s">
        <v>173</v>
      </c>
      <c r="CG113" t="s">
        <v>173</v>
      </c>
      <c r="CH113" t="s">
        <v>173</v>
      </c>
      <c r="CI113" t="s">
        <v>173</v>
      </c>
      <c r="CJ113" t="s">
        <v>173</v>
      </c>
      <c r="CK113" t="s">
        <v>173</v>
      </c>
      <c r="CL113" t="s">
        <v>173</v>
      </c>
      <c r="CM113" t="s">
        <v>173</v>
      </c>
      <c r="CN113" t="s">
        <v>173</v>
      </c>
      <c r="CO113" t="s">
        <v>173</v>
      </c>
      <c r="CP113" t="s">
        <v>173</v>
      </c>
      <c r="CQ113" t="s">
        <v>173</v>
      </c>
      <c r="CR113" t="s">
        <v>173</v>
      </c>
      <c r="CS113" t="s">
        <v>173</v>
      </c>
      <c r="CT113" t="s">
        <v>173</v>
      </c>
      <c r="CU113" t="s">
        <v>173</v>
      </c>
      <c r="CV113" t="s">
        <v>173</v>
      </c>
      <c r="CW113" t="s">
        <v>173</v>
      </c>
      <c r="CX113" t="s">
        <v>173</v>
      </c>
      <c r="CY113" t="s">
        <v>173</v>
      </c>
      <c r="CZ113" t="s">
        <v>173</v>
      </c>
      <c r="DA113" t="s">
        <v>173</v>
      </c>
      <c r="DB113" t="s">
        <v>173</v>
      </c>
      <c r="DC113" t="s">
        <v>173</v>
      </c>
      <c r="DD113" t="s">
        <v>173</v>
      </c>
      <c r="DE113" t="s">
        <v>173</v>
      </c>
      <c r="DF113" t="s">
        <v>173</v>
      </c>
      <c r="DG113" t="s">
        <v>173</v>
      </c>
      <c r="DH113" t="s">
        <v>173</v>
      </c>
    </row>
    <row r="114" spans="1:112">
      <c r="A114">
        <v>77</v>
      </c>
      <c r="B114" t="s">
        <v>404</v>
      </c>
      <c r="C114" t="s">
        <v>405</v>
      </c>
      <c r="D114">
        <v>2024</v>
      </c>
      <c r="E114" t="s">
        <v>185</v>
      </c>
      <c r="F114" t="s">
        <v>406</v>
      </c>
      <c r="G114" t="s">
        <v>172</v>
      </c>
      <c r="H114">
        <v>0.71</v>
      </c>
      <c r="I114" t="s">
        <v>187</v>
      </c>
      <c r="J114" t="s">
        <v>173</v>
      </c>
      <c r="K114" t="s">
        <v>173</v>
      </c>
      <c r="L114" t="s">
        <v>173</v>
      </c>
      <c r="M114" t="s">
        <v>173</v>
      </c>
      <c r="N114" t="s">
        <v>173</v>
      </c>
      <c r="O114" t="s">
        <v>173</v>
      </c>
      <c r="P114" t="s">
        <v>173</v>
      </c>
      <c r="Q114" t="s">
        <v>173</v>
      </c>
      <c r="R114" t="s">
        <v>173</v>
      </c>
      <c r="S114" t="s">
        <v>173</v>
      </c>
      <c r="T114" t="s">
        <v>173</v>
      </c>
      <c r="U114" t="s">
        <v>173</v>
      </c>
      <c r="V114" t="s">
        <v>173</v>
      </c>
      <c r="W114" t="s">
        <v>173</v>
      </c>
      <c r="X114" t="s">
        <v>173</v>
      </c>
      <c r="Y114" t="s">
        <v>173</v>
      </c>
      <c r="Z114" t="s">
        <v>173</v>
      </c>
      <c r="AA114" t="s">
        <v>173</v>
      </c>
      <c r="AB114" t="s">
        <v>173</v>
      </c>
      <c r="AC114" t="s">
        <v>173</v>
      </c>
      <c r="AD114" t="s">
        <v>173</v>
      </c>
      <c r="AE114" t="s">
        <v>173</v>
      </c>
      <c r="AF114" t="s">
        <v>173</v>
      </c>
      <c r="AG114" t="s">
        <v>173</v>
      </c>
      <c r="AH114" t="s">
        <v>173</v>
      </c>
      <c r="AI114" t="s">
        <v>173</v>
      </c>
      <c r="AJ114" t="s">
        <v>173</v>
      </c>
      <c r="AK114" t="s">
        <v>173</v>
      </c>
      <c r="AL114" t="s">
        <v>173</v>
      </c>
      <c r="AM114" t="s">
        <v>173</v>
      </c>
      <c r="AN114" t="s">
        <v>173</v>
      </c>
      <c r="AO114" t="s">
        <v>173</v>
      </c>
      <c r="AP114" t="s">
        <v>173</v>
      </c>
      <c r="AQ114" t="s">
        <v>173</v>
      </c>
      <c r="AR114" t="s">
        <v>173</v>
      </c>
      <c r="AS114" t="s">
        <v>173</v>
      </c>
      <c r="AT114" t="s">
        <v>173</v>
      </c>
      <c r="AU114" t="s">
        <v>173</v>
      </c>
      <c r="AV114" t="s">
        <v>173</v>
      </c>
      <c r="AW114" t="s">
        <v>173</v>
      </c>
      <c r="AX114" t="s">
        <v>173</v>
      </c>
      <c r="AY114" t="s">
        <v>173</v>
      </c>
      <c r="AZ114" t="s">
        <v>173</v>
      </c>
      <c r="BA114" t="s">
        <v>173</v>
      </c>
      <c r="BB114" t="s">
        <v>173</v>
      </c>
      <c r="BC114" t="s">
        <v>173</v>
      </c>
      <c r="BD114" t="s">
        <v>173</v>
      </c>
      <c r="BE114" t="s">
        <v>173</v>
      </c>
      <c r="BF114" t="s">
        <v>173</v>
      </c>
      <c r="BG114" t="s">
        <v>173</v>
      </c>
      <c r="BH114" t="s">
        <v>173</v>
      </c>
      <c r="BI114" t="s">
        <v>173</v>
      </c>
      <c r="BJ114" t="s">
        <v>173</v>
      </c>
      <c r="BK114" t="s">
        <v>173</v>
      </c>
      <c r="BL114" t="s">
        <v>173</v>
      </c>
      <c r="BM114" t="s">
        <v>173</v>
      </c>
      <c r="BN114" t="s">
        <v>173</v>
      </c>
      <c r="BO114" t="s">
        <v>173</v>
      </c>
      <c r="BP114" t="s">
        <v>173</v>
      </c>
      <c r="BQ114" t="s">
        <v>173</v>
      </c>
      <c r="BR114" t="s">
        <v>173</v>
      </c>
      <c r="BS114" t="s">
        <v>173</v>
      </c>
      <c r="BT114" t="s">
        <v>173</v>
      </c>
      <c r="BU114" t="s">
        <v>173</v>
      </c>
      <c r="BV114" t="s">
        <v>173</v>
      </c>
      <c r="BX114" t="s">
        <v>173</v>
      </c>
      <c r="BY114" t="s">
        <v>173</v>
      </c>
      <c r="BZ114" t="s">
        <v>173</v>
      </c>
      <c r="CA114" t="s">
        <v>173</v>
      </c>
      <c r="CB114" t="s">
        <v>173</v>
      </c>
      <c r="CC114" t="s">
        <v>173</v>
      </c>
      <c r="CD114" t="s">
        <v>173</v>
      </c>
      <c r="CE114" t="s">
        <v>173</v>
      </c>
      <c r="CF114" t="s">
        <v>173</v>
      </c>
      <c r="CG114" t="s">
        <v>173</v>
      </c>
      <c r="CH114" t="s">
        <v>173</v>
      </c>
      <c r="CI114" t="s">
        <v>173</v>
      </c>
      <c r="CJ114" t="s">
        <v>173</v>
      </c>
      <c r="CK114" t="s">
        <v>173</v>
      </c>
      <c r="CL114" t="s">
        <v>173</v>
      </c>
      <c r="CM114" t="s">
        <v>173</v>
      </c>
      <c r="CN114" t="s">
        <v>173</v>
      </c>
      <c r="CO114" t="s">
        <v>173</v>
      </c>
      <c r="CP114" t="s">
        <v>173</v>
      </c>
      <c r="CQ114" t="s">
        <v>173</v>
      </c>
      <c r="CR114" t="s">
        <v>173</v>
      </c>
      <c r="CS114" t="s">
        <v>173</v>
      </c>
      <c r="CT114" t="s">
        <v>173</v>
      </c>
      <c r="CU114" t="s">
        <v>173</v>
      </c>
      <c r="CV114" t="s">
        <v>173</v>
      </c>
      <c r="CW114" t="s">
        <v>173</v>
      </c>
      <c r="CX114" t="s">
        <v>173</v>
      </c>
      <c r="CY114" t="s">
        <v>173</v>
      </c>
      <c r="CZ114" t="s">
        <v>173</v>
      </c>
      <c r="DA114" t="s">
        <v>173</v>
      </c>
      <c r="DB114" t="s">
        <v>173</v>
      </c>
      <c r="DC114" t="s">
        <v>173</v>
      </c>
      <c r="DD114" t="s">
        <v>173</v>
      </c>
      <c r="DE114" t="s">
        <v>173</v>
      </c>
      <c r="DF114" t="s">
        <v>173</v>
      </c>
      <c r="DG114" t="s">
        <v>173</v>
      </c>
      <c r="DH114" t="s">
        <v>173</v>
      </c>
    </row>
    <row r="115" spans="1:112">
      <c r="A115">
        <v>77</v>
      </c>
      <c r="B115" t="s">
        <v>404</v>
      </c>
      <c r="C115" t="s">
        <v>405</v>
      </c>
      <c r="D115">
        <v>2024</v>
      </c>
      <c r="E115" t="s">
        <v>185</v>
      </c>
      <c r="F115" t="s">
        <v>406</v>
      </c>
      <c r="G115" t="s">
        <v>172</v>
      </c>
      <c r="H115">
        <v>0.71</v>
      </c>
      <c r="I115" t="s">
        <v>187</v>
      </c>
      <c r="J115" t="s">
        <v>173</v>
      </c>
      <c r="K115" t="s">
        <v>173</v>
      </c>
      <c r="L115" t="s">
        <v>173</v>
      </c>
      <c r="M115" t="s">
        <v>173</v>
      </c>
      <c r="N115" t="s">
        <v>173</v>
      </c>
      <c r="O115" t="s">
        <v>173</v>
      </c>
      <c r="P115" t="s">
        <v>173</v>
      </c>
      <c r="Q115" t="s">
        <v>173</v>
      </c>
      <c r="R115" t="s">
        <v>173</v>
      </c>
      <c r="S115" t="s">
        <v>173</v>
      </c>
      <c r="T115" t="s">
        <v>173</v>
      </c>
      <c r="U115" t="s">
        <v>173</v>
      </c>
      <c r="V115" t="s">
        <v>173</v>
      </c>
      <c r="W115" t="s">
        <v>173</v>
      </c>
      <c r="X115" t="s">
        <v>173</v>
      </c>
      <c r="Y115" t="s">
        <v>173</v>
      </c>
      <c r="Z115" t="s">
        <v>173</v>
      </c>
      <c r="AA115" t="s">
        <v>173</v>
      </c>
      <c r="AB115" t="s">
        <v>173</v>
      </c>
      <c r="AC115" t="s">
        <v>173</v>
      </c>
      <c r="AD115" t="s">
        <v>173</v>
      </c>
      <c r="AE115" t="s">
        <v>173</v>
      </c>
      <c r="AF115" t="s">
        <v>173</v>
      </c>
      <c r="AG115" t="s">
        <v>173</v>
      </c>
      <c r="AH115" t="s">
        <v>173</v>
      </c>
      <c r="AI115" t="s">
        <v>173</v>
      </c>
      <c r="AJ115" t="s">
        <v>173</v>
      </c>
      <c r="AK115" t="s">
        <v>173</v>
      </c>
      <c r="AL115" t="s">
        <v>173</v>
      </c>
      <c r="AM115" t="s">
        <v>173</v>
      </c>
      <c r="AN115" t="s">
        <v>173</v>
      </c>
      <c r="AO115" t="s">
        <v>173</v>
      </c>
      <c r="AP115" t="s">
        <v>173</v>
      </c>
      <c r="AQ115" t="s">
        <v>173</v>
      </c>
      <c r="AR115" t="s">
        <v>173</v>
      </c>
      <c r="AS115" t="s">
        <v>173</v>
      </c>
      <c r="AT115" t="s">
        <v>173</v>
      </c>
      <c r="AU115" t="s">
        <v>173</v>
      </c>
      <c r="AV115" t="s">
        <v>173</v>
      </c>
      <c r="AW115" t="s">
        <v>173</v>
      </c>
      <c r="AX115" t="s">
        <v>173</v>
      </c>
      <c r="AY115" t="s">
        <v>173</v>
      </c>
      <c r="AZ115" t="s">
        <v>173</v>
      </c>
      <c r="BA115" t="s">
        <v>173</v>
      </c>
      <c r="BB115" t="s">
        <v>173</v>
      </c>
      <c r="BC115" t="s">
        <v>173</v>
      </c>
      <c r="BD115" t="s">
        <v>173</v>
      </c>
      <c r="BE115" t="s">
        <v>173</v>
      </c>
      <c r="BF115" t="s">
        <v>173</v>
      </c>
      <c r="BG115" t="s">
        <v>173</v>
      </c>
      <c r="BH115" t="s">
        <v>173</v>
      </c>
      <c r="BI115" t="s">
        <v>173</v>
      </c>
      <c r="BJ115" t="s">
        <v>173</v>
      </c>
      <c r="BK115" t="s">
        <v>173</v>
      </c>
      <c r="BL115" t="s">
        <v>173</v>
      </c>
      <c r="BM115" t="s">
        <v>173</v>
      </c>
      <c r="BN115" t="s">
        <v>173</v>
      </c>
      <c r="BO115" t="s">
        <v>173</v>
      </c>
      <c r="BP115" t="s">
        <v>173</v>
      </c>
      <c r="BQ115" t="s">
        <v>173</v>
      </c>
      <c r="BR115" t="s">
        <v>173</v>
      </c>
      <c r="BS115" t="s">
        <v>173</v>
      </c>
      <c r="BT115" t="s">
        <v>173</v>
      </c>
      <c r="BU115" t="s">
        <v>173</v>
      </c>
      <c r="BV115" t="s">
        <v>173</v>
      </c>
      <c r="BX115" t="s">
        <v>173</v>
      </c>
      <c r="BY115" t="s">
        <v>173</v>
      </c>
      <c r="BZ115" t="s">
        <v>173</v>
      </c>
      <c r="CA115" t="s">
        <v>173</v>
      </c>
      <c r="CB115" t="s">
        <v>173</v>
      </c>
      <c r="CC115" t="s">
        <v>173</v>
      </c>
      <c r="CD115" t="s">
        <v>173</v>
      </c>
      <c r="CE115" t="s">
        <v>173</v>
      </c>
      <c r="CF115" t="s">
        <v>173</v>
      </c>
      <c r="CG115" t="s">
        <v>173</v>
      </c>
      <c r="CH115" t="s">
        <v>173</v>
      </c>
      <c r="CI115" t="s">
        <v>173</v>
      </c>
      <c r="CJ115" t="s">
        <v>173</v>
      </c>
      <c r="CK115" t="s">
        <v>173</v>
      </c>
      <c r="CL115" t="s">
        <v>173</v>
      </c>
      <c r="CM115" t="s">
        <v>173</v>
      </c>
      <c r="CN115" t="s">
        <v>173</v>
      </c>
      <c r="CO115" t="s">
        <v>173</v>
      </c>
      <c r="CP115" t="s">
        <v>173</v>
      </c>
      <c r="CQ115" t="s">
        <v>173</v>
      </c>
      <c r="CR115" t="s">
        <v>173</v>
      </c>
      <c r="CS115" t="s">
        <v>173</v>
      </c>
      <c r="CT115" t="s">
        <v>173</v>
      </c>
      <c r="CU115" t="s">
        <v>173</v>
      </c>
      <c r="CV115" t="s">
        <v>173</v>
      </c>
      <c r="CW115" t="s">
        <v>173</v>
      </c>
      <c r="CX115" t="s">
        <v>173</v>
      </c>
      <c r="CY115" t="s">
        <v>173</v>
      </c>
      <c r="CZ115" t="s">
        <v>173</v>
      </c>
      <c r="DA115" t="s">
        <v>173</v>
      </c>
      <c r="DB115" t="s">
        <v>173</v>
      </c>
      <c r="DC115" t="s">
        <v>173</v>
      </c>
      <c r="DD115" t="s">
        <v>173</v>
      </c>
      <c r="DE115" t="s">
        <v>173</v>
      </c>
      <c r="DF115" t="s">
        <v>173</v>
      </c>
      <c r="DG115" t="s">
        <v>173</v>
      </c>
      <c r="DH115" t="s">
        <v>173</v>
      </c>
    </row>
    <row r="116" spans="1:112">
      <c r="A116">
        <v>77</v>
      </c>
      <c r="B116" t="s">
        <v>404</v>
      </c>
      <c r="C116" t="s">
        <v>405</v>
      </c>
      <c r="D116">
        <v>2024</v>
      </c>
      <c r="E116" t="s">
        <v>185</v>
      </c>
      <c r="F116" t="s">
        <v>406</v>
      </c>
      <c r="G116" t="s">
        <v>172</v>
      </c>
      <c r="H116">
        <v>0.71</v>
      </c>
      <c r="I116" t="s">
        <v>187</v>
      </c>
      <c r="J116" t="s">
        <v>173</v>
      </c>
      <c r="K116" t="s">
        <v>173</v>
      </c>
      <c r="L116" t="s">
        <v>173</v>
      </c>
      <c r="M116" t="s">
        <v>173</v>
      </c>
      <c r="N116" t="s">
        <v>173</v>
      </c>
      <c r="O116" t="s">
        <v>173</v>
      </c>
      <c r="P116" t="s">
        <v>173</v>
      </c>
      <c r="Q116" t="s">
        <v>173</v>
      </c>
      <c r="R116" t="s">
        <v>173</v>
      </c>
      <c r="S116" t="s">
        <v>173</v>
      </c>
      <c r="T116" t="s">
        <v>173</v>
      </c>
      <c r="U116" t="s">
        <v>173</v>
      </c>
      <c r="V116" t="s">
        <v>173</v>
      </c>
      <c r="W116" t="s">
        <v>173</v>
      </c>
      <c r="X116" t="s">
        <v>173</v>
      </c>
      <c r="Y116" t="s">
        <v>173</v>
      </c>
      <c r="Z116" t="s">
        <v>173</v>
      </c>
      <c r="AA116" t="s">
        <v>173</v>
      </c>
      <c r="AB116" t="s">
        <v>173</v>
      </c>
      <c r="AC116" t="s">
        <v>173</v>
      </c>
      <c r="AD116" t="s">
        <v>173</v>
      </c>
      <c r="AE116" t="s">
        <v>173</v>
      </c>
      <c r="AF116" t="s">
        <v>173</v>
      </c>
      <c r="AG116" t="s">
        <v>173</v>
      </c>
      <c r="AH116" t="s">
        <v>173</v>
      </c>
      <c r="AI116" t="s">
        <v>173</v>
      </c>
      <c r="AJ116" t="s">
        <v>173</v>
      </c>
      <c r="AK116" t="s">
        <v>173</v>
      </c>
      <c r="AL116" t="s">
        <v>173</v>
      </c>
      <c r="AM116" t="s">
        <v>173</v>
      </c>
      <c r="AN116" t="s">
        <v>173</v>
      </c>
      <c r="AO116" t="s">
        <v>173</v>
      </c>
      <c r="AP116" t="s">
        <v>173</v>
      </c>
      <c r="AQ116" t="s">
        <v>173</v>
      </c>
      <c r="AR116" t="s">
        <v>173</v>
      </c>
      <c r="AS116" t="s">
        <v>173</v>
      </c>
      <c r="AT116" t="s">
        <v>173</v>
      </c>
      <c r="AU116" t="s">
        <v>173</v>
      </c>
      <c r="AV116" t="s">
        <v>173</v>
      </c>
      <c r="AW116" t="s">
        <v>173</v>
      </c>
      <c r="AX116" t="s">
        <v>173</v>
      </c>
      <c r="AY116" t="s">
        <v>173</v>
      </c>
      <c r="AZ116" t="s">
        <v>173</v>
      </c>
      <c r="BA116" t="s">
        <v>173</v>
      </c>
      <c r="BB116" t="s">
        <v>173</v>
      </c>
      <c r="BC116" t="s">
        <v>173</v>
      </c>
      <c r="BD116" t="s">
        <v>173</v>
      </c>
      <c r="BE116" t="s">
        <v>173</v>
      </c>
      <c r="BF116" t="s">
        <v>173</v>
      </c>
      <c r="BG116" t="s">
        <v>173</v>
      </c>
      <c r="BH116" t="s">
        <v>173</v>
      </c>
      <c r="BI116" t="s">
        <v>173</v>
      </c>
      <c r="BJ116" t="s">
        <v>173</v>
      </c>
      <c r="BK116" t="s">
        <v>173</v>
      </c>
      <c r="BL116" t="s">
        <v>173</v>
      </c>
      <c r="BM116" t="s">
        <v>173</v>
      </c>
      <c r="BN116" t="s">
        <v>173</v>
      </c>
      <c r="BO116" t="s">
        <v>173</v>
      </c>
      <c r="BP116" t="s">
        <v>173</v>
      </c>
      <c r="BQ116" t="s">
        <v>173</v>
      </c>
      <c r="BR116" t="s">
        <v>173</v>
      </c>
      <c r="BS116" t="s">
        <v>173</v>
      </c>
      <c r="BT116" t="s">
        <v>173</v>
      </c>
      <c r="BU116" t="s">
        <v>173</v>
      </c>
      <c r="BV116" t="s">
        <v>173</v>
      </c>
      <c r="BX116" t="s">
        <v>173</v>
      </c>
      <c r="BY116" t="s">
        <v>173</v>
      </c>
      <c r="BZ116" t="s">
        <v>173</v>
      </c>
      <c r="CA116" t="s">
        <v>173</v>
      </c>
      <c r="CB116" t="s">
        <v>173</v>
      </c>
      <c r="CC116" t="s">
        <v>173</v>
      </c>
      <c r="CD116" t="s">
        <v>173</v>
      </c>
      <c r="CE116" t="s">
        <v>173</v>
      </c>
      <c r="CF116" t="s">
        <v>173</v>
      </c>
      <c r="CG116" t="s">
        <v>173</v>
      </c>
      <c r="CH116" t="s">
        <v>173</v>
      </c>
      <c r="CI116" t="s">
        <v>173</v>
      </c>
      <c r="CJ116" t="s">
        <v>173</v>
      </c>
      <c r="CK116" t="s">
        <v>173</v>
      </c>
      <c r="CL116" t="s">
        <v>173</v>
      </c>
      <c r="CM116" t="s">
        <v>173</v>
      </c>
      <c r="CN116" t="s">
        <v>173</v>
      </c>
      <c r="CO116" t="s">
        <v>173</v>
      </c>
      <c r="CP116" t="s">
        <v>173</v>
      </c>
      <c r="CQ116" t="s">
        <v>173</v>
      </c>
      <c r="CR116" t="s">
        <v>173</v>
      </c>
      <c r="CS116" t="s">
        <v>173</v>
      </c>
      <c r="CT116" t="s">
        <v>173</v>
      </c>
      <c r="CU116" t="s">
        <v>173</v>
      </c>
      <c r="CV116" t="s">
        <v>173</v>
      </c>
      <c r="CW116" t="s">
        <v>173</v>
      </c>
      <c r="CX116" t="s">
        <v>173</v>
      </c>
      <c r="CY116" t="s">
        <v>173</v>
      </c>
      <c r="CZ116" t="s">
        <v>173</v>
      </c>
      <c r="DA116" t="s">
        <v>173</v>
      </c>
      <c r="DB116" t="s">
        <v>173</v>
      </c>
      <c r="DC116" t="s">
        <v>173</v>
      </c>
      <c r="DD116" t="s">
        <v>173</v>
      </c>
      <c r="DE116" t="s">
        <v>173</v>
      </c>
      <c r="DF116" t="s">
        <v>173</v>
      </c>
      <c r="DG116" t="s">
        <v>173</v>
      </c>
      <c r="DH116" t="s">
        <v>173</v>
      </c>
    </row>
    <row r="117" spans="1:112">
      <c r="A117">
        <v>78</v>
      </c>
      <c r="B117" t="s">
        <v>407</v>
      </c>
      <c r="C117" t="s">
        <v>408</v>
      </c>
      <c r="D117">
        <v>2024</v>
      </c>
      <c r="E117" t="s">
        <v>399</v>
      </c>
      <c r="F117" t="s">
        <v>409</v>
      </c>
      <c r="G117" t="s">
        <v>172</v>
      </c>
      <c r="H117" t="s">
        <v>173</v>
      </c>
      <c r="I117" t="s">
        <v>174</v>
      </c>
      <c r="J117" t="s">
        <v>173</v>
      </c>
      <c r="K117" t="s">
        <v>173</v>
      </c>
      <c r="L117" t="s">
        <v>173</v>
      </c>
      <c r="M117" t="s">
        <v>173</v>
      </c>
      <c r="N117" t="s">
        <v>173</v>
      </c>
      <c r="O117" t="s">
        <v>173</v>
      </c>
      <c r="P117" t="s">
        <v>173</v>
      </c>
      <c r="Q117" t="s">
        <v>173</v>
      </c>
      <c r="R117" t="s">
        <v>173</v>
      </c>
      <c r="S117" t="s">
        <v>173</v>
      </c>
      <c r="T117" t="s">
        <v>173</v>
      </c>
      <c r="U117" t="s">
        <v>173</v>
      </c>
      <c r="V117" t="s">
        <v>173</v>
      </c>
      <c r="W117" t="s">
        <v>173</v>
      </c>
      <c r="X117" t="s">
        <v>173</v>
      </c>
      <c r="Y117" t="s">
        <v>173</v>
      </c>
      <c r="Z117" t="s">
        <v>173</v>
      </c>
      <c r="AA117" t="s">
        <v>173</v>
      </c>
      <c r="AB117" t="s">
        <v>173</v>
      </c>
      <c r="AC117" t="s">
        <v>173</v>
      </c>
      <c r="AD117" t="s">
        <v>173</v>
      </c>
      <c r="AE117" t="s">
        <v>173</v>
      </c>
      <c r="AF117" t="s">
        <v>173</v>
      </c>
      <c r="AG117" t="s">
        <v>173</v>
      </c>
      <c r="AH117" t="s">
        <v>173</v>
      </c>
      <c r="AI117" t="s">
        <v>173</v>
      </c>
      <c r="AJ117" t="s">
        <v>173</v>
      </c>
      <c r="AK117" t="s">
        <v>173</v>
      </c>
      <c r="AL117" t="s">
        <v>173</v>
      </c>
      <c r="AM117" t="s">
        <v>173</v>
      </c>
      <c r="AN117" t="s">
        <v>173</v>
      </c>
      <c r="AO117" t="s">
        <v>173</v>
      </c>
      <c r="AP117" t="s">
        <v>173</v>
      </c>
      <c r="AQ117" t="s">
        <v>173</v>
      </c>
      <c r="AR117" t="s">
        <v>173</v>
      </c>
      <c r="AS117" t="s">
        <v>173</v>
      </c>
      <c r="AT117" t="s">
        <v>173</v>
      </c>
      <c r="AU117" t="s">
        <v>173</v>
      </c>
      <c r="AV117" t="s">
        <v>173</v>
      </c>
      <c r="AW117" t="s">
        <v>173</v>
      </c>
      <c r="AX117" t="s">
        <v>173</v>
      </c>
      <c r="AY117" t="s">
        <v>173</v>
      </c>
      <c r="AZ117" t="s">
        <v>173</v>
      </c>
      <c r="BA117" t="s">
        <v>173</v>
      </c>
      <c r="BB117" t="s">
        <v>173</v>
      </c>
      <c r="BC117" t="s">
        <v>173</v>
      </c>
      <c r="BD117" t="s">
        <v>173</v>
      </c>
      <c r="BE117" t="s">
        <v>173</v>
      </c>
      <c r="BF117" t="s">
        <v>173</v>
      </c>
      <c r="BG117" t="s">
        <v>173</v>
      </c>
      <c r="BH117" t="s">
        <v>173</v>
      </c>
      <c r="BI117" t="s">
        <v>173</v>
      </c>
      <c r="BJ117" t="s">
        <v>173</v>
      </c>
      <c r="BK117" t="s">
        <v>173</v>
      </c>
      <c r="BL117" t="s">
        <v>173</v>
      </c>
      <c r="BM117" t="s">
        <v>173</v>
      </c>
      <c r="BN117" t="s">
        <v>173</v>
      </c>
      <c r="BO117" t="s">
        <v>173</v>
      </c>
      <c r="BP117" t="s">
        <v>173</v>
      </c>
      <c r="BQ117" t="s">
        <v>173</v>
      </c>
      <c r="BR117" t="s">
        <v>173</v>
      </c>
      <c r="BS117" t="s">
        <v>173</v>
      </c>
      <c r="BT117" t="s">
        <v>173</v>
      </c>
      <c r="BU117" t="s">
        <v>173</v>
      </c>
      <c r="BV117" t="s">
        <v>173</v>
      </c>
      <c r="BX117" t="s">
        <v>173</v>
      </c>
      <c r="BY117" t="s">
        <v>173</v>
      </c>
      <c r="BZ117" t="s">
        <v>173</v>
      </c>
      <c r="CA117" t="s">
        <v>173</v>
      </c>
      <c r="CB117" t="s">
        <v>173</v>
      </c>
      <c r="CC117" t="s">
        <v>173</v>
      </c>
      <c r="CD117" t="s">
        <v>173</v>
      </c>
      <c r="CE117" t="s">
        <v>173</v>
      </c>
      <c r="CF117" t="s">
        <v>173</v>
      </c>
      <c r="CG117" t="s">
        <v>173</v>
      </c>
      <c r="CH117" t="s">
        <v>173</v>
      </c>
      <c r="CI117" t="s">
        <v>173</v>
      </c>
      <c r="CJ117" t="s">
        <v>173</v>
      </c>
      <c r="CK117" t="s">
        <v>173</v>
      </c>
      <c r="CL117" t="s">
        <v>173</v>
      </c>
      <c r="CM117" t="s">
        <v>173</v>
      </c>
      <c r="CN117" t="s">
        <v>173</v>
      </c>
      <c r="CO117" t="s">
        <v>173</v>
      </c>
      <c r="CP117" t="s">
        <v>173</v>
      </c>
      <c r="CQ117" t="s">
        <v>173</v>
      </c>
      <c r="CR117" t="s">
        <v>173</v>
      </c>
      <c r="CS117" t="s">
        <v>173</v>
      </c>
      <c r="CT117" t="s">
        <v>173</v>
      </c>
      <c r="CU117" t="s">
        <v>173</v>
      </c>
      <c r="CV117" t="s">
        <v>173</v>
      </c>
      <c r="CW117" t="s">
        <v>173</v>
      </c>
      <c r="CX117" t="s">
        <v>173</v>
      </c>
      <c r="CY117" t="s">
        <v>173</v>
      </c>
      <c r="CZ117" t="s">
        <v>173</v>
      </c>
      <c r="DA117" t="s">
        <v>173</v>
      </c>
      <c r="DB117" t="s">
        <v>173</v>
      </c>
      <c r="DC117" t="s">
        <v>173</v>
      </c>
      <c r="DD117" t="s">
        <v>173</v>
      </c>
      <c r="DE117" t="s">
        <v>173</v>
      </c>
      <c r="DF117" t="s">
        <v>173</v>
      </c>
      <c r="DG117" t="s">
        <v>173</v>
      </c>
      <c r="DH117" t="s">
        <v>173</v>
      </c>
    </row>
    <row r="118" spans="1:112">
      <c r="A118">
        <v>79</v>
      </c>
      <c r="B118" t="s">
        <v>410</v>
      </c>
      <c r="C118" t="s">
        <v>411</v>
      </c>
      <c r="D118">
        <v>2024</v>
      </c>
      <c r="E118" t="s">
        <v>412</v>
      </c>
      <c r="F118" t="s">
        <v>413</v>
      </c>
      <c r="G118" t="s">
        <v>172</v>
      </c>
      <c r="H118">
        <v>0.71</v>
      </c>
      <c r="I118" t="s">
        <v>187</v>
      </c>
      <c r="J118" t="s">
        <v>173</v>
      </c>
      <c r="K118" t="s">
        <v>173</v>
      </c>
      <c r="L118" t="s">
        <v>173</v>
      </c>
      <c r="M118" t="s">
        <v>173</v>
      </c>
      <c r="N118" t="s">
        <v>173</v>
      </c>
      <c r="O118" t="s">
        <v>173</v>
      </c>
      <c r="P118" t="s">
        <v>173</v>
      </c>
      <c r="Q118" t="s">
        <v>173</v>
      </c>
      <c r="R118" t="s">
        <v>173</v>
      </c>
      <c r="S118" t="s">
        <v>173</v>
      </c>
      <c r="T118" t="s">
        <v>173</v>
      </c>
      <c r="U118" t="s">
        <v>173</v>
      </c>
      <c r="V118" t="s">
        <v>173</v>
      </c>
      <c r="W118" t="s">
        <v>173</v>
      </c>
      <c r="X118" t="s">
        <v>173</v>
      </c>
      <c r="Y118" t="s">
        <v>173</v>
      </c>
      <c r="Z118" t="s">
        <v>173</v>
      </c>
      <c r="AA118" t="s">
        <v>173</v>
      </c>
      <c r="AB118" t="s">
        <v>173</v>
      </c>
      <c r="AC118" t="s">
        <v>173</v>
      </c>
      <c r="AD118" t="s">
        <v>173</v>
      </c>
      <c r="AE118" t="s">
        <v>173</v>
      </c>
      <c r="AF118" t="s">
        <v>173</v>
      </c>
      <c r="AG118" t="s">
        <v>173</v>
      </c>
      <c r="AH118" t="s">
        <v>173</v>
      </c>
      <c r="AI118" t="s">
        <v>173</v>
      </c>
      <c r="AJ118" t="s">
        <v>173</v>
      </c>
      <c r="AK118" t="s">
        <v>173</v>
      </c>
      <c r="AL118" t="s">
        <v>173</v>
      </c>
      <c r="AM118" t="s">
        <v>173</v>
      </c>
      <c r="AN118" t="s">
        <v>173</v>
      </c>
      <c r="AO118" t="s">
        <v>173</v>
      </c>
      <c r="AP118" t="s">
        <v>173</v>
      </c>
      <c r="AQ118" t="s">
        <v>173</v>
      </c>
      <c r="AR118" t="s">
        <v>173</v>
      </c>
      <c r="AS118" t="s">
        <v>173</v>
      </c>
      <c r="AT118" t="s">
        <v>173</v>
      </c>
      <c r="AU118" t="s">
        <v>173</v>
      </c>
      <c r="AV118" t="s">
        <v>173</v>
      </c>
      <c r="AW118" t="s">
        <v>173</v>
      </c>
      <c r="AX118" t="s">
        <v>173</v>
      </c>
      <c r="AY118" t="s">
        <v>173</v>
      </c>
      <c r="AZ118" t="s">
        <v>173</v>
      </c>
      <c r="BA118" t="s">
        <v>173</v>
      </c>
      <c r="BB118" t="s">
        <v>173</v>
      </c>
      <c r="BC118" t="s">
        <v>173</v>
      </c>
      <c r="BD118" t="s">
        <v>173</v>
      </c>
      <c r="BE118" t="s">
        <v>173</v>
      </c>
      <c r="BF118" t="s">
        <v>173</v>
      </c>
      <c r="BG118" t="s">
        <v>173</v>
      </c>
      <c r="BH118" t="s">
        <v>173</v>
      </c>
      <c r="BI118" t="s">
        <v>173</v>
      </c>
      <c r="BJ118" t="s">
        <v>173</v>
      </c>
      <c r="BK118" t="s">
        <v>173</v>
      </c>
      <c r="BL118" t="s">
        <v>173</v>
      </c>
      <c r="BM118" t="s">
        <v>173</v>
      </c>
      <c r="BN118" t="s">
        <v>173</v>
      </c>
      <c r="BO118" t="s">
        <v>173</v>
      </c>
      <c r="BP118" t="s">
        <v>173</v>
      </c>
      <c r="BQ118" t="s">
        <v>173</v>
      </c>
      <c r="BR118" t="s">
        <v>173</v>
      </c>
      <c r="BS118" t="s">
        <v>173</v>
      </c>
      <c r="BT118" t="s">
        <v>173</v>
      </c>
      <c r="BU118" t="s">
        <v>173</v>
      </c>
      <c r="BV118" t="s">
        <v>173</v>
      </c>
      <c r="BX118" t="s">
        <v>173</v>
      </c>
      <c r="BY118" t="s">
        <v>173</v>
      </c>
      <c r="BZ118" t="s">
        <v>173</v>
      </c>
      <c r="CA118" t="s">
        <v>173</v>
      </c>
      <c r="CB118" t="s">
        <v>173</v>
      </c>
      <c r="CC118" t="s">
        <v>173</v>
      </c>
      <c r="CD118" t="s">
        <v>173</v>
      </c>
      <c r="CE118" t="s">
        <v>173</v>
      </c>
      <c r="CF118" t="s">
        <v>173</v>
      </c>
      <c r="CG118" t="s">
        <v>173</v>
      </c>
      <c r="CH118" t="s">
        <v>173</v>
      </c>
      <c r="CI118" t="s">
        <v>173</v>
      </c>
      <c r="CJ118" t="s">
        <v>173</v>
      </c>
      <c r="CK118" t="s">
        <v>173</v>
      </c>
      <c r="CL118" t="s">
        <v>173</v>
      </c>
      <c r="CM118" t="s">
        <v>173</v>
      </c>
      <c r="CN118" t="s">
        <v>173</v>
      </c>
      <c r="CO118" t="s">
        <v>173</v>
      </c>
      <c r="CP118" t="s">
        <v>173</v>
      </c>
      <c r="CQ118" t="s">
        <v>173</v>
      </c>
      <c r="CR118" t="s">
        <v>173</v>
      </c>
      <c r="CS118" t="s">
        <v>173</v>
      </c>
      <c r="CT118" t="s">
        <v>173</v>
      </c>
      <c r="CU118" t="s">
        <v>173</v>
      </c>
      <c r="CV118" t="s">
        <v>173</v>
      </c>
      <c r="CW118" t="s">
        <v>173</v>
      </c>
      <c r="CX118" t="s">
        <v>173</v>
      </c>
      <c r="CY118" t="s">
        <v>173</v>
      </c>
      <c r="CZ118" t="s">
        <v>173</v>
      </c>
      <c r="DA118" t="s">
        <v>173</v>
      </c>
      <c r="DB118" t="s">
        <v>173</v>
      </c>
      <c r="DC118" t="s">
        <v>173</v>
      </c>
      <c r="DD118" t="s">
        <v>173</v>
      </c>
      <c r="DE118" t="s">
        <v>173</v>
      </c>
      <c r="DF118" t="s">
        <v>173</v>
      </c>
      <c r="DG118" t="s">
        <v>173</v>
      </c>
      <c r="DH118" t="s">
        <v>173</v>
      </c>
    </row>
    <row r="119" spans="1:112">
      <c r="A119">
        <v>79</v>
      </c>
      <c r="B119" t="s">
        <v>410</v>
      </c>
      <c r="C119" t="s">
        <v>411</v>
      </c>
      <c r="D119">
        <v>2024</v>
      </c>
      <c r="E119" t="s">
        <v>412</v>
      </c>
      <c r="F119" t="s">
        <v>413</v>
      </c>
      <c r="G119" t="s">
        <v>172</v>
      </c>
      <c r="H119">
        <v>0.71</v>
      </c>
      <c r="I119" t="s">
        <v>187</v>
      </c>
      <c r="J119" t="s">
        <v>173</v>
      </c>
      <c r="K119" t="s">
        <v>173</v>
      </c>
      <c r="L119" t="s">
        <v>173</v>
      </c>
      <c r="M119" t="s">
        <v>173</v>
      </c>
      <c r="N119" t="s">
        <v>173</v>
      </c>
      <c r="O119" t="s">
        <v>173</v>
      </c>
      <c r="P119" t="s">
        <v>173</v>
      </c>
      <c r="Q119" t="s">
        <v>173</v>
      </c>
      <c r="R119" t="s">
        <v>173</v>
      </c>
      <c r="S119" t="s">
        <v>173</v>
      </c>
      <c r="T119" t="s">
        <v>173</v>
      </c>
      <c r="U119" t="s">
        <v>173</v>
      </c>
      <c r="V119" t="s">
        <v>173</v>
      </c>
      <c r="W119" t="s">
        <v>173</v>
      </c>
      <c r="X119" t="s">
        <v>173</v>
      </c>
      <c r="Y119" t="s">
        <v>173</v>
      </c>
      <c r="Z119" t="s">
        <v>173</v>
      </c>
      <c r="AA119" t="s">
        <v>173</v>
      </c>
      <c r="AB119" t="s">
        <v>173</v>
      </c>
      <c r="AC119" t="s">
        <v>173</v>
      </c>
      <c r="AD119" t="s">
        <v>173</v>
      </c>
      <c r="AE119" t="s">
        <v>173</v>
      </c>
      <c r="AF119" t="s">
        <v>173</v>
      </c>
      <c r="AG119" t="s">
        <v>173</v>
      </c>
      <c r="AH119" t="s">
        <v>173</v>
      </c>
      <c r="AI119" t="s">
        <v>173</v>
      </c>
      <c r="AJ119" t="s">
        <v>173</v>
      </c>
      <c r="AK119" t="s">
        <v>173</v>
      </c>
      <c r="AL119" t="s">
        <v>173</v>
      </c>
      <c r="AM119" t="s">
        <v>173</v>
      </c>
      <c r="AN119" t="s">
        <v>173</v>
      </c>
      <c r="AO119" t="s">
        <v>173</v>
      </c>
      <c r="AP119" t="s">
        <v>173</v>
      </c>
      <c r="AQ119" t="s">
        <v>173</v>
      </c>
      <c r="AR119" t="s">
        <v>173</v>
      </c>
      <c r="AS119" t="s">
        <v>173</v>
      </c>
      <c r="AT119" t="s">
        <v>173</v>
      </c>
      <c r="AU119" t="s">
        <v>173</v>
      </c>
      <c r="AV119" t="s">
        <v>173</v>
      </c>
      <c r="AW119" t="s">
        <v>173</v>
      </c>
      <c r="AX119" t="s">
        <v>173</v>
      </c>
      <c r="AY119" t="s">
        <v>173</v>
      </c>
      <c r="AZ119" t="s">
        <v>173</v>
      </c>
      <c r="BA119" t="s">
        <v>173</v>
      </c>
      <c r="BB119" t="s">
        <v>173</v>
      </c>
      <c r="BC119" t="s">
        <v>173</v>
      </c>
      <c r="BD119" t="s">
        <v>173</v>
      </c>
      <c r="BE119" t="s">
        <v>173</v>
      </c>
      <c r="BF119" t="s">
        <v>173</v>
      </c>
      <c r="BG119" t="s">
        <v>173</v>
      </c>
      <c r="BH119" t="s">
        <v>173</v>
      </c>
      <c r="BI119" t="s">
        <v>173</v>
      </c>
      <c r="BJ119" t="s">
        <v>173</v>
      </c>
      <c r="BK119" t="s">
        <v>173</v>
      </c>
      <c r="BL119" t="s">
        <v>173</v>
      </c>
      <c r="BM119" t="s">
        <v>173</v>
      </c>
      <c r="BN119" t="s">
        <v>173</v>
      </c>
      <c r="BO119" t="s">
        <v>173</v>
      </c>
      <c r="BP119" t="s">
        <v>173</v>
      </c>
      <c r="BQ119" t="s">
        <v>173</v>
      </c>
      <c r="BR119" t="s">
        <v>173</v>
      </c>
      <c r="BS119" t="s">
        <v>173</v>
      </c>
      <c r="BT119" t="s">
        <v>173</v>
      </c>
      <c r="BU119" t="s">
        <v>173</v>
      </c>
      <c r="BV119" t="s">
        <v>173</v>
      </c>
      <c r="BX119" t="s">
        <v>173</v>
      </c>
      <c r="BY119" t="s">
        <v>173</v>
      </c>
      <c r="BZ119" t="s">
        <v>173</v>
      </c>
      <c r="CA119" t="s">
        <v>173</v>
      </c>
      <c r="CB119" t="s">
        <v>173</v>
      </c>
      <c r="CC119" t="s">
        <v>173</v>
      </c>
      <c r="CD119" t="s">
        <v>173</v>
      </c>
      <c r="CE119" t="s">
        <v>173</v>
      </c>
      <c r="CF119" t="s">
        <v>173</v>
      </c>
      <c r="CG119" t="s">
        <v>173</v>
      </c>
      <c r="CH119" t="s">
        <v>173</v>
      </c>
      <c r="CI119" t="s">
        <v>173</v>
      </c>
      <c r="CJ119" t="s">
        <v>173</v>
      </c>
      <c r="CK119" t="s">
        <v>173</v>
      </c>
      <c r="CL119" t="s">
        <v>173</v>
      </c>
      <c r="CM119" t="s">
        <v>173</v>
      </c>
      <c r="CN119" t="s">
        <v>173</v>
      </c>
      <c r="CO119" t="s">
        <v>173</v>
      </c>
      <c r="CP119" t="s">
        <v>173</v>
      </c>
      <c r="CQ119" t="s">
        <v>173</v>
      </c>
      <c r="CR119" t="s">
        <v>173</v>
      </c>
      <c r="CS119" t="s">
        <v>173</v>
      </c>
      <c r="CT119" t="s">
        <v>173</v>
      </c>
      <c r="CU119" t="s">
        <v>173</v>
      </c>
      <c r="CV119" t="s">
        <v>173</v>
      </c>
      <c r="CW119" t="s">
        <v>173</v>
      </c>
      <c r="CX119" t="s">
        <v>173</v>
      </c>
      <c r="CY119" t="s">
        <v>173</v>
      </c>
      <c r="CZ119" t="s">
        <v>173</v>
      </c>
      <c r="DA119" t="s">
        <v>173</v>
      </c>
      <c r="DB119" t="s">
        <v>173</v>
      </c>
      <c r="DC119" t="s">
        <v>173</v>
      </c>
      <c r="DD119" t="s">
        <v>173</v>
      </c>
      <c r="DE119" t="s">
        <v>173</v>
      </c>
      <c r="DF119" t="s">
        <v>173</v>
      </c>
      <c r="DG119" t="s">
        <v>173</v>
      </c>
      <c r="DH119" t="s">
        <v>173</v>
      </c>
    </row>
    <row r="120" spans="1:112">
      <c r="A120">
        <v>79</v>
      </c>
      <c r="B120" t="s">
        <v>410</v>
      </c>
      <c r="C120" t="s">
        <v>411</v>
      </c>
      <c r="D120">
        <v>2024</v>
      </c>
      <c r="E120" t="s">
        <v>412</v>
      </c>
      <c r="F120" t="s">
        <v>413</v>
      </c>
      <c r="G120" t="s">
        <v>172</v>
      </c>
      <c r="H120">
        <v>0.71</v>
      </c>
      <c r="I120" t="s">
        <v>187</v>
      </c>
      <c r="J120" t="s">
        <v>173</v>
      </c>
      <c r="K120" t="s">
        <v>173</v>
      </c>
      <c r="L120" t="s">
        <v>173</v>
      </c>
      <c r="M120" t="s">
        <v>173</v>
      </c>
      <c r="N120" t="s">
        <v>173</v>
      </c>
      <c r="O120" t="s">
        <v>173</v>
      </c>
      <c r="P120" t="s">
        <v>173</v>
      </c>
      <c r="Q120" t="s">
        <v>173</v>
      </c>
      <c r="R120" t="s">
        <v>173</v>
      </c>
      <c r="S120" t="s">
        <v>173</v>
      </c>
      <c r="T120" t="s">
        <v>173</v>
      </c>
      <c r="U120" t="s">
        <v>173</v>
      </c>
      <c r="V120" t="s">
        <v>173</v>
      </c>
      <c r="W120" t="s">
        <v>173</v>
      </c>
      <c r="X120" t="s">
        <v>173</v>
      </c>
      <c r="Y120" t="s">
        <v>173</v>
      </c>
      <c r="Z120" t="s">
        <v>173</v>
      </c>
      <c r="AA120" t="s">
        <v>173</v>
      </c>
      <c r="AB120" t="s">
        <v>173</v>
      </c>
      <c r="AC120" t="s">
        <v>173</v>
      </c>
      <c r="AD120" t="s">
        <v>173</v>
      </c>
      <c r="AE120" t="s">
        <v>173</v>
      </c>
      <c r="AF120" t="s">
        <v>173</v>
      </c>
      <c r="AG120" t="s">
        <v>173</v>
      </c>
      <c r="AH120" t="s">
        <v>173</v>
      </c>
      <c r="AI120" t="s">
        <v>173</v>
      </c>
      <c r="AJ120" t="s">
        <v>173</v>
      </c>
      <c r="AK120" t="s">
        <v>173</v>
      </c>
      <c r="AL120" t="s">
        <v>173</v>
      </c>
      <c r="AM120" t="s">
        <v>173</v>
      </c>
      <c r="AN120" t="s">
        <v>173</v>
      </c>
      <c r="AO120" t="s">
        <v>173</v>
      </c>
      <c r="AP120" t="s">
        <v>173</v>
      </c>
      <c r="AQ120" t="s">
        <v>173</v>
      </c>
      <c r="AR120" t="s">
        <v>173</v>
      </c>
      <c r="AS120" t="s">
        <v>173</v>
      </c>
      <c r="AT120" t="s">
        <v>173</v>
      </c>
      <c r="AU120" t="s">
        <v>173</v>
      </c>
      <c r="AV120" t="s">
        <v>173</v>
      </c>
      <c r="AW120" t="s">
        <v>173</v>
      </c>
      <c r="AX120" t="s">
        <v>173</v>
      </c>
      <c r="AY120" t="s">
        <v>173</v>
      </c>
      <c r="AZ120" t="s">
        <v>173</v>
      </c>
      <c r="BA120" t="s">
        <v>173</v>
      </c>
      <c r="BB120" t="s">
        <v>173</v>
      </c>
      <c r="BC120" t="s">
        <v>173</v>
      </c>
      <c r="BD120" t="s">
        <v>173</v>
      </c>
      <c r="BE120" t="s">
        <v>173</v>
      </c>
      <c r="BF120" t="s">
        <v>173</v>
      </c>
      <c r="BG120" t="s">
        <v>173</v>
      </c>
      <c r="BH120" t="s">
        <v>173</v>
      </c>
      <c r="BI120" t="s">
        <v>173</v>
      </c>
      <c r="BJ120" t="s">
        <v>173</v>
      </c>
      <c r="BK120" t="s">
        <v>173</v>
      </c>
      <c r="BL120" t="s">
        <v>173</v>
      </c>
      <c r="BM120" t="s">
        <v>173</v>
      </c>
      <c r="BN120" t="s">
        <v>173</v>
      </c>
      <c r="BO120" t="s">
        <v>173</v>
      </c>
      <c r="BP120" t="s">
        <v>173</v>
      </c>
      <c r="BQ120" t="s">
        <v>173</v>
      </c>
      <c r="BR120" t="s">
        <v>173</v>
      </c>
      <c r="BS120" t="s">
        <v>173</v>
      </c>
      <c r="BT120" t="s">
        <v>173</v>
      </c>
      <c r="BU120" t="s">
        <v>173</v>
      </c>
      <c r="BV120" t="s">
        <v>173</v>
      </c>
      <c r="BX120" t="s">
        <v>173</v>
      </c>
      <c r="BY120" t="s">
        <v>173</v>
      </c>
      <c r="BZ120" t="s">
        <v>173</v>
      </c>
      <c r="CA120" t="s">
        <v>173</v>
      </c>
      <c r="CB120" t="s">
        <v>173</v>
      </c>
      <c r="CC120" t="s">
        <v>173</v>
      </c>
      <c r="CD120" t="s">
        <v>173</v>
      </c>
      <c r="CE120" t="s">
        <v>173</v>
      </c>
      <c r="CF120" t="s">
        <v>173</v>
      </c>
      <c r="CG120" t="s">
        <v>173</v>
      </c>
      <c r="CH120" t="s">
        <v>173</v>
      </c>
      <c r="CI120" t="s">
        <v>173</v>
      </c>
      <c r="CJ120" t="s">
        <v>173</v>
      </c>
      <c r="CK120" t="s">
        <v>173</v>
      </c>
      <c r="CL120" t="s">
        <v>173</v>
      </c>
      <c r="CM120" t="s">
        <v>173</v>
      </c>
      <c r="CN120" t="s">
        <v>173</v>
      </c>
      <c r="CO120" t="s">
        <v>173</v>
      </c>
      <c r="CP120" t="s">
        <v>173</v>
      </c>
      <c r="CQ120" t="s">
        <v>173</v>
      </c>
      <c r="CR120" t="s">
        <v>173</v>
      </c>
      <c r="CS120" t="s">
        <v>173</v>
      </c>
      <c r="CT120" t="s">
        <v>173</v>
      </c>
      <c r="CU120" t="s">
        <v>173</v>
      </c>
      <c r="CV120" t="s">
        <v>173</v>
      </c>
      <c r="CW120" t="s">
        <v>173</v>
      </c>
      <c r="CX120" t="s">
        <v>173</v>
      </c>
      <c r="CY120" t="s">
        <v>173</v>
      </c>
      <c r="CZ120" t="s">
        <v>173</v>
      </c>
      <c r="DA120" t="s">
        <v>173</v>
      </c>
      <c r="DB120" t="s">
        <v>173</v>
      </c>
      <c r="DC120" t="s">
        <v>173</v>
      </c>
      <c r="DD120" t="s">
        <v>173</v>
      </c>
      <c r="DE120" t="s">
        <v>173</v>
      </c>
      <c r="DF120" t="s">
        <v>173</v>
      </c>
      <c r="DG120" t="s">
        <v>173</v>
      </c>
      <c r="DH120" t="s">
        <v>173</v>
      </c>
    </row>
    <row r="121" spans="1:112">
      <c r="A121">
        <v>79</v>
      </c>
      <c r="B121" t="s">
        <v>410</v>
      </c>
      <c r="C121" t="s">
        <v>411</v>
      </c>
      <c r="D121">
        <v>2024</v>
      </c>
      <c r="E121" t="s">
        <v>412</v>
      </c>
      <c r="F121" t="s">
        <v>413</v>
      </c>
      <c r="G121" t="s">
        <v>172</v>
      </c>
      <c r="H121">
        <v>0.71</v>
      </c>
      <c r="I121" t="s">
        <v>187</v>
      </c>
      <c r="J121" t="s">
        <v>173</v>
      </c>
      <c r="K121" t="s">
        <v>173</v>
      </c>
      <c r="L121" t="s">
        <v>173</v>
      </c>
      <c r="M121" t="s">
        <v>173</v>
      </c>
      <c r="N121" t="s">
        <v>173</v>
      </c>
      <c r="O121" t="s">
        <v>173</v>
      </c>
      <c r="P121" t="s">
        <v>173</v>
      </c>
      <c r="Q121" t="s">
        <v>173</v>
      </c>
      <c r="R121" t="s">
        <v>173</v>
      </c>
      <c r="S121" t="s">
        <v>173</v>
      </c>
      <c r="T121" t="s">
        <v>173</v>
      </c>
      <c r="U121" t="s">
        <v>173</v>
      </c>
      <c r="V121" t="s">
        <v>173</v>
      </c>
      <c r="W121" t="s">
        <v>173</v>
      </c>
      <c r="X121" t="s">
        <v>173</v>
      </c>
      <c r="Y121" t="s">
        <v>173</v>
      </c>
      <c r="Z121" t="s">
        <v>173</v>
      </c>
      <c r="AA121" t="s">
        <v>173</v>
      </c>
      <c r="AB121" t="s">
        <v>173</v>
      </c>
      <c r="AC121" t="s">
        <v>173</v>
      </c>
      <c r="AD121" t="s">
        <v>173</v>
      </c>
      <c r="AE121" t="s">
        <v>173</v>
      </c>
      <c r="AF121" t="s">
        <v>173</v>
      </c>
      <c r="AG121" t="s">
        <v>173</v>
      </c>
      <c r="AH121" t="s">
        <v>173</v>
      </c>
      <c r="AI121" t="s">
        <v>173</v>
      </c>
      <c r="AJ121" t="s">
        <v>173</v>
      </c>
      <c r="AK121" t="s">
        <v>173</v>
      </c>
      <c r="AL121" t="s">
        <v>173</v>
      </c>
      <c r="AM121" t="s">
        <v>173</v>
      </c>
      <c r="AN121" t="s">
        <v>173</v>
      </c>
      <c r="AO121" t="s">
        <v>173</v>
      </c>
      <c r="AP121" t="s">
        <v>173</v>
      </c>
      <c r="AQ121" t="s">
        <v>173</v>
      </c>
      <c r="AR121" t="s">
        <v>173</v>
      </c>
      <c r="AS121" t="s">
        <v>173</v>
      </c>
      <c r="AT121" t="s">
        <v>173</v>
      </c>
      <c r="AU121" t="s">
        <v>173</v>
      </c>
      <c r="AV121" t="s">
        <v>173</v>
      </c>
      <c r="AW121" t="s">
        <v>173</v>
      </c>
      <c r="AX121" t="s">
        <v>173</v>
      </c>
      <c r="AY121" t="s">
        <v>173</v>
      </c>
      <c r="AZ121" t="s">
        <v>173</v>
      </c>
      <c r="BA121" t="s">
        <v>173</v>
      </c>
      <c r="BB121" t="s">
        <v>173</v>
      </c>
      <c r="BC121" t="s">
        <v>173</v>
      </c>
      <c r="BD121" t="s">
        <v>173</v>
      </c>
      <c r="BE121" t="s">
        <v>173</v>
      </c>
      <c r="BF121" t="s">
        <v>173</v>
      </c>
      <c r="BG121" t="s">
        <v>173</v>
      </c>
      <c r="BH121" t="s">
        <v>173</v>
      </c>
      <c r="BI121" t="s">
        <v>173</v>
      </c>
      <c r="BJ121" t="s">
        <v>173</v>
      </c>
      <c r="BK121" t="s">
        <v>173</v>
      </c>
      <c r="BL121" t="s">
        <v>173</v>
      </c>
      <c r="BM121" t="s">
        <v>173</v>
      </c>
      <c r="BN121" t="s">
        <v>173</v>
      </c>
      <c r="BO121" t="s">
        <v>173</v>
      </c>
      <c r="BP121" t="s">
        <v>173</v>
      </c>
      <c r="BQ121" t="s">
        <v>173</v>
      </c>
      <c r="BR121" t="s">
        <v>173</v>
      </c>
      <c r="BS121" t="s">
        <v>173</v>
      </c>
      <c r="BT121" t="s">
        <v>173</v>
      </c>
      <c r="BU121" t="s">
        <v>173</v>
      </c>
      <c r="BV121" t="s">
        <v>173</v>
      </c>
      <c r="BX121" t="s">
        <v>173</v>
      </c>
      <c r="BY121" t="s">
        <v>173</v>
      </c>
      <c r="BZ121" t="s">
        <v>173</v>
      </c>
      <c r="CA121" t="s">
        <v>173</v>
      </c>
      <c r="CB121" t="s">
        <v>173</v>
      </c>
      <c r="CC121" t="s">
        <v>173</v>
      </c>
      <c r="CD121" t="s">
        <v>173</v>
      </c>
      <c r="CE121" t="s">
        <v>173</v>
      </c>
      <c r="CF121" t="s">
        <v>173</v>
      </c>
      <c r="CG121" t="s">
        <v>173</v>
      </c>
      <c r="CH121" t="s">
        <v>173</v>
      </c>
      <c r="CI121" t="s">
        <v>173</v>
      </c>
      <c r="CJ121" t="s">
        <v>173</v>
      </c>
      <c r="CK121" t="s">
        <v>173</v>
      </c>
      <c r="CL121" t="s">
        <v>173</v>
      </c>
      <c r="CM121" t="s">
        <v>173</v>
      </c>
      <c r="CN121" t="s">
        <v>173</v>
      </c>
      <c r="CO121" t="s">
        <v>173</v>
      </c>
      <c r="CP121" t="s">
        <v>173</v>
      </c>
      <c r="CQ121" t="s">
        <v>173</v>
      </c>
      <c r="CR121" t="s">
        <v>173</v>
      </c>
      <c r="CS121" t="s">
        <v>173</v>
      </c>
      <c r="CT121" t="s">
        <v>173</v>
      </c>
      <c r="CU121" t="s">
        <v>173</v>
      </c>
      <c r="CV121" t="s">
        <v>173</v>
      </c>
      <c r="CW121" t="s">
        <v>173</v>
      </c>
      <c r="CX121" t="s">
        <v>173</v>
      </c>
      <c r="CY121" t="s">
        <v>173</v>
      </c>
      <c r="CZ121" t="s">
        <v>173</v>
      </c>
      <c r="DA121" t="s">
        <v>173</v>
      </c>
      <c r="DB121" t="s">
        <v>173</v>
      </c>
      <c r="DC121" t="s">
        <v>173</v>
      </c>
      <c r="DD121" t="s">
        <v>173</v>
      </c>
      <c r="DE121" t="s">
        <v>173</v>
      </c>
      <c r="DF121" t="s">
        <v>173</v>
      </c>
      <c r="DG121" t="s">
        <v>173</v>
      </c>
      <c r="DH121" t="s">
        <v>173</v>
      </c>
    </row>
    <row r="122" spans="1:112">
      <c r="A122">
        <v>79</v>
      </c>
      <c r="B122" t="s">
        <v>410</v>
      </c>
      <c r="C122" t="s">
        <v>411</v>
      </c>
      <c r="D122">
        <v>2024</v>
      </c>
      <c r="E122" t="s">
        <v>412</v>
      </c>
      <c r="F122" t="s">
        <v>413</v>
      </c>
      <c r="G122" t="s">
        <v>172</v>
      </c>
      <c r="H122" t="s">
        <v>173</v>
      </c>
      <c r="I122" t="s">
        <v>197</v>
      </c>
      <c r="J122" t="s">
        <v>173</v>
      </c>
      <c r="K122" t="s">
        <v>173</v>
      </c>
      <c r="L122" t="s">
        <v>173</v>
      </c>
      <c r="M122" t="s">
        <v>173</v>
      </c>
      <c r="N122" t="s">
        <v>173</v>
      </c>
      <c r="O122" t="s">
        <v>173</v>
      </c>
      <c r="P122" t="s">
        <v>173</v>
      </c>
      <c r="Q122" t="s">
        <v>173</v>
      </c>
      <c r="R122" t="s">
        <v>173</v>
      </c>
      <c r="S122" t="s">
        <v>173</v>
      </c>
      <c r="T122" t="s">
        <v>173</v>
      </c>
      <c r="U122" t="s">
        <v>173</v>
      </c>
      <c r="V122" t="s">
        <v>173</v>
      </c>
      <c r="W122" t="s">
        <v>173</v>
      </c>
      <c r="X122" t="s">
        <v>173</v>
      </c>
      <c r="Y122" t="s">
        <v>173</v>
      </c>
      <c r="Z122" t="s">
        <v>173</v>
      </c>
      <c r="AA122" t="s">
        <v>173</v>
      </c>
      <c r="AB122" t="s">
        <v>173</v>
      </c>
      <c r="AC122" t="s">
        <v>173</v>
      </c>
      <c r="AD122" t="s">
        <v>173</v>
      </c>
      <c r="AE122" t="s">
        <v>173</v>
      </c>
      <c r="AF122" t="s">
        <v>173</v>
      </c>
      <c r="AG122" t="s">
        <v>173</v>
      </c>
      <c r="AH122" t="s">
        <v>173</v>
      </c>
      <c r="AI122" t="s">
        <v>173</v>
      </c>
      <c r="AJ122" t="s">
        <v>173</v>
      </c>
      <c r="AK122" t="s">
        <v>173</v>
      </c>
      <c r="AL122" t="s">
        <v>173</v>
      </c>
      <c r="AM122" t="s">
        <v>173</v>
      </c>
      <c r="AN122" t="s">
        <v>173</v>
      </c>
      <c r="AO122" t="s">
        <v>173</v>
      </c>
      <c r="AP122" t="s">
        <v>173</v>
      </c>
      <c r="AQ122" t="s">
        <v>173</v>
      </c>
      <c r="AR122" t="s">
        <v>173</v>
      </c>
      <c r="AS122" t="s">
        <v>173</v>
      </c>
      <c r="AT122" t="s">
        <v>173</v>
      </c>
      <c r="AU122" t="s">
        <v>173</v>
      </c>
      <c r="AV122" t="s">
        <v>173</v>
      </c>
      <c r="AW122" t="s">
        <v>173</v>
      </c>
      <c r="AX122" t="s">
        <v>173</v>
      </c>
      <c r="AY122" t="s">
        <v>173</v>
      </c>
      <c r="AZ122" t="s">
        <v>173</v>
      </c>
      <c r="BA122" t="s">
        <v>173</v>
      </c>
      <c r="BB122" t="s">
        <v>173</v>
      </c>
      <c r="BC122" t="s">
        <v>173</v>
      </c>
      <c r="BD122" t="s">
        <v>173</v>
      </c>
      <c r="BE122" t="s">
        <v>173</v>
      </c>
      <c r="BF122" t="s">
        <v>173</v>
      </c>
      <c r="BG122" t="s">
        <v>173</v>
      </c>
      <c r="BH122" t="s">
        <v>173</v>
      </c>
      <c r="BI122" t="s">
        <v>173</v>
      </c>
      <c r="BJ122" t="s">
        <v>173</v>
      </c>
      <c r="BK122" t="s">
        <v>173</v>
      </c>
      <c r="BL122" t="s">
        <v>173</v>
      </c>
      <c r="BM122" t="s">
        <v>173</v>
      </c>
      <c r="BN122" t="s">
        <v>173</v>
      </c>
      <c r="BO122" t="s">
        <v>173</v>
      </c>
      <c r="BP122" t="s">
        <v>173</v>
      </c>
      <c r="BQ122" t="s">
        <v>173</v>
      </c>
      <c r="BR122" t="s">
        <v>173</v>
      </c>
      <c r="BS122" t="s">
        <v>173</v>
      </c>
      <c r="BT122" t="s">
        <v>173</v>
      </c>
      <c r="BU122" t="s">
        <v>173</v>
      </c>
      <c r="BV122" t="s">
        <v>173</v>
      </c>
      <c r="BX122" t="s">
        <v>173</v>
      </c>
      <c r="BY122" t="s">
        <v>173</v>
      </c>
      <c r="BZ122" t="s">
        <v>173</v>
      </c>
      <c r="CA122" t="s">
        <v>173</v>
      </c>
      <c r="CB122" t="s">
        <v>173</v>
      </c>
      <c r="CC122" t="s">
        <v>173</v>
      </c>
      <c r="CD122" t="s">
        <v>173</v>
      </c>
      <c r="CE122" t="s">
        <v>173</v>
      </c>
      <c r="CF122" t="s">
        <v>173</v>
      </c>
      <c r="CG122" t="s">
        <v>173</v>
      </c>
      <c r="CH122" t="s">
        <v>173</v>
      </c>
      <c r="CI122" t="s">
        <v>173</v>
      </c>
      <c r="CJ122" t="s">
        <v>173</v>
      </c>
      <c r="CK122" t="s">
        <v>173</v>
      </c>
      <c r="CL122" t="s">
        <v>173</v>
      </c>
      <c r="CM122" t="s">
        <v>173</v>
      </c>
      <c r="CN122" t="s">
        <v>173</v>
      </c>
      <c r="CO122" t="s">
        <v>173</v>
      </c>
      <c r="CP122" t="s">
        <v>173</v>
      </c>
      <c r="CQ122" t="s">
        <v>173</v>
      </c>
      <c r="CR122" t="s">
        <v>173</v>
      </c>
      <c r="CS122" t="s">
        <v>173</v>
      </c>
      <c r="CT122" t="s">
        <v>173</v>
      </c>
      <c r="CU122" t="s">
        <v>173</v>
      </c>
      <c r="CV122" t="s">
        <v>173</v>
      </c>
      <c r="CW122" t="s">
        <v>173</v>
      </c>
      <c r="CX122" t="s">
        <v>173</v>
      </c>
      <c r="CY122" t="s">
        <v>173</v>
      </c>
      <c r="CZ122" t="s">
        <v>173</v>
      </c>
      <c r="DA122" t="s">
        <v>173</v>
      </c>
      <c r="DB122" t="s">
        <v>173</v>
      </c>
      <c r="DC122" t="s">
        <v>173</v>
      </c>
      <c r="DD122" t="s">
        <v>173</v>
      </c>
      <c r="DE122" t="s">
        <v>173</v>
      </c>
      <c r="DF122" t="s">
        <v>173</v>
      </c>
      <c r="DG122" t="s">
        <v>173</v>
      </c>
      <c r="DH122" t="s">
        <v>173</v>
      </c>
    </row>
    <row r="123" spans="1:112">
      <c r="A123">
        <v>79</v>
      </c>
      <c r="B123" t="s">
        <v>410</v>
      </c>
      <c r="C123" t="s">
        <v>411</v>
      </c>
      <c r="D123">
        <v>2024</v>
      </c>
      <c r="E123" t="s">
        <v>412</v>
      </c>
      <c r="F123" t="s">
        <v>413</v>
      </c>
      <c r="G123" t="s">
        <v>172</v>
      </c>
      <c r="H123" t="s">
        <v>173</v>
      </c>
      <c r="I123" t="s">
        <v>197</v>
      </c>
      <c r="J123" t="s">
        <v>173</v>
      </c>
      <c r="K123" t="s">
        <v>173</v>
      </c>
      <c r="L123" t="s">
        <v>173</v>
      </c>
      <c r="M123" t="s">
        <v>173</v>
      </c>
      <c r="N123" t="s">
        <v>173</v>
      </c>
      <c r="O123" t="s">
        <v>173</v>
      </c>
      <c r="P123" t="s">
        <v>173</v>
      </c>
      <c r="Q123" t="s">
        <v>173</v>
      </c>
      <c r="R123" t="s">
        <v>173</v>
      </c>
      <c r="S123" t="s">
        <v>173</v>
      </c>
      <c r="T123" t="s">
        <v>173</v>
      </c>
      <c r="U123" t="s">
        <v>173</v>
      </c>
      <c r="V123" t="s">
        <v>173</v>
      </c>
      <c r="W123" t="s">
        <v>173</v>
      </c>
      <c r="X123" t="s">
        <v>173</v>
      </c>
      <c r="Y123" t="s">
        <v>173</v>
      </c>
      <c r="Z123" t="s">
        <v>173</v>
      </c>
      <c r="AA123" t="s">
        <v>173</v>
      </c>
      <c r="AB123" t="s">
        <v>173</v>
      </c>
      <c r="AC123" t="s">
        <v>173</v>
      </c>
      <c r="AD123" t="s">
        <v>173</v>
      </c>
      <c r="AE123" t="s">
        <v>173</v>
      </c>
      <c r="AF123" t="s">
        <v>173</v>
      </c>
      <c r="AG123" t="s">
        <v>173</v>
      </c>
      <c r="AH123" t="s">
        <v>173</v>
      </c>
      <c r="AI123" t="s">
        <v>173</v>
      </c>
      <c r="AJ123" t="s">
        <v>173</v>
      </c>
      <c r="AK123" t="s">
        <v>173</v>
      </c>
      <c r="AL123" t="s">
        <v>173</v>
      </c>
      <c r="AM123" t="s">
        <v>173</v>
      </c>
      <c r="AN123" t="s">
        <v>173</v>
      </c>
      <c r="AO123" t="s">
        <v>173</v>
      </c>
      <c r="AP123" t="s">
        <v>173</v>
      </c>
      <c r="AQ123" t="s">
        <v>173</v>
      </c>
      <c r="AR123" t="s">
        <v>173</v>
      </c>
      <c r="AS123" t="s">
        <v>173</v>
      </c>
      <c r="AT123" t="s">
        <v>173</v>
      </c>
      <c r="AU123" t="s">
        <v>173</v>
      </c>
      <c r="AV123" t="s">
        <v>173</v>
      </c>
      <c r="AW123" t="s">
        <v>173</v>
      </c>
      <c r="AX123" t="s">
        <v>173</v>
      </c>
      <c r="AY123" t="s">
        <v>173</v>
      </c>
      <c r="AZ123" t="s">
        <v>173</v>
      </c>
      <c r="BA123" t="s">
        <v>173</v>
      </c>
      <c r="BB123" t="s">
        <v>173</v>
      </c>
      <c r="BC123" t="s">
        <v>173</v>
      </c>
      <c r="BD123" t="s">
        <v>173</v>
      </c>
      <c r="BE123" t="s">
        <v>173</v>
      </c>
      <c r="BF123" t="s">
        <v>173</v>
      </c>
      <c r="BG123" t="s">
        <v>173</v>
      </c>
      <c r="BH123" t="s">
        <v>173</v>
      </c>
      <c r="BI123" t="s">
        <v>173</v>
      </c>
      <c r="BJ123" t="s">
        <v>173</v>
      </c>
      <c r="BK123" t="s">
        <v>173</v>
      </c>
      <c r="BL123" t="s">
        <v>173</v>
      </c>
      <c r="BM123" t="s">
        <v>173</v>
      </c>
      <c r="BN123" t="s">
        <v>173</v>
      </c>
      <c r="BO123" t="s">
        <v>173</v>
      </c>
      <c r="BP123" t="s">
        <v>173</v>
      </c>
      <c r="BQ123" t="s">
        <v>173</v>
      </c>
      <c r="BR123" t="s">
        <v>173</v>
      </c>
      <c r="BS123" t="s">
        <v>173</v>
      </c>
      <c r="BT123" t="s">
        <v>173</v>
      </c>
      <c r="BU123" t="s">
        <v>173</v>
      </c>
      <c r="BV123" t="s">
        <v>173</v>
      </c>
      <c r="BX123" t="s">
        <v>173</v>
      </c>
      <c r="BY123" t="s">
        <v>173</v>
      </c>
      <c r="BZ123" t="s">
        <v>173</v>
      </c>
      <c r="CA123" t="s">
        <v>173</v>
      </c>
      <c r="CB123" t="s">
        <v>173</v>
      </c>
      <c r="CC123" t="s">
        <v>173</v>
      </c>
      <c r="CD123" t="s">
        <v>173</v>
      </c>
      <c r="CE123" t="s">
        <v>173</v>
      </c>
      <c r="CF123" t="s">
        <v>173</v>
      </c>
      <c r="CG123" t="s">
        <v>173</v>
      </c>
      <c r="CH123" t="s">
        <v>173</v>
      </c>
      <c r="CI123" t="s">
        <v>173</v>
      </c>
      <c r="CJ123" t="s">
        <v>173</v>
      </c>
      <c r="CK123" t="s">
        <v>173</v>
      </c>
      <c r="CL123" t="s">
        <v>173</v>
      </c>
      <c r="CM123" t="s">
        <v>173</v>
      </c>
      <c r="CN123" t="s">
        <v>173</v>
      </c>
      <c r="CO123" t="s">
        <v>173</v>
      </c>
      <c r="CP123" t="s">
        <v>173</v>
      </c>
      <c r="CQ123" t="s">
        <v>173</v>
      </c>
      <c r="CR123" t="s">
        <v>173</v>
      </c>
      <c r="CS123" t="s">
        <v>173</v>
      </c>
      <c r="CT123" t="s">
        <v>173</v>
      </c>
      <c r="CU123" t="s">
        <v>173</v>
      </c>
      <c r="CV123" t="s">
        <v>173</v>
      </c>
      <c r="CW123" t="s">
        <v>173</v>
      </c>
      <c r="CX123" t="s">
        <v>173</v>
      </c>
      <c r="CY123" t="s">
        <v>173</v>
      </c>
      <c r="CZ123" t="s">
        <v>173</v>
      </c>
      <c r="DA123" t="s">
        <v>173</v>
      </c>
      <c r="DB123" t="s">
        <v>173</v>
      </c>
      <c r="DC123" t="s">
        <v>173</v>
      </c>
      <c r="DD123" t="s">
        <v>173</v>
      </c>
      <c r="DE123" t="s">
        <v>173</v>
      </c>
      <c r="DF123" t="s">
        <v>173</v>
      </c>
      <c r="DG123" t="s">
        <v>173</v>
      </c>
      <c r="DH123" t="s">
        <v>173</v>
      </c>
    </row>
    <row r="124" spans="1:112">
      <c r="A124">
        <v>79</v>
      </c>
      <c r="B124" t="s">
        <v>410</v>
      </c>
      <c r="C124" t="s">
        <v>411</v>
      </c>
      <c r="D124">
        <v>2024</v>
      </c>
      <c r="E124" t="s">
        <v>412</v>
      </c>
      <c r="F124" t="s">
        <v>413</v>
      </c>
      <c r="G124" t="s">
        <v>172</v>
      </c>
      <c r="H124" t="s">
        <v>173</v>
      </c>
      <c r="I124" t="s">
        <v>197</v>
      </c>
      <c r="J124" t="s">
        <v>173</v>
      </c>
      <c r="K124" t="s">
        <v>173</v>
      </c>
      <c r="L124" t="s">
        <v>173</v>
      </c>
      <c r="M124" t="s">
        <v>173</v>
      </c>
      <c r="N124" t="s">
        <v>173</v>
      </c>
      <c r="O124" t="s">
        <v>173</v>
      </c>
      <c r="P124" t="s">
        <v>173</v>
      </c>
      <c r="Q124" t="s">
        <v>173</v>
      </c>
      <c r="R124" t="s">
        <v>173</v>
      </c>
      <c r="S124" t="s">
        <v>173</v>
      </c>
      <c r="T124" t="s">
        <v>173</v>
      </c>
      <c r="U124" t="s">
        <v>173</v>
      </c>
      <c r="V124" t="s">
        <v>173</v>
      </c>
      <c r="W124" t="s">
        <v>173</v>
      </c>
      <c r="X124" t="s">
        <v>173</v>
      </c>
      <c r="Y124" t="s">
        <v>173</v>
      </c>
      <c r="Z124" t="s">
        <v>173</v>
      </c>
      <c r="AA124" t="s">
        <v>173</v>
      </c>
      <c r="AB124" t="s">
        <v>173</v>
      </c>
      <c r="AC124" t="s">
        <v>173</v>
      </c>
      <c r="AD124" t="s">
        <v>173</v>
      </c>
      <c r="AE124" t="s">
        <v>173</v>
      </c>
      <c r="AF124" t="s">
        <v>173</v>
      </c>
      <c r="AG124" t="s">
        <v>173</v>
      </c>
      <c r="AH124" t="s">
        <v>173</v>
      </c>
      <c r="AI124" t="s">
        <v>173</v>
      </c>
      <c r="AJ124" t="s">
        <v>173</v>
      </c>
      <c r="AK124" t="s">
        <v>173</v>
      </c>
      <c r="AL124" t="s">
        <v>173</v>
      </c>
      <c r="AM124" t="s">
        <v>173</v>
      </c>
      <c r="AN124" t="s">
        <v>173</v>
      </c>
      <c r="AO124" t="s">
        <v>173</v>
      </c>
      <c r="AP124" t="s">
        <v>173</v>
      </c>
      <c r="AQ124" t="s">
        <v>173</v>
      </c>
      <c r="AR124" t="s">
        <v>173</v>
      </c>
      <c r="AS124" t="s">
        <v>173</v>
      </c>
      <c r="AT124" t="s">
        <v>173</v>
      </c>
      <c r="AU124" t="s">
        <v>173</v>
      </c>
      <c r="AV124" t="s">
        <v>173</v>
      </c>
      <c r="AW124" t="s">
        <v>173</v>
      </c>
      <c r="AX124" t="s">
        <v>173</v>
      </c>
      <c r="AY124" t="s">
        <v>173</v>
      </c>
      <c r="AZ124" t="s">
        <v>173</v>
      </c>
      <c r="BA124" t="s">
        <v>173</v>
      </c>
      <c r="BB124" t="s">
        <v>173</v>
      </c>
      <c r="BC124" t="s">
        <v>173</v>
      </c>
      <c r="BD124" t="s">
        <v>173</v>
      </c>
      <c r="BE124" t="s">
        <v>173</v>
      </c>
      <c r="BF124" t="s">
        <v>173</v>
      </c>
      <c r="BG124" t="s">
        <v>173</v>
      </c>
      <c r="BH124" t="s">
        <v>173</v>
      </c>
      <c r="BI124" t="s">
        <v>173</v>
      </c>
      <c r="BJ124" t="s">
        <v>173</v>
      </c>
      <c r="BK124" t="s">
        <v>173</v>
      </c>
      <c r="BL124" t="s">
        <v>173</v>
      </c>
      <c r="BM124" t="s">
        <v>173</v>
      </c>
      <c r="BN124" t="s">
        <v>173</v>
      </c>
      <c r="BO124" t="s">
        <v>173</v>
      </c>
      <c r="BP124" t="s">
        <v>173</v>
      </c>
      <c r="BQ124" t="s">
        <v>173</v>
      </c>
      <c r="BR124" t="s">
        <v>173</v>
      </c>
      <c r="BS124" t="s">
        <v>173</v>
      </c>
      <c r="BT124" t="s">
        <v>173</v>
      </c>
      <c r="BU124" t="s">
        <v>173</v>
      </c>
      <c r="BV124" t="s">
        <v>173</v>
      </c>
      <c r="BX124" t="s">
        <v>173</v>
      </c>
      <c r="BY124" t="s">
        <v>173</v>
      </c>
      <c r="BZ124" t="s">
        <v>173</v>
      </c>
      <c r="CA124" t="s">
        <v>173</v>
      </c>
      <c r="CB124" t="s">
        <v>173</v>
      </c>
      <c r="CC124" t="s">
        <v>173</v>
      </c>
      <c r="CD124" t="s">
        <v>173</v>
      </c>
      <c r="CE124" t="s">
        <v>173</v>
      </c>
      <c r="CF124" t="s">
        <v>173</v>
      </c>
      <c r="CG124" t="s">
        <v>173</v>
      </c>
      <c r="CH124" t="s">
        <v>173</v>
      </c>
      <c r="CI124" t="s">
        <v>173</v>
      </c>
      <c r="CJ124" t="s">
        <v>173</v>
      </c>
      <c r="CK124" t="s">
        <v>173</v>
      </c>
      <c r="CL124" t="s">
        <v>173</v>
      </c>
      <c r="CM124" t="s">
        <v>173</v>
      </c>
      <c r="CN124" t="s">
        <v>173</v>
      </c>
      <c r="CO124" t="s">
        <v>173</v>
      </c>
      <c r="CP124" t="s">
        <v>173</v>
      </c>
      <c r="CQ124" t="s">
        <v>173</v>
      </c>
      <c r="CR124" t="s">
        <v>173</v>
      </c>
      <c r="CS124" t="s">
        <v>173</v>
      </c>
      <c r="CT124" t="s">
        <v>173</v>
      </c>
      <c r="CU124" t="s">
        <v>173</v>
      </c>
      <c r="CV124" t="s">
        <v>173</v>
      </c>
      <c r="CW124" t="s">
        <v>173</v>
      </c>
      <c r="CX124" t="s">
        <v>173</v>
      </c>
      <c r="CY124" t="s">
        <v>173</v>
      </c>
      <c r="CZ124" t="s">
        <v>173</v>
      </c>
      <c r="DA124" t="s">
        <v>173</v>
      </c>
      <c r="DB124" t="s">
        <v>173</v>
      </c>
      <c r="DC124" t="s">
        <v>173</v>
      </c>
      <c r="DD124" t="s">
        <v>173</v>
      </c>
      <c r="DE124" t="s">
        <v>173</v>
      </c>
      <c r="DF124" t="s">
        <v>173</v>
      </c>
      <c r="DG124" t="s">
        <v>173</v>
      </c>
      <c r="DH124" t="s">
        <v>173</v>
      </c>
    </row>
    <row r="125" spans="1:112">
      <c r="A125">
        <v>79</v>
      </c>
      <c r="B125" t="s">
        <v>410</v>
      </c>
      <c r="C125" t="s">
        <v>411</v>
      </c>
      <c r="D125">
        <v>2024</v>
      </c>
      <c r="E125" t="s">
        <v>412</v>
      </c>
      <c r="F125" t="s">
        <v>413</v>
      </c>
      <c r="G125" t="s">
        <v>172</v>
      </c>
      <c r="H125" t="s">
        <v>173</v>
      </c>
      <c r="I125" t="s">
        <v>197</v>
      </c>
      <c r="J125" t="s">
        <v>173</v>
      </c>
      <c r="K125" t="s">
        <v>173</v>
      </c>
      <c r="L125" t="s">
        <v>173</v>
      </c>
      <c r="M125" t="s">
        <v>173</v>
      </c>
      <c r="N125" t="s">
        <v>173</v>
      </c>
      <c r="O125" t="s">
        <v>173</v>
      </c>
      <c r="P125" t="s">
        <v>173</v>
      </c>
      <c r="Q125" t="s">
        <v>173</v>
      </c>
      <c r="R125" t="s">
        <v>173</v>
      </c>
      <c r="S125" t="s">
        <v>173</v>
      </c>
      <c r="T125" t="s">
        <v>173</v>
      </c>
      <c r="U125" t="s">
        <v>173</v>
      </c>
      <c r="V125" t="s">
        <v>173</v>
      </c>
      <c r="W125" t="s">
        <v>173</v>
      </c>
      <c r="X125" t="s">
        <v>173</v>
      </c>
      <c r="Y125" t="s">
        <v>173</v>
      </c>
      <c r="Z125" t="s">
        <v>173</v>
      </c>
      <c r="AA125" t="s">
        <v>173</v>
      </c>
      <c r="AB125" t="s">
        <v>173</v>
      </c>
      <c r="AC125" t="s">
        <v>173</v>
      </c>
      <c r="AD125" t="s">
        <v>173</v>
      </c>
      <c r="AE125" t="s">
        <v>173</v>
      </c>
      <c r="AF125" t="s">
        <v>173</v>
      </c>
      <c r="AG125" t="s">
        <v>173</v>
      </c>
      <c r="AH125" t="s">
        <v>173</v>
      </c>
      <c r="AI125" t="s">
        <v>173</v>
      </c>
      <c r="AJ125" t="s">
        <v>173</v>
      </c>
      <c r="AK125" t="s">
        <v>173</v>
      </c>
      <c r="AL125" t="s">
        <v>173</v>
      </c>
      <c r="AM125" t="s">
        <v>173</v>
      </c>
      <c r="AN125" t="s">
        <v>173</v>
      </c>
      <c r="AO125" t="s">
        <v>173</v>
      </c>
      <c r="AP125" t="s">
        <v>173</v>
      </c>
      <c r="AQ125" t="s">
        <v>173</v>
      </c>
      <c r="AR125" t="s">
        <v>173</v>
      </c>
      <c r="AS125" t="s">
        <v>173</v>
      </c>
      <c r="AT125" t="s">
        <v>173</v>
      </c>
      <c r="AU125" t="s">
        <v>173</v>
      </c>
      <c r="AV125" t="s">
        <v>173</v>
      </c>
      <c r="AW125" t="s">
        <v>173</v>
      </c>
      <c r="AX125" t="s">
        <v>173</v>
      </c>
      <c r="AY125" t="s">
        <v>173</v>
      </c>
      <c r="AZ125" t="s">
        <v>173</v>
      </c>
      <c r="BA125" t="s">
        <v>173</v>
      </c>
      <c r="BB125" t="s">
        <v>173</v>
      </c>
      <c r="BC125" t="s">
        <v>173</v>
      </c>
      <c r="BD125" t="s">
        <v>173</v>
      </c>
      <c r="BE125" t="s">
        <v>173</v>
      </c>
      <c r="BF125" t="s">
        <v>173</v>
      </c>
      <c r="BG125" t="s">
        <v>173</v>
      </c>
      <c r="BH125" t="s">
        <v>173</v>
      </c>
      <c r="BI125" t="s">
        <v>173</v>
      </c>
      <c r="BJ125" t="s">
        <v>173</v>
      </c>
      <c r="BK125" t="s">
        <v>173</v>
      </c>
      <c r="BL125" t="s">
        <v>173</v>
      </c>
      <c r="BM125" t="s">
        <v>173</v>
      </c>
      <c r="BN125" t="s">
        <v>173</v>
      </c>
      <c r="BO125" t="s">
        <v>173</v>
      </c>
      <c r="BP125" t="s">
        <v>173</v>
      </c>
      <c r="BQ125" t="s">
        <v>173</v>
      </c>
      <c r="BR125" t="s">
        <v>173</v>
      </c>
      <c r="BS125" t="s">
        <v>173</v>
      </c>
      <c r="BT125" t="s">
        <v>173</v>
      </c>
      <c r="BU125" t="s">
        <v>173</v>
      </c>
      <c r="BV125" t="s">
        <v>173</v>
      </c>
      <c r="BX125" t="s">
        <v>173</v>
      </c>
      <c r="BY125" t="s">
        <v>173</v>
      </c>
      <c r="BZ125" t="s">
        <v>173</v>
      </c>
      <c r="CA125" t="s">
        <v>173</v>
      </c>
      <c r="CB125" t="s">
        <v>173</v>
      </c>
      <c r="CC125" t="s">
        <v>173</v>
      </c>
      <c r="CD125" t="s">
        <v>173</v>
      </c>
      <c r="CE125" t="s">
        <v>173</v>
      </c>
      <c r="CF125" t="s">
        <v>173</v>
      </c>
      <c r="CG125" t="s">
        <v>173</v>
      </c>
      <c r="CH125" t="s">
        <v>173</v>
      </c>
      <c r="CI125" t="s">
        <v>173</v>
      </c>
      <c r="CJ125" t="s">
        <v>173</v>
      </c>
      <c r="CK125" t="s">
        <v>173</v>
      </c>
      <c r="CL125" t="s">
        <v>173</v>
      </c>
      <c r="CM125" t="s">
        <v>173</v>
      </c>
      <c r="CN125" t="s">
        <v>173</v>
      </c>
      <c r="CO125" t="s">
        <v>173</v>
      </c>
      <c r="CP125" t="s">
        <v>173</v>
      </c>
      <c r="CQ125" t="s">
        <v>173</v>
      </c>
      <c r="CR125" t="s">
        <v>173</v>
      </c>
      <c r="CS125" t="s">
        <v>173</v>
      </c>
      <c r="CT125" t="s">
        <v>173</v>
      </c>
      <c r="CU125" t="s">
        <v>173</v>
      </c>
      <c r="CV125" t="s">
        <v>173</v>
      </c>
      <c r="CW125" t="s">
        <v>173</v>
      </c>
      <c r="CX125" t="s">
        <v>173</v>
      </c>
      <c r="CY125" t="s">
        <v>173</v>
      </c>
      <c r="CZ125" t="s">
        <v>173</v>
      </c>
      <c r="DA125" t="s">
        <v>173</v>
      </c>
      <c r="DB125" t="s">
        <v>173</v>
      </c>
      <c r="DC125" t="s">
        <v>173</v>
      </c>
      <c r="DD125" t="s">
        <v>173</v>
      </c>
      <c r="DE125" t="s">
        <v>173</v>
      </c>
      <c r="DF125" t="s">
        <v>173</v>
      </c>
      <c r="DG125" t="s">
        <v>173</v>
      </c>
      <c r="DH125" t="s">
        <v>173</v>
      </c>
    </row>
    <row r="126" spans="1:112">
      <c r="A126">
        <v>79</v>
      </c>
      <c r="B126" t="s">
        <v>410</v>
      </c>
      <c r="C126" t="s">
        <v>411</v>
      </c>
      <c r="D126">
        <v>2024</v>
      </c>
      <c r="E126" t="s">
        <v>412</v>
      </c>
      <c r="F126" t="s">
        <v>413</v>
      </c>
      <c r="G126" t="s">
        <v>172</v>
      </c>
      <c r="H126" t="s">
        <v>173</v>
      </c>
      <c r="I126" t="s">
        <v>197</v>
      </c>
      <c r="J126" t="s">
        <v>173</v>
      </c>
      <c r="K126" t="s">
        <v>173</v>
      </c>
      <c r="L126" t="s">
        <v>173</v>
      </c>
      <c r="M126" t="s">
        <v>173</v>
      </c>
      <c r="N126" t="s">
        <v>173</v>
      </c>
      <c r="O126" t="s">
        <v>173</v>
      </c>
      <c r="P126" t="s">
        <v>173</v>
      </c>
      <c r="Q126" t="s">
        <v>173</v>
      </c>
      <c r="R126" t="s">
        <v>173</v>
      </c>
      <c r="S126" t="s">
        <v>173</v>
      </c>
      <c r="T126" t="s">
        <v>173</v>
      </c>
      <c r="U126" t="s">
        <v>173</v>
      </c>
      <c r="V126" t="s">
        <v>173</v>
      </c>
      <c r="W126" t="s">
        <v>173</v>
      </c>
      <c r="X126" t="s">
        <v>173</v>
      </c>
      <c r="Y126" t="s">
        <v>173</v>
      </c>
      <c r="Z126" t="s">
        <v>173</v>
      </c>
      <c r="AA126" t="s">
        <v>173</v>
      </c>
      <c r="AB126" t="s">
        <v>173</v>
      </c>
      <c r="AC126" t="s">
        <v>173</v>
      </c>
      <c r="AD126" t="s">
        <v>173</v>
      </c>
      <c r="AE126" t="s">
        <v>173</v>
      </c>
      <c r="AF126" t="s">
        <v>173</v>
      </c>
      <c r="AG126" t="s">
        <v>173</v>
      </c>
      <c r="AH126" t="s">
        <v>173</v>
      </c>
      <c r="AI126" t="s">
        <v>173</v>
      </c>
      <c r="AJ126" t="s">
        <v>173</v>
      </c>
      <c r="AK126" t="s">
        <v>173</v>
      </c>
      <c r="AL126" t="s">
        <v>173</v>
      </c>
      <c r="AM126" t="s">
        <v>173</v>
      </c>
      <c r="AN126" t="s">
        <v>173</v>
      </c>
      <c r="AO126" t="s">
        <v>173</v>
      </c>
      <c r="AP126" t="s">
        <v>173</v>
      </c>
      <c r="AQ126" t="s">
        <v>173</v>
      </c>
      <c r="AR126" t="s">
        <v>173</v>
      </c>
      <c r="AS126" t="s">
        <v>173</v>
      </c>
      <c r="AT126" t="s">
        <v>173</v>
      </c>
      <c r="AU126" t="s">
        <v>173</v>
      </c>
      <c r="AV126" t="s">
        <v>173</v>
      </c>
      <c r="AW126" t="s">
        <v>173</v>
      </c>
      <c r="AX126" t="s">
        <v>173</v>
      </c>
      <c r="AY126" t="s">
        <v>173</v>
      </c>
      <c r="AZ126" t="s">
        <v>173</v>
      </c>
      <c r="BA126" t="s">
        <v>173</v>
      </c>
      <c r="BB126" t="s">
        <v>173</v>
      </c>
      <c r="BC126" t="s">
        <v>173</v>
      </c>
      <c r="BD126" t="s">
        <v>173</v>
      </c>
      <c r="BE126" t="s">
        <v>173</v>
      </c>
      <c r="BF126" t="s">
        <v>173</v>
      </c>
      <c r="BG126" t="s">
        <v>173</v>
      </c>
      <c r="BH126" t="s">
        <v>173</v>
      </c>
      <c r="BI126" t="s">
        <v>173</v>
      </c>
      <c r="BJ126" t="s">
        <v>173</v>
      </c>
      <c r="BK126" t="s">
        <v>173</v>
      </c>
      <c r="BL126" t="s">
        <v>173</v>
      </c>
      <c r="BM126" t="s">
        <v>173</v>
      </c>
      <c r="BN126" t="s">
        <v>173</v>
      </c>
      <c r="BO126" t="s">
        <v>173</v>
      </c>
      <c r="BP126" t="s">
        <v>173</v>
      </c>
      <c r="BQ126" t="s">
        <v>173</v>
      </c>
      <c r="BR126" t="s">
        <v>173</v>
      </c>
      <c r="BS126" t="s">
        <v>173</v>
      </c>
      <c r="BT126" t="s">
        <v>173</v>
      </c>
      <c r="BU126" t="s">
        <v>173</v>
      </c>
      <c r="BV126" t="s">
        <v>173</v>
      </c>
      <c r="BX126" t="s">
        <v>173</v>
      </c>
      <c r="BY126" t="s">
        <v>173</v>
      </c>
      <c r="BZ126" t="s">
        <v>173</v>
      </c>
      <c r="CA126" t="s">
        <v>173</v>
      </c>
      <c r="CB126" t="s">
        <v>173</v>
      </c>
      <c r="CC126" t="s">
        <v>173</v>
      </c>
      <c r="CD126" t="s">
        <v>173</v>
      </c>
      <c r="CE126" t="s">
        <v>173</v>
      </c>
      <c r="CF126" t="s">
        <v>173</v>
      </c>
      <c r="CG126" t="s">
        <v>173</v>
      </c>
      <c r="CH126" t="s">
        <v>173</v>
      </c>
      <c r="CI126" t="s">
        <v>173</v>
      </c>
      <c r="CJ126" t="s">
        <v>173</v>
      </c>
      <c r="CK126" t="s">
        <v>173</v>
      </c>
      <c r="CL126" t="s">
        <v>173</v>
      </c>
      <c r="CM126" t="s">
        <v>173</v>
      </c>
      <c r="CN126" t="s">
        <v>173</v>
      </c>
      <c r="CO126" t="s">
        <v>173</v>
      </c>
      <c r="CP126" t="s">
        <v>173</v>
      </c>
      <c r="CQ126" t="s">
        <v>173</v>
      </c>
      <c r="CR126" t="s">
        <v>173</v>
      </c>
      <c r="CS126" t="s">
        <v>173</v>
      </c>
      <c r="CT126" t="s">
        <v>173</v>
      </c>
      <c r="CU126" t="s">
        <v>173</v>
      </c>
      <c r="CV126" t="s">
        <v>173</v>
      </c>
      <c r="CW126" t="s">
        <v>173</v>
      </c>
      <c r="CX126" t="s">
        <v>173</v>
      </c>
      <c r="CY126" t="s">
        <v>173</v>
      </c>
      <c r="CZ126" t="s">
        <v>173</v>
      </c>
      <c r="DA126" t="s">
        <v>173</v>
      </c>
      <c r="DB126" t="s">
        <v>173</v>
      </c>
      <c r="DC126" t="s">
        <v>173</v>
      </c>
      <c r="DD126" t="s">
        <v>173</v>
      </c>
      <c r="DE126" t="s">
        <v>173</v>
      </c>
      <c r="DF126" t="s">
        <v>173</v>
      </c>
      <c r="DG126" t="s">
        <v>173</v>
      </c>
      <c r="DH126" t="s">
        <v>173</v>
      </c>
    </row>
    <row r="127" spans="1:112">
      <c r="A127">
        <v>82</v>
      </c>
      <c r="B127" t="s">
        <v>414</v>
      </c>
      <c r="C127" t="s">
        <v>415</v>
      </c>
      <c r="D127">
        <v>2024</v>
      </c>
      <c r="E127" t="s">
        <v>249</v>
      </c>
      <c r="F127" t="s">
        <v>416</v>
      </c>
      <c r="G127" t="s">
        <v>172</v>
      </c>
      <c r="H127">
        <v>0.71</v>
      </c>
      <c r="I127" t="s">
        <v>187</v>
      </c>
      <c r="J127" t="s">
        <v>173</v>
      </c>
      <c r="K127" t="s">
        <v>173</v>
      </c>
      <c r="L127" t="s">
        <v>173</v>
      </c>
      <c r="M127" t="s">
        <v>173</v>
      </c>
      <c r="N127" t="s">
        <v>173</v>
      </c>
      <c r="O127" t="s">
        <v>173</v>
      </c>
      <c r="P127" t="s">
        <v>173</v>
      </c>
      <c r="Q127" t="s">
        <v>173</v>
      </c>
      <c r="R127" t="s">
        <v>173</v>
      </c>
      <c r="S127" t="s">
        <v>173</v>
      </c>
      <c r="T127" t="s">
        <v>173</v>
      </c>
      <c r="U127" t="s">
        <v>173</v>
      </c>
      <c r="V127" t="s">
        <v>173</v>
      </c>
      <c r="W127" t="s">
        <v>173</v>
      </c>
      <c r="X127" t="s">
        <v>173</v>
      </c>
      <c r="Y127" t="s">
        <v>173</v>
      </c>
      <c r="Z127" t="s">
        <v>173</v>
      </c>
      <c r="AA127" t="s">
        <v>173</v>
      </c>
      <c r="AB127" t="s">
        <v>173</v>
      </c>
      <c r="AC127" t="s">
        <v>173</v>
      </c>
      <c r="AD127" t="s">
        <v>173</v>
      </c>
      <c r="AE127" t="s">
        <v>173</v>
      </c>
      <c r="AF127" t="s">
        <v>173</v>
      </c>
      <c r="AG127" t="s">
        <v>173</v>
      </c>
      <c r="AH127" t="s">
        <v>173</v>
      </c>
      <c r="AI127" t="s">
        <v>173</v>
      </c>
      <c r="AJ127" t="s">
        <v>173</v>
      </c>
      <c r="AK127" t="s">
        <v>173</v>
      </c>
      <c r="AL127" t="s">
        <v>173</v>
      </c>
      <c r="AM127" t="s">
        <v>173</v>
      </c>
      <c r="AN127" t="s">
        <v>173</v>
      </c>
      <c r="AO127" t="s">
        <v>173</v>
      </c>
      <c r="AP127" t="s">
        <v>173</v>
      </c>
      <c r="AQ127" t="s">
        <v>173</v>
      </c>
      <c r="AR127" t="s">
        <v>173</v>
      </c>
      <c r="AS127" t="s">
        <v>173</v>
      </c>
      <c r="AT127" t="s">
        <v>173</v>
      </c>
      <c r="AU127" t="s">
        <v>173</v>
      </c>
      <c r="AV127" t="s">
        <v>173</v>
      </c>
      <c r="AW127" t="s">
        <v>173</v>
      </c>
      <c r="AX127" t="s">
        <v>173</v>
      </c>
      <c r="AY127" t="s">
        <v>173</v>
      </c>
      <c r="AZ127" t="s">
        <v>173</v>
      </c>
      <c r="BA127" t="s">
        <v>173</v>
      </c>
      <c r="BB127" t="s">
        <v>173</v>
      </c>
      <c r="BC127" t="s">
        <v>173</v>
      </c>
      <c r="BD127" t="s">
        <v>173</v>
      </c>
      <c r="BE127" t="s">
        <v>173</v>
      </c>
      <c r="BF127" t="s">
        <v>173</v>
      </c>
      <c r="BG127" t="s">
        <v>173</v>
      </c>
      <c r="BH127" t="s">
        <v>173</v>
      </c>
      <c r="BI127" t="s">
        <v>173</v>
      </c>
      <c r="BJ127" t="s">
        <v>173</v>
      </c>
      <c r="BK127" t="s">
        <v>173</v>
      </c>
      <c r="BL127" t="s">
        <v>173</v>
      </c>
      <c r="BM127" t="s">
        <v>173</v>
      </c>
      <c r="BN127" t="s">
        <v>173</v>
      </c>
      <c r="BO127" t="s">
        <v>173</v>
      </c>
      <c r="BP127" t="s">
        <v>173</v>
      </c>
      <c r="BQ127" t="s">
        <v>173</v>
      </c>
      <c r="BR127" t="s">
        <v>173</v>
      </c>
      <c r="BS127" t="s">
        <v>173</v>
      </c>
      <c r="BT127" t="s">
        <v>173</v>
      </c>
      <c r="BU127" t="s">
        <v>173</v>
      </c>
      <c r="BV127" t="s">
        <v>173</v>
      </c>
      <c r="BX127" t="s">
        <v>173</v>
      </c>
      <c r="BY127" t="s">
        <v>173</v>
      </c>
      <c r="BZ127" t="s">
        <v>173</v>
      </c>
      <c r="CA127" t="s">
        <v>173</v>
      </c>
      <c r="CB127" t="s">
        <v>173</v>
      </c>
      <c r="CC127" t="s">
        <v>173</v>
      </c>
      <c r="CD127" t="s">
        <v>173</v>
      </c>
      <c r="CE127" t="s">
        <v>173</v>
      </c>
      <c r="CF127" t="s">
        <v>173</v>
      </c>
      <c r="CG127" t="s">
        <v>173</v>
      </c>
      <c r="CH127" t="s">
        <v>173</v>
      </c>
      <c r="CI127" t="s">
        <v>173</v>
      </c>
      <c r="CJ127" t="s">
        <v>173</v>
      </c>
      <c r="CK127" t="s">
        <v>173</v>
      </c>
      <c r="CL127" t="s">
        <v>173</v>
      </c>
      <c r="CM127" t="s">
        <v>173</v>
      </c>
      <c r="CN127" t="s">
        <v>173</v>
      </c>
      <c r="CO127" t="s">
        <v>173</v>
      </c>
      <c r="CP127" t="s">
        <v>173</v>
      </c>
      <c r="CQ127" t="s">
        <v>173</v>
      </c>
      <c r="CR127" t="s">
        <v>173</v>
      </c>
      <c r="CS127" t="s">
        <v>173</v>
      </c>
      <c r="CT127" t="s">
        <v>173</v>
      </c>
      <c r="CU127" t="s">
        <v>173</v>
      </c>
      <c r="CV127" t="s">
        <v>173</v>
      </c>
      <c r="CW127" t="s">
        <v>173</v>
      </c>
      <c r="CX127" t="s">
        <v>173</v>
      </c>
      <c r="CY127" t="s">
        <v>173</v>
      </c>
      <c r="CZ127" t="s">
        <v>173</v>
      </c>
      <c r="DA127" t="s">
        <v>173</v>
      </c>
      <c r="DB127" t="s">
        <v>173</v>
      </c>
      <c r="DC127" t="s">
        <v>173</v>
      </c>
      <c r="DD127" t="s">
        <v>173</v>
      </c>
      <c r="DE127" t="s">
        <v>173</v>
      </c>
      <c r="DF127" t="s">
        <v>173</v>
      </c>
      <c r="DG127" t="s">
        <v>173</v>
      </c>
      <c r="DH127" t="s">
        <v>173</v>
      </c>
    </row>
    <row r="128" spans="1:112">
      <c r="A128">
        <v>82</v>
      </c>
      <c r="B128" t="s">
        <v>414</v>
      </c>
      <c r="C128" t="s">
        <v>415</v>
      </c>
      <c r="D128">
        <v>2024</v>
      </c>
      <c r="E128" t="s">
        <v>249</v>
      </c>
      <c r="F128" t="s">
        <v>416</v>
      </c>
      <c r="G128" t="s">
        <v>172</v>
      </c>
      <c r="H128">
        <v>0.71</v>
      </c>
      <c r="I128" t="s">
        <v>187</v>
      </c>
      <c r="J128" t="s">
        <v>173</v>
      </c>
      <c r="K128" t="s">
        <v>173</v>
      </c>
      <c r="L128" t="s">
        <v>173</v>
      </c>
      <c r="M128" t="s">
        <v>173</v>
      </c>
      <c r="N128" t="s">
        <v>173</v>
      </c>
      <c r="O128" t="s">
        <v>173</v>
      </c>
      <c r="P128" t="s">
        <v>173</v>
      </c>
      <c r="Q128" t="s">
        <v>173</v>
      </c>
      <c r="R128" t="s">
        <v>173</v>
      </c>
      <c r="S128" t="s">
        <v>173</v>
      </c>
      <c r="T128" t="s">
        <v>173</v>
      </c>
      <c r="U128" t="s">
        <v>173</v>
      </c>
      <c r="V128" t="s">
        <v>173</v>
      </c>
      <c r="W128" t="s">
        <v>173</v>
      </c>
      <c r="X128" t="s">
        <v>173</v>
      </c>
      <c r="Y128" t="s">
        <v>173</v>
      </c>
      <c r="Z128" t="s">
        <v>173</v>
      </c>
      <c r="AA128" t="s">
        <v>173</v>
      </c>
      <c r="AB128" t="s">
        <v>173</v>
      </c>
      <c r="AC128" t="s">
        <v>173</v>
      </c>
      <c r="AD128" t="s">
        <v>173</v>
      </c>
      <c r="AE128" t="s">
        <v>173</v>
      </c>
      <c r="AF128" t="s">
        <v>173</v>
      </c>
      <c r="AG128" t="s">
        <v>173</v>
      </c>
      <c r="AH128" t="s">
        <v>173</v>
      </c>
      <c r="AI128" t="s">
        <v>173</v>
      </c>
      <c r="AJ128" t="s">
        <v>173</v>
      </c>
      <c r="AK128" t="s">
        <v>173</v>
      </c>
      <c r="AL128" t="s">
        <v>173</v>
      </c>
      <c r="AM128" t="s">
        <v>173</v>
      </c>
      <c r="AN128" t="s">
        <v>173</v>
      </c>
      <c r="AO128" t="s">
        <v>173</v>
      </c>
      <c r="AP128" t="s">
        <v>173</v>
      </c>
      <c r="AQ128" t="s">
        <v>173</v>
      </c>
      <c r="AR128" t="s">
        <v>173</v>
      </c>
      <c r="AS128" t="s">
        <v>173</v>
      </c>
      <c r="AT128" t="s">
        <v>173</v>
      </c>
      <c r="AU128" t="s">
        <v>173</v>
      </c>
      <c r="AV128" t="s">
        <v>173</v>
      </c>
      <c r="AW128" t="s">
        <v>173</v>
      </c>
      <c r="AX128" t="s">
        <v>173</v>
      </c>
      <c r="AY128" t="s">
        <v>173</v>
      </c>
      <c r="AZ128" t="s">
        <v>173</v>
      </c>
      <c r="BA128" t="s">
        <v>173</v>
      </c>
      <c r="BB128" t="s">
        <v>173</v>
      </c>
      <c r="BC128" t="s">
        <v>173</v>
      </c>
      <c r="BD128" t="s">
        <v>173</v>
      </c>
      <c r="BE128" t="s">
        <v>173</v>
      </c>
      <c r="BF128" t="s">
        <v>173</v>
      </c>
      <c r="BG128" t="s">
        <v>173</v>
      </c>
      <c r="BH128" t="s">
        <v>173</v>
      </c>
      <c r="BI128" t="s">
        <v>173</v>
      </c>
      <c r="BJ128" t="s">
        <v>173</v>
      </c>
      <c r="BK128" t="s">
        <v>173</v>
      </c>
      <c r="BL128" t="s">
        <v>173</v>
      </c>
      <c r="BM128" t="s">
        <v>173</v>
      </c>
      <c r="BN128" t="s">
        <v>173</v>
      </c>
      <c r="BO128" t="s">
        <v>173</v>
      </c>
      <c r="BP128" t="s">
        <v>173</v>
      </c>
      <c r="BQ128" t="s">
        <v>173</v>
      </c>
      <c r="BR128" t="s">
        <v>173</v>
      </c>
      <c r="BS128" t="s">
        <v>173</v>
      </c>
      <c r="BT128" t="s">
        <v>173</v>
      </c>
      <c r="BU128" t="s">
        <v>173</v>
      </c>
      <c r="BV128" t="s">
        <v>173</v>
      </c>
      <c r="BX128" t="s">
        <v>173</v>
      </c>
      <c r="BY128" t="s">
        <v>173</v>
      </c>
      <c r="BZ128" t="s">
        <v>173</v>
      </c>
      <c r="CA128" t="s">
        <v>173</v>
      </c>
      <c r="CB128" t="s">
        <v>173</v>
      </c>
      <c r="CC128" t="s">
        <v>173</v>
      </c>
      <c r="CD128" t="s">
        <v>173</v>
      </c>
      <c r="CE128" t="s">
        <v>173</v>
      </c>
      <c r="CF128" t="s">
        <v>173</v>
      </c>
      <c r="CG128" t="s">
        <v>173</v>
      </c>
      <c r="CH128" t="s">
        <v>173</v>
      </c>
      <c r="CI128" t="s">
        <v>173</v>
      </c>
      <c r="CJ128" t="s">
        <v>173</v>
      </c>
      <c r="CK128" t="s">
        <v>173</v>
      </c>
      <c r="CL128" t="s">
        <v>173</v>
      </c>
      <c r="CM128" t="s">
        <v>173</v>
      </c>
      <c r="CN128" t="s">
        <v>173</v>
      </c>
      <c r="CO128" t="s">
        <v>173</v>
      </c>
      <c r="CP128" t="s">
        <v>173</v>
      </c>
      <c r="CQ128" t="s">
        <v>173</v>
      </c>
      <c r="CR128" t="s">
        <v>173</v>
      </c>
      <c r="CS128" t="s">
        <v>173</v>
      </c>
      <c r="CT128" t="s">
        <v>173</v>
      </c>
      <c r="CU128" t="s">
        <v>173</v>
      </c>
      <c r="CV128" t="s">
        <v>173</v>
      </c>
      <c r="CW128" t="s">
        <v>173</v>
      </c>
      <c r="CX128" t="s">
        <v>173</v>
      </c>
      <c r="CY128" t="s">
        <v>173</v>
      </c>
      <c r="CZ128" t="s">
        <v>173</v>
      </c>
      <c r="DA128" t="s">
        <v>173</v>
      </c>
      <c r="DB128" t="s">
        <v>173</v>
      </c>
      <c r="DC128" t="s">
        <v>173</v>
      </c>
      <c r="DD128" t="s">
        <v>173</v>
      </c>
      <c r="DE128" t="s">
        <v>173</v>
      </c>
      <c r="DF128" t="s">
        <v>173</v>
      </c>
      <c r="DG128" t="s">
        <v>173</v>
      </c>
      <c r="DH128" t="s">
        <v>173</v>
      </c>
    </row>
    <row r="129" spans="1:112">
      <c r="A129">
        <v>82</v>
      </c>
      <c r="B129" t="s">
        <v>414</v>
      </c>
      <c r="C129" t="s">
        <v>415</v>
      </c>
      <c r="D129">
        <v>2024</v>
      </c>
      <c r="E129" t="s">
        <v>249</v>
      </c>
      <c r="F129" t="s">
        <v>416</v>
      </c>
      <c r="G129" t="s">
        <v>172</v>
      </c>
      <c r="H129">
        <v>0.71</v>
      </c>
      <c r="I129" t="s">
        <v>187</v>
      </c>
      <c r="J129" t="s">
        <v>173</v>
      </c>
      <c r="K129" t="s">
        <v>173</v>
      </c>
      <c r="L129" t="s">
        <v>173</v>
      </c>
      <c r="M129" t="s">
        <v>173</v>
      </c>
      <c r="N129" t="s">
        <v>173</v>
      </c>
      <c r="O129" t="s">
        <v>173</v>
      </c>
      <c r="P129" t="s">
        <v>173</v>
      </c>
      <c r="Q129" t="s">
        <v>173</v>
      </c>
      <c r="R129" t="s">
        <v>173</v>
      </c>
      <c r="S129" t="s">
        <v>173</v>
      </c>
      <c r="T129" t="s">
        <v>173</v>
      </c>
      <c r="U129" t="s">
        <v>173</v>
      </c>
      <c r="V129" t="s">
        <v>173</v>
      </c>
      <c r="W129" t="s">
        <v>173</v>
      </c>
      <c r="X129" t="s">
        <v>173</v>
      </c>
      <c r="Y129" t="s">
        <v>173</v>
      </c>
      <c r="Z129" t="s">
        <v>173</v>
      </c>
      <c r="AA129" t="s">
        <v>173</v>
      </c>
      <c r="AB129" t="s">
        <v>173</v>
      </c>
      <c r="AC129" t="s">
        <v>173</v>
      </c>
      <c r="AD129" t="s">
        <v>173</v>
      </c>
      <c r="AE129" t="s">
        <v>173</v>
      </c>
      <c r="AF129" t="s">
        <v>173</v>
      </c>
      <c r="AG129" t="s">
        <v>173</v>
      </c>
      <c r="AH129" t="s">
        <v>173</v>
      </c>
      <c r="AI129" t="s">
        <v>173</v>
      </c>
      <c r="AJ129" t="s">
        <v>173</v>
      </c>
      <c r="AK129" t="s">
        <v>173</v>
      </c>
      <c r="AL129" t="s">
        <v>173</v>
      </c>
      <c r="AM129" t="s">
        <v>173</v>
      </c>
      <c r="AN129" t="s">
        <v>173</v>
      </c>
      <c r="AO129" t="s">
        <v>173</v>
      </c>
      <c r="AP129" t="s">
        <v>173</v>
      </c>
      <c r="AQ129" t="s">
        <v>173</v>
      </c>
      <c r="AR129" t="s">
        <v>173</v>
      </c>
      <c r="AS129" t="s">
        <v>173</v>
      </c>
      <c r="AT129" t="s">
        <v>173</v>
      </c>
      <c r="AU129" t="s">
        <v>173</v>
      </c>
      <c r="AV129" t="s">
        <v>173</v>
      </c>
      <c r="AW129" t="s">
        <v>173</v>
      </c>
      <c r="AX129" t="s">
        <v>173</v>
      </c>
      <c r="AY129" t="s">
        <v>173</v>
      </c>
      <c r="AZ129" t="s">
        <v>173</v>
      </c>
      <c r="BA129" t="s">
        <v>173</v>
      </c>
      <c r="BB129" t="s">
        <v>173</v>
      </c>
      <c r="BC129" t="s">
        <v>173</v>
      </c>
      <c r="BD129" t="s">
        <v>173</v>
      </c>
      <c r="BE129" t="s">
        <v>173</v>
      </c>
      <c r="BF129" t="s">
        <v>173</v>
      </c>
      <c r="BG129" t="s">
        <v>173</v>
      </c>
      <c r="BH129" t="s">
        <v>173</v>
      </c>
      <c r="BI129" t="s">
        <v>173</v>
      </c>
      <c r="BJ129" t="s">
        <v>173</v>
      </c>
      <c r="BK129" t="s">
        <v>173</v>
      </c>
      <c r="BL129" t="s">
        <v>173</v>
      </c>
      <c r="BM129" t="s">
        <v>173</v>
      </c>
      <c r="BN129" t="s">
        <v>173</v>
      </c>
      <c r="BO129" t="s">
        <v>173</v>
      </c>
      <c r="BP129" t="s">
        <v>173</v>
      </c>
      <c r="BQ129" t="s">
        <v>173</v>
      </c>
      <c r="BR129" t="s">
        <v>173</v>
      </c>
      <c r="BS129" t="s">
        <v>173</v>
      </c>
      <c r="BT129" t="s">
        <v>173</v>
      </c>
      <c r="BU129" t="s">
        <v>173</v>
      </c>
      <c r="BV129" t="s">
        <v>173</v>
      </c>
      <c r="BX129" t="s">
        <v>173</v>
      </c>
      <c r="BY129" t="s">
        <v>173</v>
      </c>
      <c r="BZ129" t="s">
        <v>173</v>
      </c>
      <c r="CA129" t="s">
        <v>173</v>
      </c>
      <c r="CB129" t="s">
        <v>173</v>
      </c>
      <c r="CC129" t="s">
        <v>173</v>
      </c>
      <c r="CD129" t="s">
        <v>173</v>
      </c>
      <c r="CE129" t="s">
        <v>173</v>
      </c>
      <c r="CF129" t="s">
        <v>173</v>
      </c>
      <c r="CG129" t="s">
        <v>173</v>
      </c>
      <c r="CH129" t="s">
        <v>173</v>
      </c>
      <c r="CI129" t="s">
        <v>173</v>
      </c>
      <c r="CJ129" t="s">
        <v>173</v>
      </c>
      <c r="CK129" t="s">
        <v>173</v>
      </c>
      <c r="CL129" t="s">
        <v>173</v>
      </c>
      <c r="CM129" t="s">
        <v>173</v>
      </c>
      <c r="CN129" t="s">
        <v>173</v>
      </c>
      <c r="CO129" t="s">
        <v>173</v>
      </c>
      <c r="CP129" t="s">
        <v>173</v>
      </c>
      <c r="CQ129" t="s">
        <v>173</v>
      </c>
      <c r="CR129" t="s">
        <v>173</v>
      </c>
      <c r="CS129" t="s">
        <v>173</v>
      </c>
      <c r="CT129" t="s">
        <v>173</v>
      </c>
      <c r="CU129" t="s">
        <v>173</v>
      </c>
      <c r="CV129" t="s">
        <v>173</v>
      </c>
      <c r="CW129" t="s">
        <v>173</v>
      </c>
      <c r="CX129" t="s">
        <v>173</v>
      </c>
      <c r="CY129" t="s">
        <v>173</v>
      </c>
      <c r="CZ129" t="s">
        <v>173</v>
      </c>
      <c r="DA129" t="s">
        <v>173</v>
      </c>
      <c r="DB129" t="s">
        <v>173</v>
      </c>
      <c r="DC129" t="s">
        <v>173</v>
      </c>
      <c r="DD129" t="s">
        <v>173</v>
      </c>
      <c r="DE129" t="s">
        <v>173</v>
      </c>
      <c r="DF129" t="s">
        <v>173</v>
      </c>
      <c r="DG129" t="s">
        <v>173</v>
      </c>
      <c r="DH129" t="s">
        <v>173</v>
      </c>
    </row>
    <row r="130" spans="1:112">
      <c r="A130">
        <v>83</v>
      </c>
      <c r="B130" t="s">
        <v>417</v>
      </c>
      <c r="C130" t="s">
        <v>418</v>
      </c>
      <c r="D130">
        <v>2024</v>
      </c>
      <c r="E130" t="s">
        <v>177</v>
      </c>
      <c r="F130" t="s">
        <v>419</v>
      </c>
      <c r="G130" t="s">
        <v>172</v>
      </c>
      <c r="H130" t="s">
        <v>173</v>
      </c>
      <c r="I130" t="s">
        <v>197</v>
      </c>
      <c r="J130" t="s">
        <v>173</v>
      </c>
      <c r="K130" t="s">
        <v>173</v>
      </c>
      <c r="L130" t="s">
        <v>173</v>
      </c>
      <c r="M130" t="s">
        <v>173</v>
      </c>
      <c r="N130" t="s">
        <v>173</v>
      </c>
      <c r="O130" t="s">
        <v>173</v>
      </c>
      <c r="P130" t="s">
        <v>173</v>
      </c>
      <c r="Q130" t="s">
        <v>173</v>
      </c>
      <c r="R130" t="s">
        <v>173</v>
      </c>
      <c r="S130" t="s">
        <v>173</v>
      </c>
      <c r="T130" t="s">
        <v>173</v>
      </c>
      <c r="U130" t="s">
        <v>173</v>
      </c>
      <c r="V130" t="s">
        <v>173</v>
      </c>
      <c r="W130" t="s">
        <v>173</v>
      </c>
      <c r="X130" t="s">
        <v>173</v>
      </c>
      <c r="Y130" t="s">
        <v>173</v>
      </c>
      <c r="Z130" t="s">
        <v>173</v>
      </c>
      <c r="AA130" t="s">
        <v>173</v>
      </c>
      <c r="AB130" t="s">
        <v>173</v>
      </c>
      <c r="AC130" t="s">
        <v>173</v>
      </c>
      <c r="AD130" t="s">
        <v>173</v>
      </c>
      <c r="AE130" t="s">
        <v>173</v>
      </c>
      <c r="AF130" t="s">
        <v>173</v>
      </c>
      <c r="AG130" t="s">
        <v>173</v>
      </c>
      <c r="AH130" t="s">
        <v>173</v>
      </c>
      <c r="AI130" t="s">
        <v>173</v>
      </c>
      <c r="AJ130" t="s">
        <v>173</v>
      </c>
      <c r="AK130" t="s">
        <v>173</v>
      </c>
      <c r="AL130" t="s">
        <v>173</v>
      </c>
      <c r="AM130" t="s">
        <v>173</v>
      </c>
      <c r="AN130" t="s">
        <v>173</v>
      </c>
      <c r="AO130" t="s">
        <v>173</v>
      </c>
      <c r="AP130" t="s">
        <v>173</v>
      </c>
      <c r="AQ130" t="s">
        <v>173</v>
      </c>
      <c r="AR130" t="s">
        <v>173</v>
      </c>
      <c r="AS130" t="s">
        <v>173</v>
      </c>
      <c r="AT130" t="s">
        <v>173</v>
      </c>
      <c r="AU130" t="s">
        <v>173</v>
      </c>
      <c r="AV130" t="s">
        <v>173</v>
      </c>
      <c r="AW130" t="s">
        <v>173</v>
      </c>
      <c r="AX130" t="s">
        <v>173</v>
      </c>
      <c r="AY130" t="s">
        <v>173</v>
      </c>
      <c r="AZ130" t="s">
        <v>173</v>
      </c>
      <c r="BA130" t="s">
        <v>173</v>
      </c>
      <c r="BB130" t="s">
        <v>173</v>
      </c>
      <c r="BC130" t="s">
        <v>173</v>
      </c>
      <c r="BD130" t="s">
        <v>173</v>
      </c>
      <c r="BE130" t="s">
        <v>173</v>
      </c>
      <c r="BF130" t="s">
        <v>173</v>
      </c>
      <c r="BG130" t="s">
        <v>173</v>
      </c>
      <c r="BH130" t="s">
        <v>173</v>
      </c>
      <c r="BI130" t="s">
        <v>173</v>
      </c>
      <c r="BJ130" t="s">
        <v>173</v>
      </c>
      <c r="BK130" t="s">
        <v>173</v>
      </c>
      <c r="BL130" t="s">
        <v>173</v>
      </c>
      <c r="BM130" t="s">
        <v>173</v>
      </c>
      <c r="BN130" t="s">
        <v>173</v>
      </c>
      <c r="BO130" t="s">
        <v>173</v>
      </c>
      <c r="BP130" t="s">
        <v>173</v>
      </c>
      <c r="BQ130" t="s">
        <v>173</v>
      </c>
      <c r="BR130" t="s">
        <v>173</v>
      </c>
      <c r="BS130" t="s">
        <v>173</v>
      </c>
      <c r="BT130" t="s">
        <v>173</v>
      </c>
      <c r="BU130" t="s">
        <v>173</v>
      </c>
      <c r="BV130" t="s">
        <v>173</v>
      </c>
      <c r="BX130" t="s">
        <v>173</v>
      </c>
      <c r="BY130" t="s">
        <v>173</v>
      </c>
      <c r="BZ130" t="s">
        <v>173</v>
      </c>
      <c r="CA130" t="s">
        <v>173</v>
      </c>
      <c r="CB130" t="s">
        <v>173</v>
      </c>
      <c r="CC130" t="s">
        <v>173</v>
      </c>
      <c r="CD130" t="s">
        <v>173</v>
      </c>
      <c r="CE130" t="s">
        <v>173</v>
      </c>
      <c r="CF130" t="s">
        <v>173</v>
      </c>
      <c r="CG130" t="s">
        <v>173</v>
      </c>
      <c r="CH130" t="s">
        <v>173</v>
      </c>
      <c r="CI130" t="s">
        <v>173</v>
      </c>
      <c r="CJ130" t="s">
        <v>173</v>
      </c>
      <c r="CK130" t="s">
        <v>173</v>
      </c>
      <c r="CL130" t="s">
        <v>173</v>
      </c>
      <c r="CM130" t="s">
        <v>173</v>
      </c>
      <c r="CN130" t="s">
        <v>173</v>
      </c>
      <c r="CO130" t="s">
        <v>173</v>
      </c>
      <c r="CP130" t="s">
        <v>173</v>
      </c>
      <c r="CQ130" t="s">
        <v>173</v>
      </c>
      <c r="CR130" t="s">
        <v>173</v>
      </c>
      <c r="CS130" t="s">
        <v>173</v>
      </c>
      <c r="CT130" t="s">
        <v>173</v>
      </c>
      <c r="CU130" t="s">
        <v>173</v>
      </c>
      <c r="CV130" t="s">
        <v>173</v>
      </c>
      <c r="CW130" t="s">
        <v>173</v>
      </c>
      <c r="CX130" t="s">
        <v>173</v>
      </c>
      <c r="CY130" t="s">
        <v>173</v>
      </c>
      <c r="CZ130" t="s">
        <v>173</v>
      </c>
      <c r="DA130" t="s">
        <v>173</v>
      </c>
      <c r="DB130" t="s">
        <v>173</v>
      </c>
      <c r="DC130" t="s">
        <v>173</v>
      </c>
      <c r="DD130" t="s">
        <v>173</v>
      </c>
      <c r="DE130" t="s">
        <v>173</v>
      </c>
      <c r="DF130" t="s">
        <v>173</v>
      </c>
      <c r="DG130" t="s">
        <v>173</v>
      </c>
      <c r="DH130" t="s">
        <v>173</v>
      </c>
    </row>
    <row r="131" spans="1:112">
      <c r="A131">
        <v>84</v>
      </c>
      <c r="B131" t="s">
        <v>420</v>
      </c>
      <c r="C131" t="s">
        <v>421</v>
      </c>
      <c r="D131">
        <v>2024</v>
      </c>
      <c r="E131" t="s">
        <v>185</v>
      </c>
      <c r="F131" t="s">
        <v>422</v>
      </c>
      <c r="G131" t="s">
        <v>172</v>
      </c>
      <c r="H131" t="s">
        <v>173</v>
      </c>
      <c r="I131" t="s">
        <v>174</v>
      </c>
      <c r="J131" t="s">
        <v>173</v>
      </c>
      <c r="K131" t="s">
        <v>173</v>
      </c>
      <c r="L131" t="s">
        <v>173</v>
      </c>
      <c r="M131" t="s">
        <v>173</v>
      </c>
      <c r="N131" t="s">
        <v>173</v>
      </c>
      <c r="O131" t="s">
        <v>173</v>
      </c>
      <c r="P131" t="s">
        <v>173</v>
      </c>
      <c r="Q131" t="s">
        <v>173</v>
      </c>
      <c r="R131" t="s">
        <v>173</v>
      </c>
      <c r="S131" t="s">
        <v>173</v>
      </c>
      <c r="T131" t="s">
        <v>173</v>
      </c>
      <c r="U131" t="s">
        <v>173</v>
      </c>
      <c r="V131" t="s">
        <v>173</v>
      </c>
      <c r="W131" t="s">
        <v>173</v>
      </c>
      <c r="X131" t="s">
        <v>173</v>
      </c>
      <c r="Y131" t="s">
        <v>173</v>
      </c>
      <c r="Z131" t="s">
        <v>173</v>
      </c>
      <c r="AA131" t="s">
        <v>173</v>
      </c>
      <c r="AB131" t="s">
        <v>173</v>
      </c>
      <c r="AC131" t="s">
        <v>173</v>
      </c>
      <c r="AD131" t="s">
        <v>173</v>
      </c>
      <c r="AE131" t="s">
        <v>173</v>
      </c>
      <c r="AF131" t="s">
        <v>173</v>
      </c>
      <c r="AG131" t="s">
        <v>173</v>
      </c>
      <c r="AH131" t="s">
        <v>173</v>
      </c>
      <c r="AI131" t="s">
        <v>173</v>
      </c>
      <c r="AJ131" t="s">
        <v>173</v>
      </c>
      <c r="AK131" t="s">
        <v>173</v>
      </c>
      <c r="AL131" t="s">
        <v>173</v>
      </c>
      <c r="AM131" t="s">
        <v>173</v>
      </c>
      <c r="AN131" t="s">
        <v>173</v>
      </c>
      <c r="AO131" t="s">
        <v>173</v>
      </c>
      <c r="AP131" t="s">
        <v>173</v>
      </c>
      <c r="AQ131" t="s">
        <v>173</v>
      </c>
      <c r="AR131" t="s">
        <v>173</v>
      </c>
      <c r="AS131" t="s">
        <v>173</v>
      </c>
      <c r="AT131" t="s">
        <v>173</v>
      </c>
      <c r="AU131" t="s">
        <v>173</v>
      </c>
      <c r="AV131" t="s">
        <v>173</v>
      </c>
      <c r="AW131" t="s">
        <v>173</v>
      </c>
      <c r="AX131" t="s">
        <v>173</v>
      </c>
      <c r="AY131" t="s">
        <v>173</v>
      </c>
      <c r="AZ131" t="s">
        <v>173</v>
      </c>
      <c r="BA131" t="s">
        <v>173</v>
      </c>
      <c r="BB131" t="s">
        <v>173</v>
      </c>
      <c r="BC131" t="s">
        <v>173</v>
      </c>
      <c r="BD131" t="s">
        <v>173</v>
      </c>
      <c r="BE131" t="s">
        <v>173</v>
      </c>
      <c r="BF131" t="s">
        <v>173</v>
      </c>
      <c r="BG131" t="s">
        <v>173</v>
      </c>
      <c r="BH131" t="s">
        <v>173</v>
      </c>
      <c r="BI131" t="s">
        <v>173</v>
      </c>
      <c r="BJ131" t="s">
        <v>173</v>
      </c>
      <c r="BK131" t="s">
        <v>173</v>
      </c>
      <c r="BL131" t="s">
        <v>173</v>
      </c>
      <c r="BM131" t="s">
        <v>173</v>
      </c>
      <c r="BN131" t="s">
        <v>173</v>
      </c>
      <c r="BO131" t="s">
        <v>173</v>
      </c>
      <c r="BP131" t="s">
        <v>173</v>
      </c>
      <c r="BQ131" t="s">
        <v>173</v>
      </c>
      <c r="BR131" t="s">
        <v>173</v>
      </c>
      <c r="BS131" t="s">
        <v>173</v>
      </c>
      <c r="BT131" t="s">
        <v>173</v>
      </c>
      <c r="BU131" t="s">
        <v>173</v>
      </c>
      <c r="BV131" t="s">
        <v>173</v>
      </c>
      <c r="BX131" t="s">
        <v>173</v>
      </c>
      <c r="BY131" t="s">
        <v>173</v>
      </c>
      <c r="BZ131" t="s">
        <v>173</v>
      </c>
      <c r="CA131" t="s">
        <v>173</v>
      </c>
      <c r="CB131" t="s">
        <v>173</v>
      </c>
      <c r="CC131" t="s">
        <v>173</v>
      </c>
      <c r="CD131" t="s">
        <v>173</v>
      </c>
      <c r="CE131" t="s">
        <v>173</v>
      </c>
      <c r="CF131" t="s">
        <v>173</v>
      </c>
      <c r="CG131" t="s">
        <v>173</v>
      </c>
      <c r="CH131" t="s">
        <v>173</v>
      </c>
      <c r="CI131" t="s">
        <v>173</v>
      </c>
      <c r="CJ131" t="s">
        <v>173</v>
      </c>
      <c r="CK131" t="s">
        <v>173</v>
      </c>
      <c r="CL131" t="s">
        <v>173</v>
      </c>
      <c r="CM131" t="s">
        <v>173</v>
      </c>
      <c r="CN131" t="s">
        <v>173</v>
      </c>
      <c r="CO131" t="s">
        <v>173</v>
      </c>
      <c r="CP131" t="s">
        <v>173</v>
      </c>
      <c r="CQ131" t="s">
        <v>173</v>
      </c>
      <c r="CR131" t="s">
        <v>173</v>
      </c>
      <c r="CS131" t="s">
        <v>173</v>
      </c>
      <c r="CT131" t="s">
        <v>173</v>
      </c>
      <c r="CU131" t="s">
        <v>173</v>
      </c>
      <c r="CV131" t="s">
        <v>173</v>
      </c>
      <c r="CW131" t="s">
        <v>173</v>
      </c>
      <c r="CX131" t="s">
        <v>173</v>
      </c>
      <c r="CY131" t="s">
        <v>173</v>
      </c>
      <c r="CZ131" t="s">
        <v>173</v>
      </c>
      <c r="DA131" t="s">
        <v>173</v>
      </c>
      <c r="DB131" t="s">
        <v>173</v>
      </c>
      <c r="DC131" t="s">
        <v>173</v>
      </c>
      <c r="DD131" t="s">
        <v>173</v>
      </c>
      <c r="DE131" t="s">
        <v>173</v>
      </c>
      <c r="DF131" t="s">
        <v>173</v>
      </c>
      <c r="DG131" t="s">
        <v>173</v>
      </c>
      <c r="DH131" t="s">
        <v>173</v>
      </c>
    </row>
    <row r="132" spans="1:112">
      <c r="A132">
        <v>85</v>
      </c>
      <c r="B132" t="s">
        <v>423</v>
      </c>
      <c r="C132" t="s">
        <v>424</v>
      </c>
      <c r="D132">
        <v>2024</v>
      </c>
      <c r="E132" t="s">
        <v>425</v>
      </c>
      <c r="F132" t="s">
        <v>426</v>
      </c>
      <c r="G132" t="s">
        <v>172</v>
      </c>
      <c r="H132" t="s">
        <v>173</v>
      </c>
      <c r="I132" t="s">
        <v>174</v>
      </c>
      <c r="J132" t="s">
        <v>173</v>
      </c>
      <c r="K132" t="s">
        <v>173</v>
      </c>
      <c r="L132" t="s">
        <v>173</v>
      </c>
      <c r="M132" t="s">
        <v>173</v>
      </c>
      <c r="N132" t="s">
        <v>173</v>
      </c>
      <c r="O132" t="s">
        <v>173</v>
      </c>
      <c r="P132" t="s">
        <v>173</v>
      </c>
      <c r="Q132" t="s">
        <v>173</v>
      </c>
      <c r="R132" t="s">
        <v>173</v>
      </c>
      <c r="S132" t="s">
        <v>173</v>
      </c>
      <c r="T132" t="s">
        <v>173</v>
      </c>
      <c r="U132" t="s">
        <v>173</v>
      </c>
      <c r="V132" t="s">
        <v>173</v>
      </c>
      <c r="W132" t="s">
        <v>173</v>
      </c>
      <c r="X132" t="s">
        <v>173</v>
      </c>
      <c r="Y132" t="s">
        <v>173</v>
      </c>
      <c r="Z132" t="s">
        <v>173</v>
      </c>
      <c r="AA132" t="s">
        <v>173</v>
      </c>
      <c r="AB132" t="s">
        <v>173</v>
      </c>
      <c r="AC132" t="s">
        <v>173</v>
      </c>
      <c r="AD132" t="s">
        <v>173</v>
      </c>
      <c r="AE132" t="s">
        <v>173</v>
      </c>
      <c r="AF132" t="s">
        <v>173</v>
      </c>
      <c r="AG132" t="s">
        <v>173</v>
      </c>
      <c r="AH132" t="s">
        <v>173</v>
      </c>
      <c r="AI132" t="s">
        <v>173</v>
      </c>
      <c r="AJ132" t="s">
        <v>173</v>
      </c>
      <c r="AK132" t="s">
        <v>173</v>
      </c>
      <c r="AL132" t="s">
        <v>173</v>
      </c>
      <c r="AM132" t="s">
        <v>173</v>
      </c>
      <c r="AN132" t="s">
        <v>173</v>
      </c>
      <c r="AO132" t="s">
        <v>173</v>
      </c>
      <c r="AP132" t="s">
        <v>173</v>
      </c>
      <c r="AQ132" t="s">
        <v>173</v>
      </c>
      <c r="AR132" t="s">
        <v>173</v>
      </c>
      <c r="AS132" t="s">
        <v>173</v>
      </c>
      <c r="AT132" t="s">
        <v>173</v>
      </c>
      <c r="AU132" t="s">
        <v>173</v>
      </c>
      <c r="AV132" t="s">
        <v>173</v>
      </c>
      <c r="AW132" t="s">
        <v>173</v>
      </c>
      <c r="AX132" t="s">
        <v>173</v>
      </c>
      <c r="AY132" t="s">
        <v>173</v>
      </c>
      <c r="AZ132" t="s">
        <v>173</v>
      </c>
      <c r="BA132" t="s">
        <v>173</v>
      </c>
      <c r="BB132" t="s">
        <v>173</v>
      </c>
      <c r="BC132" t="s">
        <v>173</v>
      </c>
      <c r="BD132" t="s">
        <v>173</v>
      </c>
      <c r="BE132" t="s">
        <v>173</v>
      </c>
      <c r="BF132" t="s">
        <v>173</v>
      </c>
      <c r="BG132" t="s">
        <v>173</v>
      </c>
      <c r="BH132" t="s">
        <v>173</v>
      </c>
      <c r="BI132" t="s">
        <v>173</v>
      </c>
      <c r="BJ132" t="s">
        <v>173</v>
      </c>
      <c r="BK132" t="s">
        <v>173</v>
      </c>
      <c r="BL132" t="s">
        <v>173</v>
      </c>
      <c r="BM132" t="s">
        <v>173</v>
      </c>
      <c r="BN132" t="s">
        <v>173</v>
      </c>
      <c r="BO132" t="s">
        <v>173</v>
      </c>
      <c r="BP132" t="s">
        <v>173</v>
      </c>
      <c r="BQ132" t="s">
        <v>173</v>
      </c>
      <c r="BR132" t="s">
        <v>173</v>
      </c>
      <c r="BS132" t="s">
        <v>173</v>
      </c>
      <c r="BT132" t="s">
        <v>173</v>
      </c>
      <c r="BU132" t="s">
        <v>173</v>
      </c>
      <c r="BV132" t="s">
        <v>173</v>
      </c>
      <c r="BX132" t="s">
        <v>173</v>
      </c>
      <c r="BY132" t="s">
        <v>173</v>
      </c>
      <c r="BZ132" t="s">
        <v>173</v>
      </c>
      <c r="CA132" t="s">
        <v>173</v>
      </c>
      <c r="CB132" t="s">
        <v>173</v>
      </c>
      <c r="CC132" t="s">
        <v>173</v>
      </c>
      <c r="CD132" t="s">
        <v>173</v>
      </c>
      <c r="CE132" t="s">
        <v>173</v>
      </c>
      <c r="CF132" t="s">
        <v>173</v>
      </c>
      <c r="CG132" t="s">
        <v>173</v>
      </c>
      <c r="CH132" t="s">
        <v>173</v>
      </c>
      <c r="CI132" t="s">
        <v>173</v>
      </c>
      <c r="CJ132" t="s">
        <v>173</v>
      </c>
      <c r="CK132" t="s">
        <v>173</v>
      </c>
      <c r="CL132" t="s">
        <v>173</v>
      </c>
      <c r="CM132" t="s">
        <v>173</v>
      </c>
      <c r="CN132" t="s">
        <v>173</v>
      </c>
      <c r="CO132" t="s">
        <v>173</v>
      </c>
      <c r="CP132" t="s">
        <v>173</v>
      </c>
      <c r="CQ132" t="s">
        <v>173</v>
      </c>
      <c r="CR132" t="s">
        <v>173</v>
      </c>
      <c r="CS132" t="s">
        <v>173</v>
      </c>
      <c r="CT132" t="s">
        <v>173</v>
      </c>
      <c r="CU132" t="s">
        <v>173</v>
      </c>
      <c r="CV132" t="s">
        <v>173</v>
      </c>
      <c r="CW132" t="s">
        <v>173</v>
      </c>
      <c r="CX132" t="s">
        <v>173</v>
      </c>
      <c r="CY132" t="s">
        <v>173</v>
      </c>
      <c r="CZ132" t="s">
        <v>173</v>
      </c>
      <c r="DA132" t="s">
        <v>173</v>
      </c>
      <c r="DB132" t="s">
        <v>173</v>
      </c>
      <c r="DC132" t="s">
        <v>173</v>
      </c>
      <c r="DD132" t="s">
        <v>173</v>
      </c>
      <c r="DE132" t="s">
        <v>173</v>
      </c>
      <c r="DF132" t="s">
        <v>173</v>
      </c>
      <c r="DG132" t="s">
        <v>173</v>
      </c>
      <c r="DH132" t="s">
        <v>173</v>
      </c>
    </row>
    <row r="133" spans="1:112">
      <c r="A133">
        <v>86</v>
      </c>
      <c r="B133" t="s">
        <v>427</v>
      </c>
      <c r="C133" t="s">
        <v>428</v>
      </c>
      <c r="D133">
        <v>2024</v>
      </c>
      <c r="E133" t="s">
        <v>238</v>
      </c>
      <c r="F133" t="s">
        <v>429</v>
      </c>
      <c r="G133" t="s">
        <v>172</v>
      </c>
      <c r="H133" t="s">
        <v>173</v>
      </c>
      <c r="I133" t="s">
        <v>197</v>
      </c>
      <c r="J133" t="s">
        <v>173</v>
      </c>
      <c r="K133" t="s">
        <v>173</v>
      </c>
      <c r="L133" t="s">
        <v>173</v>
      </c>
      <c r="M133" t="s">
        <v>173</v>
      </c>
      <c r="N133" t="s">
        <v>173</v>
      </c>
      <c r="O133" t="s">
        <v>173</v>
      </c>
      <c r="P133" t="s">
        <v>173</v>
      </c>
      <c r="Q133" t="s">
        <v>173</v>
      </c>
      <c r="R133" t="s">
        <v>173</v>
      </c>
      <c r="S133" t="s">
        <v>173</v>
      </c>
      <c r="T133" t="s">
        <v>173</v>
      </c>
      <c r="U133" t="s">
        <v>173</v>
      </c>
      <c r="V133" t="s">
        <v>173</v>
      </c>
      <c r="W133" t="s">
        <v>173</v>
      </c>
      <c r="X133" t="s">
        <v>173</v>
      </c>
      <c r="Y133" t="s">
        <v>173</v>
      </c>
      <c r="Z133" t="s">
        <v>173</v>
      </c>
      <c r="AA133" t="s">
        <v>173</v>
      </c>
      <c r="AB133" t="s">
        <v>173</v>
      </c>
      <c r="AC133" t="s">
        <v>173</v>
      </c>
      <c r="AD133" t="s">
        <v>173</v>
      </c>
      <c r="AE133" t="s">
        <v>173</v>
      </c>
      <c r="AF133" t="s">
        <v>173</v>
      </c>
      <c r="AG133" t="s">
        <v>173</v>
      </c>
      <c r="AH133" t="s">
        <v>173</v>
      </c>
      <c r="AI133" t="s">
        <v>173</v>
      </c>
      <c r="AJ133" t="s">
        <v>173</v>
      </c>
      <c r="AK133" t="s">
        <v>173</v>
      </c>
      <c r="AL133" t="s">
        <v>173</v>
      </c>
      <c r="AM133" t="s">
        <v>173</v>
      </c>
      <c r="AN133" t="s">
        <v>173</v>
      </c>
      <c r="AO133" t="s">
        <v>173</v>
      </c>
      <c r="AP133" t="s">
        <v>173</v>
      </c>
      <c r="AQ133" t="s">
        <v>173</v>
      </c>
      <c r="AR133" t="s">
        <v>173</v>
      </c>
      <c r="AS133" t="s">
        <v>173</v>
      </c>
      <c r="AT133" t="s">
        <v>173</v>
      </c>
      <c r="AU133" t="s">
        <v>173</v>
      </c>
      <c r="AV133" t="s">
        <v>173</v>
      </c>
      <c r="AW133" t="s">
        <v>173</v>
      </c>
      <c r="AX133" t="s">
        <v>173</v>
      </c>
      <c r="AY133" t="s">
        <v>173</v>
      </c>
      <c r="AZ133" t="s">
        <v>173</v>
      </c>
      <c r="BA133" t="s">
        <v>173</v>
      </c>
      <c r="BB133" t="s">
        <v>173</v>
      </c>
      <c r="BC133" t="s">
        <v>173</v>
      </c>
      <c r="BD133" t="s">
        <v>173</v>
      </c>
      <c r="BE133" t="s">
        <v>173</v>
      </c>
      <c r="BF133" t="s">
        <v>173</v>
      </c>
      <c r="BG133" t="s">
        <v>173</v>
      </c>
      <c r="BH133" t="s">
        <v>173</v>
      </c>
      <c r="BI133" t="s">
        <v>173</v>
      </c>
      <c r="BJ133" t="s">
        <v>173</v>
      </c>
      <c r="BK133" t="s">
        <v>173</v>
      </c>
      <c r="BL133" t="s">
        <v>173</v>
      </c>
      <c r="BM133" t="s">
        <v>173</v>
      </c>
      <c r="BN133" t="s">
        <v>173</v>
      </c>
      <c r="BO133" t="s">
        <v>173</v>
      </c>
      <c r="BP133" t="s">
        <v>173</v>
      </c>
      <c r="BQ133" t="s">
        <v>173</v>
      </c>
      <c r="BR133" t="s">
        <v>173</v>
      </c>
      <c r="BS133" t="s">
        <v>173</v>
      </c>
      <c r="BT133" t="s">
        <v>173</v>
      </c>
      <c r="BU133" t="s">
        <v>173</v>
      </c>
      <c r="BV133" t="s">
        <v>173</v>
      </c>
      <c r="BX133" t="s">
        <v>173</v>
      </c>
      <c r="BY133" t="s">
        <v>173</v>
      </c>
      <c r="BZ133" t="s">
        <v>173</v>
      </c>
      <c r="CA133" t="s">
        <v>173</v>
      </c>
      <c r="CB133" t="s">
        <v>173</v>
      </c>
      <c r="CC133" t="s">
        <v>173</v>
      </c>
      <c r="CD133" t="s">
        <v>173</v>
      </c>
      <c r="CE133" t="s">
        <v>173</v>
      </c>
      <c r="CF133" t="s">
        <v>173</v>
      </c>
      <c r="CG133" t="s">
        <v>173</v>
      </c>
      <c r="CH133" t="s">
        <v>173</v>
      </c>
      <c r="CI133" t="s">
        <v>173</v>
      </c>
      <c r="CJ133" t="s">
        <v>173</v>
      </c>
      <c r="CK133" t="s">
        <v>173</v>
      </c>
      <c r="CL133" t="s">
        <v>173</v>
      </c>
      <c r="CM133" t="s">
        <v>173</v>
      </c>
      <c r="CN133" t="s">
        <v>173</v>
      </c>
      <c r="CO133" t="s">
        <v>173</v>
      </c>
      <c r="CP133" t="s">
        <v>173</v>
      </c>
      <c r="CQ133" t="s">
        <v>173</v>
      </c>
      <c r="CR133" t="s">
        <v>173</v>
      </c>
      <c r="CS133" t="s">
        <v>173</v>
      </c>
      <c r="CT133" t="s">
        <v>173</v>
      </c>
      <c r="CU133" t="s">
        <v>173</v>
      </c>
      <c r="CV133" t="s">
        <v>173</v>
      </c>
      <c r="CW133" t="s">
        <v>173</v>
      </c>
      <c r="CX133" t="s">
        <v>173</v>
      </c>
      <c r="CY133" t="s">
        <v>173</v>
      </c>
      <c r="CZ133" t="s">
        <v>173</v>
      </c>
      <c r="DA133" t="s">
        <v>173</v>
      </c>
      <c r="DB133" t="s">
        <v>173</v>
      </c>
      <c r="DC133" t="s">
        <v>173</v>
      </c>
      <c r="DD133" t="s">
        <v>173</v>
      </c>
      <c r="DE133" t="s">
        <v>173</v>
      </c>
      <c r="DF133" t="s">
        <v>173</v>
      </c>
      <c r="DG133" t="s">
        <v>173</v>
      </c>
      <c r="DH133" t="s">
        <v>173</v>
      </c>
    </row>
    <row r="134" spans="1:112">
      <c r="A134">
        <v>87</v>
      </c>
      <c r="B134" t="s">
        <v>430</v>
      </c>
      <c r="C134" t="s">
        <v>431</v>
      </c>
      <c r="D134">
        <v>2024</v>
      </c>
      <c r="E134" t="s">
        <v>291</v>
      </c>
      <c r="F134" t="s">
        <v>432</v>
      </c>
      <c r="G134" t="s">
        <v>172</v>
      </c>
      <c r="H134" t="s">
        <v>173</v>
      </c>
      <c r="I134" t="s">
        <v>174</v>
      </c>
      <c r="J134" t="s">
        <v>173</v>
      </c>
      <c r="K134" t="s">
        <v>173</v>
      </c>
      <c r="L134" t="s">
        <v>173</v>
      </c>
      <c r="M134" t="s">
        <v>173</v>
      </c>
      <c r="N134" t="s">
        <v>173</v>
      </c>
      <c r="O134" t="s">
        <v>173</v>
      </c>
      <c r="P134" t="s">
        <v>173</v>
      </c>
      <c r="Q134" t="s">
        <v>173</v>
      </c>
      <c r="R134" t="s">
        <v>173</v>
      </c>
      <c r="S134" t="s">
        <v>173</v>
      </c>
      <c r="T134" t="s">
        <v>173</v>
      </c>
      <c r="U134" t="s">
        <v>173</v>
      </c>
      <c r="V134" t="s">
        <v>173</v>
      </c>
      <c r="W134" t="s">
        <v>173</v>
      </c>
      <c r="X134" t="s">
        <v>173</v>
      </c>
      <c r="Y134" t="s">
        <v>173</v>
      </c>
      <c r="Z134" t="s">
        <v>173</v>
      </c>
      <c r="AA134" t="s">
        <v>173</v>
      </c>
      <c r="AB134" t="s">
        <v>173</v>
      </c>
      <c r="AC134" t="s">
        <v>173</v>
      </c>
      <c r="AD134" t="s">
        <v>173</v>
      </c>
      <c r="AE134" t="s">
        <v>173</v>
      </c>
      <c r="AF134" t="s">
        <v>173</v>
      </c>
      <c r="AG134" t="s">
        <v>173</v>
      </c>
      <c r="AH134" t="s">
        <v>173</v>
      </c>
      <c r="AI134" t="s">
        <v>173</v>
      </c>
      <c r="AJ134" t="s">
        <v>173</v>
      </c>
      <c r="AK134" t="s">
        <v>173</v>
      </c>
      <c r="AL134" t="s">
        <v>173</v>
      </c>
      <c r="AM134" t="s">
        <v>173</v>
      </c>
      <c r="AN134" t="s">
        <v>173</v>
      </c>
      <c r="AO134" t="s">
        <v>173</v>
      </c>
      <c r="AP134" t="s">
        <v>173</v>
      </c>
      <c r="AQ134" t="s">
        <v>173</v>
      </c>
      <c r="AR134" t="s">
        <v>173</v>
      </c>
      <c r="AS134" t="s">
        <v>173</v>
      </c>
      <c r="AT134" t="s">
        <v>173</v>
      </c>
      <c r="AU134" t="s">
        <v>173</v>
      </c>
      <c r="AV134" t="s">
        <v>173</v>
      </c>
      <c r="AW134" t="s">
        <v>173</v>
      </c>
      <c r="AX134" t="s">
        <v>173</v>
      </c>
      <c r="AY134" t="s">
        <v>173</v>
      </c>
      <c r="AZ134" t="s">
        <v>173</v>
      </c>
      <c r="BA134" t="s">
        <v>173</v>
      </c>
      <c r="BB134" t="s">
        <v>173</v>
      </c>
      <c r="BC134" t="s">
        <v>173</v>
      </c>
      <c r="BD134" t="s">
        <v>173</v>
      </c>
      <c r="BE134" t="s">
        <v>173</v>
      </c>
      <c r="BF134" t="s">
        <v>173</v>
      </c>
      <c r="BG134" t="s">
        <v>173</v>
      </c>
      <c r="BH134" t="s">
        <v>173</v>
      </c>
      <c r="BI134" t="s">
        <v>173</v>
      </c>
      <c r="BJ134" t="s">
        <v>173</v>
      </c>
      <c r="BK134" t="s">
        <v>173</v>
      </c>
      <c r="BL134" t="s">
        <v>173</v>
      </c>
      <c r="BM134" t="s">
        <v>173</v>
      </c>
      <c r="BN134" t="s">
        <v>173</v>
      </c>
      <c r="BO134" t="s">
        <v>173</v>
      </c>
      <c r="BP134" t="s">
        <v>173</v>
      </c>
      <c r="BQ134" t="s">
        <v>173</v>
      </c>
      <c r="BR134" t="s">
        <v>173</v>
      </c>
      <c r="BS134" t="s">
        <v>173</v>
      </c>
      <c r="BT134" t="s">
        <v>173</v>
      </c>
      <c r="BU134" t="s">
        <v>173</v>
      </c>
      <c r="BV134" t="s">
        <v>173</v>
      </c>
      <c r="BX134" t="s">
        <v>173</v>
      </c>
      <c r="BY134" t="s">
        <v>173</v>
      </c>
      <c r="BZ134" t="s">
        <v>173</v>
      </c>
      <c r="CA134" t="s">
        <v>173</v>
      </c>
      <c r="CB134" t="s">
        <v>173</v>
      </c>
      <c r="CC134" t="s">
        <v>173</v>
      </c>
      <c r="CD134" t="s">
        <v>173</v>
      </c>
      <c r="CE134" t="s">
        <v>173</v>
      </c>
      <c r="CF134" t="s">
        <v>173</v>
      </c>
      <c r="CG134" t="s">
        <v>173</v>
      </c>
      <c r="CH134" t="s">
        <v>173</v>
      </c>
      <c r="CI134" t="s">
        <v>173</v>
      </c>
      <c r="CJ134" t="s">
        <v>173</v>
      </c>
      <c r="CK134" t="s">
        <v>173</v>
      </c>
      <c r="CL134" t="s">
        <v>173</v>
      </c>
      <c r="CM134" t="s">
        <v>173</v>
      </c>
      <c r="CN134" t="s">
        <v>173</v>
      </c>
      <c r="CO134" t="s">
        <v>173</v>
      </c>
      <c r="CP134" t="s">
        <v>173</v>
      </c>
      <c r="CQ134" t="s">
        <v>173</v>
      </c>
      <c r="CR134" t="s">
        <v>173</v>
      </c>
      <c r="CS134" t="s">
        <v>173</v>
      </c>
      <c r="CT134" t="s">
        <v>173</v>
      </c>
      <c r="CU134" t="s">
        <v>173</v>
      </c>
      <c r="CV134" t="s">
        <v>173</v>
      </c>
      <c r="CW134" t="s">
        <v>173</v>
      </c>
      <c r="CX134" t="s">
        <v>173</v>
      </c>
      <c r="CY134" t="s">
        <v>173</v>
      </c>
      <c r="CZ134" t="s">
        <v>173</v>
      </c>
      <c r="DA134" t="s">
        <v>173</v>
      </c>
      <c r="DB134" t="s">
        <v>173</v>
      </c>
      <c r="DC134" t="s">
        <v>173</v>
      </c>
      <c r="DD134" t="s">
        <v>173</v>
      </c>
      <c r="DE134" t="s">
        <v>173</v>
      </c>
      <c r="DF134" t="s">
        <v>173</v>
      </c>
      <c r="DG134" t="s">
        <v>173</v>
      </c>
      <c r="DH134" t="s">
        <v>173</v>
      </c>
    </row>
    <row r="135" spans="1:112">
      <c r="A135">
        <v>88</v>
      </c>
      <c r="B135" t="s">
        <v>433</v>
      </c>
      <c r="C135" t="s">
        <v>434</v>
      </c>
      <c r="D135">
        <v>2024</v>
      </c>
      <c r="E135" t="s">
        <v>185</v>
      </c>
      <c r="F135" t="s">
        <v>435</v>
      </c>
      <c r="G135" t="s">
        <v>172</v>
      </c>
      <c r="H135" t="s">
        <v>173</v>
      </c>
      <c r="I135" t="s">
        <v>174</v>
      </c>
      <c r="J135" t="s">
        <v>173</v>
      </c>
      <c r="K135" t="s">
        <v>173</v>
      </c>
      <c r="L135" t="s">
        <v>173</v>
      </c>
      <c r="M135" t="s">
        <v>173</v>
      </c>
      <c r="N135" t="s">
        <v>173</v>
      </c>
      <c r="O135" t="s">
        <v>173</v>
      </c>
      <c r="P135" t="s">
        <v>173</v>
      </c>
      <c r="Q135" t="s">
        <v>173</v>
      </c>
      <c r="R135" t="s">
        <v>173</v>
      </c>
      <c r="S135" t="s">
        <v>173</v>
      </c>
      <c r="T135" t="s">
        <v>173</v>
      </c>
      <c r="U135" t="s">
        <v>173</v>
      </c>
      <c r="V135" t="s">
        <v>173</v>
      </c>
      <c r="W135" t="s">
        <v>173</v>
      </c>
      <c r="X135" t="s">
        <v>173</v>
      </c>
      <c r="Y135" t="s">
        <v>173</v>
      </c>
      <c r="Z135" t="s">
        <v>173</v>
      </c>
      <c r="AA135" t="s">
        <v>173</v>
      </c>
      <c r="AB135" t="s">
        <v>173</v>
      </c>
      <c r="AC135" t="s">
        <v>173</v>
      </c>
      <c r="AD135" t="s">
        <v>173</v>
      </c>
      <c r="AE135" t="s">
        <v>173</v>
      </c>
      <c r="AF135" t="s">
        <v>173</v>
      </c>
      <c r="AG135" t="s">
        <v>173</v>
      </c>
      <c r="AH135" t="s">
        <v>173</v>
      </c>
      <c r="AI135" t="s">
        <v>173</v>
      </c>
      <c r="AJ135" t="s">
        <v>173</v>
      </c>
      <c r="AK135" t="s">
        <v>173</v>
      </c>
      <c r="AL135" t="s">
        <v>173</v>
      </c>
      <c r="AM135" t="s">
        <v>173</v>
      </c>
      <c r="AN135" t="s">
        <v>173</v>
      </c>
      <c r="AO135" t="s">
        <v>173</v>
      </c>
      <c r="AP135" t="s">
        <v>173</v>
      </c>
      <c r="AQ135" t="s">
        <v>173</v>
      </c>
      <c r="AR135" t="s">
        <v>173</v>
      </c>
      <c r="AS135" t="s">
        <v>173</v>
      </c>
      <c r="AT135" t="s">
        <v>173</v>
      </c>
      <c r="AU135" t="s">
        <v>173</v>
      </c>
      <c r="AV135" t="s">
        <v>173</v>
      </c>
      <c r="AW135" t="s">
        <v>173</v>
      </c>
      <c r="AX135" t="s">
        <v>173</v>
      </c>
      <c r="AY135" t="s">
        <v>173</v>
      </c>
      <c r="AZ135" t="s">
        <v>173</v>
      </c>
      <c r="BA135" t="s">
        <v>173</v>
      </c>
      <c r="BB135" t="s">
        <v>173</v>
      </c>
      <c r="BC135" t="s">
        <v>173</v>
      </c>
      <c r="BD135" t="s">
        <v>173</v>
      </c>
      <c r="BE135" t="s">
        <v>173</v>
      </c>
      <c r="BF135" t="s">
        <v>173</v>
      </c>
      <c r="BG135" t="s">
        <v>173</v>
      </c>
      <c r="BH135" t="s">
        <v>173</v>
      </c>
      <c r="BI135" t="s">
        <v>173</v>
      </c>
      <c r="BJ135" t="s">
        <v>173</v>
      </c>
      <c r="BK135" t="s">
        <v>173</v>
      </c>
      <c r="BL135" t="s">
        <v>173</v>
      </c>
      <c r="BM135" t="s">
        <v>173</v>
      </c>
      <c r="BN135" t="s">
        <v>173</v>
      </c>
      <c r="BO135" t="s">
        <v>173</v>
      </c>
      <c r="BP135" t="s">
        <v>173</v>
      </c>
      <c r="BQ135" t="s">
        <v>173</v>
      </c>
      <c r="BR135" t="s">
        <v>173</v>
      </c>
      <c r="BS135" t="s">
        <v>173</v>
      </c>
      <c r="BT135" t="s">
        <v>173</v>
      </c>
      <c r="BU135" t="s">
        <v>173</v>
      </c>
      <c r="BV135" t="s">
        <v>173</v>
      </c>
      <c r="BX135" t="s">
        <v>173</v>
      </c>
      <c r="BY135" t="s">
        <v>173</v>
      </c>
      <c r="BZ135" t="s">
        <v>173</v>
      </c>
      <c r="CA135" t="s">
        <v>173</v>
      </c>
      <c r="CB135" t="s">
        <v>173</v>
      </c>
      <c r="CC135" t="s">
        <v>173</v>
      </c>
      <c r="CD135" t="s">
        <v>173</v>
      </c>
      <c r="CE135" t="s">
        <v>173</v>
      </c>
      <c r="CF135" t="s">
        <v>173</v>
      </c>
      <c r="CG135" t="s">
        <v>173</v>
      </c>
      <c r="CH135" t="s">
        <v>173</v>
      </c>
      <c r="CI135" t="s">
        <v>173</v>
      </c>
      <c r="CJ135" t="s">
        <v>173</v>
      </c>
      <c r="CK135" t="s">
        <v>173</v>
      </c>
      <c r="CL135" t="s">
        <v>173</v>
      </c>
      <c r="CM135" t="s">
        <v>173</v>
      </c>
      <c r="CN135" t="s">
        <v>173</v>
      </c>
      <c r="CO135" t="s">
        <v>173</v>
      </c>
      <c r="CP135" t="s">
        <v>173</v>
      </c>
      <c r="CQ135" t="s">
        <v>173</v>
      </c>
      <c r="CR135" t="s">
        <v>173</v>
      </c>
      <c r="CS135" t="s">
        <v>173</v>
      </c>
      <c r="CT135" t="s">
        <v>173</v>
      </c>
      <c r="CU135" t="s">
        <v>173</v>
      </c>
      <c r="CV135" t="s">
        <v>173</v>
      </c>
      <c r="CW135" t="s">
        <v>173</v>
      </c>
      <c r="CX135" t="s">
        <v>173</v>
      </c>
      <c r="CY135" t="s">
        <v>173</v>
      </c>
      <c r="CZ135" t="s">
        <v>173</v>
      </c>
      <c r="DA135" t="s">
        <v>173</v>
      </c>
      <c r="DB135" t="s">
        <v>173</v>
      </c>
      <c r="DC135" t="s">
        <v>173</v>
      </c>
      <c r="DD135" t="s">
        <v>173</v>
      </c>
      <c r="DE135" t="s">
        <v>173</v>
      </c>
      <c r="DF135" t="s">
        <v>173</v>
      </c>
      <c r="DG135" t="s">
        <v>173</v>
      </c>
      <c r="DH135" t="s">
        <v>173</v>
      </c>
    </row>
    <row r="136" spans="1:112">
      <c r="A136">
        <v>89</v>
      </c>
      <c r="B136" t="s">
        <v>436</v>
      </c>
      <c r="C136" t="s">
        <v>437</v>
      </c>
      <c r="D136">
        <v>2024</v>
      </c>
      <c r="E136" t="s">
        <v>438</v>
      </c>
      <c r="F136" t="s">
        <v>439</v>
      </c>
      <c r="G136" t="s">
        <v>172</v>
      </c>
      <c r="H136" t="s">
        <v>173</v>
      </c>
      <c r="I136" t="s">
        <v>174</v>
      </c>
      <c r="J136" t="s">
        <v>173</v>
      </c>
      <c r="K136" t="s">
        <v>173</v>
      </c>
      <c r="L136" t="s">
        <v>173</v>
      </c>
      <c r="M136" t="s">
        <v>173</v>
      </c>
      <c r="N136" t="s">
        <v>173</v>
      </c>
      <c r="O136" t="s">
        <v>173</v>
      </c>
      <c r="P136" t="s">
        <v>173</v>
      </c>
      <c r="Q136" t="s">
        <v>173</v>
      </c>
      <c r="R136" t="s">
        <v>173</v>
      </c>
      <c r="S136" t="s">
        <v>173</v>
      </c>
      <c r="T136" t="s">
        <v>173</v>
      </c>
      <c r="U136" t="s">
        <v>173</v>
      </c>
      <c r="V136" t="s">
        <v>173</v>
      </c>
      <c r="W136" t="s">
        <v>173</v>
      </c>
      <c r="X136" t="s">
        <v>173</v>
      </c>
      <c r="Y136" t="s">
        <v>173</v>
      </c>
      <c r="Z136" t="s">
        <v>173</v>
      </c>
      <c r="AA136" t="s">
        <v>173</v>
      </c>
      <c r="AB136" t="s">
        <v>173</v>
      </c>
      <c r="AC136" t="s">
        <v>173</v>
      </c>
      <c r="AD136" t="s">
        <v>173</v>
      </c>
      <c r="AE136" t="s">
        <v>173</v>
      </c>
      <c r="AF136" t="s">
        <v>173</v>
      </c>
      <c r="AG136" t="s">
        <v>173</v>
      </c>
      <c r="AH136" t="s">
        <v>173</v>
      </c>
      <c r="AI136" t="s">
        <v>173</v>
      </c>
      <c r="AJ136" t="s">
        <v>173</v>
      </c>
      <c r="AK136" t="s">
        <v>173</v>
      </c>
      <c r="AL136" t="s">
        <v>173</v>
      </c>
      <c r="AM136" t="s">
        <v>173</v>
      </c>
      <c r="AN136" t="s">
        <v>173</v>
      </c>
      <c r="AO136" t="s">
        <v>173</v>
      </c>
      <c r="AP136" t="s">
        <v>173</v>
      </c>
      <c r="AQ136" t="s">
        <v>173</v>
      </c>
      <c r="AR136" t="s">
        <v>173</v>
      </c>
      <c r="AS136" t="s">
        <v>173</v>
      </c>
      <c r="AT136" t="s">
        <v>173</v>
      </c>
      <c r="AU136" t="s">
        <v>173</v>
      </c>
      <c r="AV136" t="s">
        <v>173</v>
      </c>
      <c r="AW136" t="s">
        <v>173</v>
      </c>
      <c r="AX136" t="s">
        <v>173</v>
      </c>
      <c r="AY136" t="s">
        <v>173</v>
      </c>
      <c r="AZ136" t="s">
        <v>173</v>
      </c>
      <c r="BA136" t="s">
        <v>173</v>
      </c>
      <c r="BB136" t="s">
        <v>173</v>
      </c>
      <c r="BC136" t="s">
        <v>173</v>
      </c>
      <c r="BD136" t="s">
        <v>173</v>
      </c>
      <c r="BE136" t="s">
        <v>173</v>
      </c>
      <c r="BF136" t="s">
        <v>173</v>
      </c>
      <c r="BG136" t="s">
        <v>173</v>
      </c>
      <c r="BH136" t="s">
        <v>173</v>
      </c>
      <c r="BI136" t="s">
        <v>173</v>
      </c>
      <c r="BJ136" t="s">
        <v>173</v>
      </c>
      <c r="BK136" t="s">
        <v>173</v>
      </c>
      <c r="BL136" t="s">
        <v>173</v>
      </c>
      <c r="BM136" t="s">
        <v>173</v>
      </c>
      <c r="BN136" t="s">
        <v>173</v>
      </c>
      <c r="BO136" t="s">
        <v>173</v>
      </c>
      <c r="BP136" t="s">
        <v>173</v>
      </c>
      <c r="BQ136" t="s">
        <v>173</v>
      </c>
      <c r="BR136" t="s">
        <v>173</v>
      </c>
      <c r="BS136" t="s">
        <v>173</v>
      </c>
      <c r="BT136" t="s">
        <v>173</v>
      </c>
      <c r="BU136" t="s">
        <v>173</v>
      </c>
      <c r="BV136" t="s">
        <v>173</v>
      </c>
      <c r="BX136" t="s">
        <v>173</v>
      </c>
      <c r="BY136" t="s">
        <v>173</v>
      </c>
      <c r="BZ136" t="s">
        <v>173</v>
      </c>
      <c r="CA136" t="s">
        <v>173</v>
      </c>
      <c r="CB136" t="s">
        <v>173</v>
      </c>
      <c r="CC136" t="s">
        <v>173</v>
      </c>
      <c r="CD136" t="s">
        <v>173</v>
      </c>
      <c r="CE136" t="s">
        <v>173</v>
      </c>
      <c r="CF136" t="s">
        <v>173</v>
      </c>
      <c r="CG136" t="s">
        <v>173</v>
      </c>
      <c r="CH136" t="s">
        <v>173</v>
      </c>
      <c r="CI136" t="s">
        <v>173</v>
      </c>
      <c r="CJ136" t="s">
        <v>173</v>
      </c>
      <c r="CK136" t="s">
        <v>173</v>
      </c>
      <c r="CL136" t="s">
        <v>173</v>
      </c>
      <c r="CM136" t="s">
        <v>173</v>
      </c>
      <c r="CN136" t="s">
        <v>173</v>
      </c>
      <c r="CO136" t="s">
        <v>173</v>
      </c>
      <c r="CP136" t="s">
        <v>173</v>
      </c>
      <c r="CQ136" t="s">
        <v>173</v>
      </c>
      <c r="CR136" t="s">
        <v>173</v>
      </c>
      <c r="CS136" t="s">
        <v>173</v>
      </c>
      <c r="CT136" t="s">
        <v>173</v>
      </c>
      <c r="CU136" t="s">
        <v>173</v>
      </c>
      <c r="CV136" t="s">
        <v>173</v>
      </c>
      <c r="CW136" t="s">
        <v>173</v>
      </c>
      <c r="CX136" t="s">
        <v>173</v>
      </c>
      <c r="CY136" t="s">
        <v>173</v>
      </c>
      <c r="CZ136" t="s">
        <v>173</v>
      </c>
      <c r="DA136" t="s">
        <v>173</v>
      </c>
      <c r="DB136" t="s">
        <v>173</v>
      </c>
      <c r="DC136" t="s">
        <v>173</v>
      </c>
      <c r="DD136" t="s">
        <v>173</v>
      </c>
      <c r="DE136" t="s">
        <v>173</v>
      </c>
      <c r="DF136" t="s">
        <v>173</v>
      </c>
      <c r="DG136" t="s">
        <v>173</v>
      </c>
      <c r="DH136" t="s">
        <v>173</v>
      </c>
    </row>
    <row r="137" spans="1:112">
      <c r="A137">
        <v>90</v>
      </c>
      <c r="B137" t="s">
        <v>440</v>
      </c>
      <c r="C137" t="s">
        <v>441</v>
      </c>
      <c r="D137">
        <v>2024</v>
      </c>
      <c r="E137" t="s">
        <v>442</v>
      </c>
      <c r="F137" t="s">
        <v>443</v>
      </c>
      <c r="G137" t="s">
        <v>172</v>
      </c>
      <c r="H137" t="s">
        <v>173</v>
      </c>
      <c r="I137" t="s">
        <v>174</v>
      </c>
      <c r="J137" t="s">
        <v>173</v>
      </c>
      <c r="K137" t="s">
        <v>173</v>
      </c>
      <c r="L137" t="s">
        <v>173</v>
      </c>
      <c r="M137" t="s">
        <v>173</v>
      </c>
      <c r="N137" t="s">
        <v>173</v>
      </c>
      <c r="O137" t="s">
        <v>173</v>
      </c>
      <c r="P137" t="s">
        <v>173</v>
      </c>
      <c r="Q137" t="s">
        <v>173</v>
      </c>
      <c r="R137" t="s">
        <v>173</v>
      </c>
      <c r="S137" t="s">
        <v>173</v>
      </c>
      <c r="T137" t="s">
        <v>173</v>
      </c>
      <c r="U137" t="s">
        <v>173</v>
      </c>
      <c r="V137" t="s">
        <v>173</v>
      </c>
      <c r="W137" t="s">
        <v>173</v>
      </c>
      <c r="X137" t="s">
        <v>173</v>
      </c>
      <c r="Y137" t="s">
        <v>173</v>
      </c>
      <c r="Z137" t="s">
        <v>173</v>
      </c>
      <c r="AA137" t="s">
        <v>173</v>
      </c>
      <c r="AB137" t="s">
        <v>173</v>
      </c>
      <c r="AC137" t="s">
        <v>173</v>
      </c>
      <c r="AD137" t="s">
        <v>173</v>
      </c>
      <c r="AE137" t="s">
        <v>173</v>
      </c>
      <c r="AF137" t="s">
        <v>173</v>
      </c>
      <c r="AG137" t="s">
        <v>173</v>
      </c>
      <c r="AH137" t="s">
        <v>173</v>
      </c>
      <c r="AI137" t="s">
        <v>173</v>
      </c>
      <c r="AJ137" t="s">
        <v>173</v>
      </c>
      <c r="AK137" t="s">
        <v>173</v>
      </c>
      <c r="AL137" t="s">
        <v>173</v>
      </c>
      <c r="AM137" t="s">
        <v>173</v>
      </c>
      <c r="AN137" t="s">
        <v>173</v>
      </c>
      <c r="AO137" t="s">
        <v>173</v>
      </c>
      <c r="AP137" t="s">
        <v>173</v>
      </c>
      <c r="AQ137" t="s">
        <v>173</v>
      </c>
      <c r="AR137" t="s">
        <v>173</v>
      </c>
      <c r="AS137" t="s">
        <v>173</v>
      </c>
      <c r="AT137" t="s">
        <v>173</v>
      </c>
      <c r="AU137" t="s">
        <v>173</v>
      </c>
      <c r="AV137" t="s">
        <v>173</v>
      </c>
      <c r="AW137" t="s">
        <v>173</v>
      </c>
      <c r="AX137" t="s">
        <v>173</v>
      </c>
      <c r="AY137" t="s">
        <v>173</v>
      </c>
      <c r="AZ137" t="s">
        <v>173</v>
      </c>
      <c r="BA137" t="s">
        <v>173</v>
      </c>
      <c r="BB137" t="s">
        <v>173</v>
      </c>
      <c r="BC137" t="s">
        <v>173</v>
      </c>
      <c r="BD137" t="s">
        <v>173</v>
      </c>
      <c r="BE137" t="s">
        <v>173</v>
      </c>
      <c r="BF137" t="s">
        <v>173</v>
      </c>
      <c r="BG137" t="s">
        <v>173</v>
      </c>
      <c r="BH137" t="s">
        <v>173</v>
      </c>
      <c r="BI137" t="s">
        <v>173</v>
      </c>
      <c r="BJ137" t="s">
        <v>173</v>
      </c>
      <c r="BK137" t="s">
        <v>173</v>
      </c>
      <c r="BL137" t="s">
        <v>173</v>
      </c>
      <c r="BM137" t="s">
        <v>173</v>
      </c>
      <c r="BN137" t="s">
        <v>173</v>
      </c>
      <c r="BO137" t="s">
        <v>173</v>
      </c>
      <c r="BP137" t="s">
        <v>173</v>
      </c>
      <c r="BQ137" t="s">
        <v>173</v>
      </c>
      <c r="BR137" t="s">
        <v>173</v>
      </c>
      <c r="BS137" t="s">
        <v>173</v>
      </c>
      <c r="BT137" t="s">
        <v>173</v>
      </c>
      <c r="BU137" t="s">
        <v>173</v>
      </c>
      <c r="BV137" t="s">
        <v>173</v>
      </c>
      <c r="BX137" t="s">
        <v>173</v>
      </c>
      <c r="BY137" t="s">
        <v>173</v>
      </c>
      <c r="BZ137" t="s">
        <v>173</v>
      </c>
      <c r="CA137" t="s">
        <v>173</v>
      </c>
      <c r="CB137" t="s">
        <v>173</v>
      </c>
      <c r="CC137" t="s">
        <v>173</v>
      </c>
      <c r="CD137" t="s">
        <v>173</v>
      </c>
      <c r="CE137" t="s">
        <v>173</v>
      </c>
      <c r="CF137" t="s">
        <v>173</v>
      </c>
      <c r="CG137" t="s">
        <v>173</v>
      </c>
      <c r="CH137" t="s">
        <v>173</v>
      </c>
      <c r="CI137" t="s">
        <v>173</v>
      </c>
      <c r="CJ137" t="s">
        <v>173</v>
      </c>
      <c r="CK137" t="s">
        <v>173</v>
      </c>
      <c r="CL137" t="s">
        <v>173</v>
      </c>
      <c r="CM137" t="s">
        <v>173</v>
      </c>
      <c r="CN137" t="s">
        <v>173</v>
      </c>
      <c r="CO137" t="s">
        <v>173</v>
      </c>
      <c r="CP137" t="s">
        <v>173</v>
      </c>
      <c r="CQ137" t="s">
        <v>173</v>
      </c>
      <c r="CR137" t="s">
        <v>173</v>
      </c>
      <c r="CS137" t="s">
        <v>173</v>
      </c>
      <c r="CT137" t="s">
        <v>173</v>
      </c>
      <c r="CU137" t="s">
        <v>173</v>
      </c>
      <c r="CV137" t="s">
        <v>173</v>
      </c>
      <c r="CW137" t="s">
        <v>173</v>
      </c>
      <c r="CX137" t="s">
        <v>173</v>
      </c>
      <c r="CY137" t="s">
        <v>173</v>
      </c>
      <c r="CZ137" t="s">
        <v>173</v>
      </c>
      <c r="DA137" t="s">
        <v>173</v>
      </c>
      <c r="DB137" t="s">
        <v>173</v>
      </c>
      <c r="DC137" t="s">
        <v>173</v>
      </c>
      <c r="DD137" t="s">
        <v>173</v>
      </c>
      <c r="DE137" t="s">
        <v>173</v>
      </c>
      <c r="DF137" t="s">
        <v>173</v>
      </c>
      <c r="DG137" t="s">
        <v>173</v>
      </c>
      <c r="DH137" t="s">
        <v>173</v>
      </c>
    </row>
    <row r="138" spans="1:112">
      <c r="A138">
        <v>90</v>
      </c>
      <c r="B138" t="s">
        <v>440</v>
      </c>
      <c r="C138" t="s">
        <v>441</v>
      </c>
      <c r="D138">
        <v>2024</v>
      </c>
      <c r="E138" t="s">
        <v>442</v>
      </c>
      <c r="F138" t="s">
        <v>443</v>
      </c>
      <c r="G138" t="s">
        <v>172</v>
      </c>
      <c r="H138" t="s">
        <v>173</v>
      </c>
      <c r="I138" t="s">
        <v>174</v>
      </c>
      <c r="J138" t="s">
        <v>173</v>
      </c>
      <c r="K138" t="s">
        <v>173</v>
      </c>
      <c r="L138" t="s">
        <v>173</v>
      </c>
      <c r="M138" t="s">
        <v>173</v>
      </c>
      <c r="N138" t="s">
        <v>173</v>
      </c>
      <c r="O138" t="s">
        <v>173</v>
      </c>
      <c r="P138" t="s">
        <v>173</v>
      </c>
      <c r="Q138" t="s">
        <v>173</v>
      </c>
      <c r="R138" t="s">
        <v>173</v>
      </c>
      <c r="S138" t="s">
        <v>173</v>
      </c>
      <c r="T138" t="s">
        <v>173</v>
      </c>
      <c r="U138" t="s">
        <v>173</v>
      </c>
      <c r="V138" t="s">
        <v>173</v>
      </c>
      <c r="W138" t="s">
        <v>173</v>
      </c>
      <c r="X138" t="s">
        <v>173</v>
      </c>
      <c r="Y138" t="s">
        <v>173</v>
      </c>
      <c r="Z138" t="s">
        <v>173</v>
      </c>
      <c r="AA138" t="s">
        <v>173</v>
      </c>
      <c r="AB138" t="s">
        <v>173</v>
      </c>
      <c r="AC138" t="s">
        <v>173</v>
      </c>
      <c r="AD138" t="s">
        <v>173</v>
      </c>
      <c r="AE138" t="s">
        <v>173</v>
      </c>
      <c r="AF138" t="s">
        <v>173</v>
      </c>
      <c r="AG138" t="s">
        <v>173</v>
      </c>
      <c r="AH138" t="s">
        <v>173</v>
      </c>
      <c r="AI138" t="s">
        <v>173</v>
      </c>
      <c r="AJ138" t="s">
        <v>173</v>
      </c>
      <c r="AK138" t="s">
        <v>173</v>
      </c>
      <c r="AL138" t="s">
        <v>173</v>
      </c>
      <c r="AM138" t="s">
        <v>173</v>
      </c>
      <c r="AN138" t="s">
        <v>173</v>
      </c>
      <c r="AO138" t="s">
        <v>173</v>
      </c>
      <c r="AP138" t="s">
        <v>173</v>
      </c>
      <c r="AQ138" t="s">
        <v>173</v>
      </c>
      <c r="AR138" t="s">
        <v>173</v>
      </c>
      <c r="AS138" t="s">
        <v>173</v>
      </c>
      <c r="AT138" t="s">
        <v>173</v>
      </c>
      <c r="AU138" t="s">
        <v>173</v>
      </c>
      <c r="AV138" t="s">
        <v>173</v>
      </c>
      <c r="AW138" t="s">
        <v>173</v>
      </c>
      <c r="AX138" t="s">
        <v>173</v>
      </c>
      <c r="AY138" t="s">
        <v>173</v>
      </c>
      <c r="AZ138" t="s">
        <v>173</v>
      </c>
      <c r="BA138" t="s">
        <v>173</v>
      </c>
      <c r="BB138" t="s">
        <v>173</v>
      </c>
      <c r="BC138" t="s">
        <v>173</v>
      </c>
      <c r="BD138" t="s">
        <v>173</v>
      </c>
      <c r="BE138" t="s">
        <v>173</v>
      </c>
      <c r="BF138" t="s">
        <v>173</v>
      </c>
      <c r="BG138" t="s">
        <v>173</v>
      </c>
      <c r="BH138" t="s">
        <v>173</v>
      </c>
      <c r="BI138" t="s">
        <v>173</v>
      </c>
      <c r="BJ138" t="s">
        <v>173</v>
      </c>
      <c r="BK138" t="s">
        <v>173</v>
      </c>
      <c r="BL138" t="s">
        <v>173</v>
      </c>
      <c r="BM138" t="s">
        <v>173</v>
      </c>
      <c r="BN138" t="s">
        <v>173</v>
      </c>
      <c r="BO138" t="s">
        <v>173</v>
      </c>
      <c r="BP138" t="s">
        <v>173</v>
      </c>
      <c r="BQ138" t="s">
        <v>173</v>
      </c>
      <c r="BR138" t="s">
        <v>173</v>
      </c>
      <c r="BS138" t="s">
        <v>173</v>
      </c>
      <c r="BT138" t="s">
        <v>173</v>
      </c>
      <c r="BU138" t="s">
        <v>173</v>
      </c>
      <c r="BV138" t="s">
        <v>173</v>
      </c>
      <c r="BX138" t="s">
        <v>173</v>
      </c>
      <c r="BY138" t="s">
        <v>173</v>
      </c>
      <c r="BZ138" t="s">
        <v>173</v>
      </c>
      <c r="CA138" t="s">
        <v>173</v>
      </c>
      <c r="CB138" t="s">
        <v>173</v>
      </c>
      <c r="CC138" t="s">
        <v>173</v>
      </c>
      <c r="CD138" t="s">
        <v>173</v>
      </c>
      <c r="CE138" t="s">
        <v>173</v>
      </c>
      <c r="CF138" t="s">
        <v>173</v>
      </c>
      <c r="CG138" t="s">
        <v>173</v>
      </c>
      <c r="CH138" t="s">
        <v>173</v>
      </c>
      <c r="CI138" t="s">
        <v>173</v>
      </c>
      <c r="CJ138" t="s">
        <v>173</v>
      </c>
      <c r="CK138" t="s">
        <v>173</v>
      </c>
      <c r="CL138" t="s">
        <v>173</v>
      </c>
      <c r="CM138" t="s">
        <v>173</v>
      </c>
      <c r="CN138" t="s">
        <v>173</v>
      </c>
      <c r="CO138" t="s">
        <v>173</v>
      </c>
      <c r="CP138" t="s">
        <v>173</v>
      </c>
      <c r="CQ138" t="s">
        <v>173</v>
      </c>
      <c r="CR138" t="s">
        <v>173</v>
      </c>
      <c r="CS138" t="s">
        <v>173</v>
      </c>
      <c r="CT138" t="s">
        <v>173</v>
      </c>
      <c r="CU138" t="s">
        <v>173</v>
      </c>
      <c r="CV138" t="s">
        <v>173</v>
      </c>
      <c r="CW138" t="s">
        <v>173</v>
      </c>
      <c r="CX138" t="s">
        <v>173</v>
      </c>
      <c r="CY138" t="s">
        <v>173</v>
      </c>
      <c r="CZ138" t="s">
        <v>173</v>
      </c>
      <c r="DA138" t="s">
        <v>173</v>
      </c>
      <c r="DB138" t="s">
        <v>173</v>
      </c>
      <c r="DC138" t="s">
        <v>173</v>
      </c>
      <c r="DD138" t="s">
        <v>173</v>
      </c>
      <c r="DE138" t="s">
        <v>173</v>
      </c>
      <c r="DF138" t="s">
        <v>173</v>
      </c>
      <c r="DG138" t="s">
        <v>173</v>
      </c>
      <c r="DH138" t="s">
        <v>173</v>
      </c>
    </row>
    <row r="139" spans="1:112">
      <c r="A139">
        <v>91</v>
      </c>
      <c r="B139" t="s">
        <v>444</v>
      </c>
      <c r="C139" t="s">
        <v>445</v>
      </c>
      <c r="D139">
        <v>2024</v>
      </c>
      <c r="E139" t="s">
        <v>446</v>
      </c>
      <c r="F139" t="s">
        <v>447</v>
      </c>
      <c r="G139" t="s">
        <v>172</v>
      </c>
      <c r="H139">
        <v>0.64</v>
      </c>
      <c r="I139" t="s">
        <v>187</v>
      </c>
      <c r="J139" t="s">
        <v>173</v>
      </c>
      <c r="K139" t="s">
        <v>173</v>
      </c>
      <c r="L139" t="s">
        <v>173</v>
      </c>
      <c r="M139" t="s">
        <v>173</v>
      </c>
      <c r="N139" t="s">
        <v>173</v>
      </c>
      <c r="O139" t="s">
        <v>173</v>
      </c>
      <c r="P139" t="s">
        <v>173</v>
      </c>
      <c r="Q139" t="s">
        <v>173</v>
      </c>
      <c r="R139" t="s">
        <v>173</v>
      </c>
      <c r="S139" t="s">
        <v>173</v>
      </c>
      <c r="T139" t="s">
        <v>173</v>
      </c>
      <c r="U139" t="s">
        <v>173</v>
      </c>
      <c r="V139" t="s">
        <v>173</v>
      </c>
      <c r="W139" t="s">
        <v>173</v>
      </c>
      <c r="X139" t="s">
        <v>173</v>
      </c>
      <c r="Y139" t="s">
        <v>173</v>
      </c>
      <c r="Z139" t="s">
        <v>173</v>
      </c>
      <c r="AA139" t="s">
        <v>173</v>
      </c>
      <c r="AB139" t="s">
        <v>173</v>
      </c>
      <c r="AC139" t="s">
        <v>173</v>
      </c>
      <c r="AD139" t="s">
        <v>173</v>
      </c>
      <c r="AE139" t="s">
        <v>173</v>
      </c>
      <c r="AF139" t="s">
        <v>173</v>
      </c>
      <c r="AG139" t="s">
        <v>173</v>
      </c>
      <c r="AH139" t="s">
        <v>173</v>
      </c>
      <c r="AI139" t="s">
        <v>173</v>
      </c>
      <c r="AJ139" t="s">
        <v>173</v>
      </c>
      <c r="AK139" t="s">
        <v>173</v>
      </c>
      <c r="AL139" t="s">
        <v>173</v>
      </c>
      <c r="AM139" t="s">
        <v>173</v>
      </c>
      <c r="AN139" t="s">
        <v>173</v>
      </c>
      <c r="AO139" t="s">
        <v>173</v>
      </c>
      <c r="AP139" t="s">
        <v>173</v>
      </c>
      <c r="AQ139" t="s">
        <v>173</v>
      </c>
      <c r="AR139" t="s">
        <v>173</v>
      </c>
      <c r="AS139" t="s">
        <v>173</v>
      </c>
      <c r="AT139" t="s">
        <v>173</v>
      </c>
      <c r="AU139" t="s">
        <v>173</v>
      </c>
      <c r="AV139" t="s">
        <v>173</v>
      </c>
      <c r="AW139" t="s">
        <v>173</v>
      </c>
      <c r="AX139" t="s">
        <v>173</v>
      </c>
      <c r="AY139" t="s">
        <v>173</v>
      </c>
      <c r="AZ139" t="s">
        <v>173</v>
      </c>
      <c r="BA139" t="s">
        <v>173</v>
      </c>
      <c r="BB139" t="s">
        <v>173</v>
      </c>
      <c r="BC139" t="s">
        <v>173</v>
      </c>
      <c r="BD139" t="s">
        <v>173</v>
      </c>
      <c r="BE139" t="s">
        <v>173</v>
      </c>
      <c r="BF139" t="s">
        <v>173</v>
      </c>
      <c r="BG139" t="s">
        <v>173</v>
      </c>
      <c r="BH139" t="s">
        <v>173</v>
      </c>
      <c r="BI139" t="s">
        <v>173</v>
      </c>
      <c r="BJ139" t="s">
        <v>173</v>
      </c>
      <c r="BK139" t="s">
        <v>173</v>
      </c>
      <c r="BL139" t="s">
        <v>173</v>
      </c>
      <c r="BM139" t="s">
        <v>173</v>
      </c>
      <c r="BN139" t="s">
        <v>173</v>
      </c>
      <c r="BO139" t="s">
        <v>173</v>
      </c>
      <c r="BP139" t="s">
        <v>173</v>
      </c>
      <c r="BQ139" t="s">
        <v>173</v>
      </c>
      <c r="BR139" t="s">
        <v>173</v>
      </c>
      <c r="BS139" t="s">
        <v>173</v>
      </c>
      <c r="BT139" t="s">
        <v>173</v>
      </c>
      <c r="BU139" t="s">
        <v>173</v>
      </c>
      <c r="BV139" t="s">
        <v>173</v>
      </c>
      <c r="BX139" t="s">
        <v>173</v>
      </c>
      <c r="BY139" t="s">
        <v>173</v>
      </c>
      <c r="BZ139" t="s">
        <v>173</v>
      </c>
      <c r="CA139" t="s">
        <v>173</v>
      </c>
      <c r="CB139" t="s">
        <v>173</v>
      </c>
      <c r="CC139" t="s">
        <v>173</v>
      </c>
      <c r="CD139" t="s">
        <v>173</v>
      </c>
      <c r="CE139" t="s">
        <v>173</v>
      </c>
      <c r="CF139" t="s">
        <v>173</v>
      </c>
      <c r="CG139" t="s">
        <v>173</v>
      </c>
      <c r="CH139" t="s">
        <v>173</v>
      </c>
      <c r="CI139" t="s">
        <v>173</v>
      </c>
      <c r="CJ139" t="s">
        <v>173</v>
      </c>
      <c r="CK139" t="s">
        <v>173</v>
      </c>
      <c r="CL139" t="s">
        <v>173</v>
      </c>
      <c r="CM139" t="s">
        <v>173</v>
      </c>
      <c r="CN139" t="s">
        <v>173</v>
      </c>
      <c r="CO139" t="s">
        <v>173</v>
      </c>
      <c r="CP139" t="s">
        <v>173</v>
      </c>
      <c r="CQ139" t="s">
        <v>173</v>
      </c>
      <c r="CR139" t="s">
        <v>173</v>
      </c>
      <c r="CS139" t="s">
        <v>173</v>
      </c>
      <c r="CT139" t="s">
        <v>173</v>
      </c>
      <c r="CU139" t="s">
        <v>173</v>
      </c>
      <c r="CV139" t="s">
        <v>173</v>
      </c>
      <c r="CW139" t="s">
        <v>173</v>
      </c>
      <c r="CX139" t="s">
        <v>173</v>
      </c>
      <c r="CY139" t="s">
        <v>173</v>
      </c>
      <c r="CZ139" t="s">
        <v>173</v>
      </c>
      <c r="DA139" t="s">
        <v>173</v>
      </c>
      <c r="DB139" t="s">
        <v>173</v>
      </c>
      <c r="DC139" t="s">
        <v>173</v>
      </c>
      <c r="DD139" t="s">
        <v>173</v>
      </c>
      <c r="DE139" t="s">
        <v>173</v>
      </c>
      <c r="DF139" t="s">
        <v>173</v>
      </c>
      <c r="DG139" t="s">
        <v>173</v>
      </c>
      <c r="DH139" t="s">
        <v>173</v>
      </c>
    </row>
    <row r="140" spans="1:112">
      <c r="A140">
        <v>92</v>
      </c>
      <c r="B140" t="s">
        <v>448</v>
      </c>
      <c r="C140" t="s">
        <v>449</v>
      </c>
      <c r="D140">
        <v>2024</v>
      </c>
      <c r="E140" t="s">
        <v>185</v>
      </c>
      <c r="F140" t="s">
        <v>450</v>
      </c>
      <c r="G140" t="s">
        <v>172</v>
      </c>
      <c r="H140" t="s">
        <v>173</v>
      </c>
      <c r="I140" t="s">
        <v>174</v>
      </c>
      <c r="J140" t="s">
        <v>173</v>
      </c>
      <c r="K140" t="s">
        <v>173</v>
      </c>
      <c r="L140" t="s">
        <v>173</v>
      </c>
      <c r="M140" t="s">
        <v>173</v>
      </c>
      <c r="N140" t="s">
        <v>173</v>
      </c>
      <c r="O140" t="s">
        <v>173</v>
      </c>
      <c r="P140" t="s">
        <v>173</v>
      </c>
      <c r="Q140" t="s">
        <v>173</v>
      </c>
      <c r="R140" t="s">
        <v>173</v>
      </c>
      <c r="S140" t="s">
        <v>173</v>
      </c>
      <c r="T140" t="s">
        <v>173</v>
      </c>
      <c r="U140" t="s">
        <v>173</v>
      </c>
      <c r="V140" t="s">
        <v>173</v>
      </c>
      <c r="W140" t="s">
        <v>173</v>
      </c>
      <c r="X140" t="s">
        <v>173</v>
      </c>
      <c r="Y140" t="s">
        <v>173</v>
      </c>
      <c r="Z140" t="s">
        <v>173</v>
      </c>
      <c r="AA140" t="s">
        <v>173</v>
      </c>
      <c r="AB140" t="s">
        <v>173</v>
      </c>
      <c r="AC140" t="s">
        <v>173</v>
      </c>
      <c r="AD140" t="s">
        <v>173</v>
      </c>
      <c r="AE140" t="s">
        <v>173</v>
      </c>
      <c r="AF140" t="s">
        <v>173</v>
      </c>
      <c r="AG140" t="s">
        <v>173</v>
      </c>
      <c r="AH140" t="s">
        <v>173</v>
      </c>
      <c r="AI140" t="s">
        <v>173</v>
      </c>
      <c r="AJ140" t="s">
        <v>173</v>
      </c>
      <c r="AK140" t="s">
        <v>173</v>
      </c>
      <c r="AL140" t="s">
        <v>173</v>
      </c>
      <c r="AM140" t="s">
        <v>173</v>
      </c>
      <c r="AN140" t="s">
        <v>173</v>
      </c>
      <c r="AO140" t="s">
        <v>173</v>
      </c>
      <c r="AP140" t="s">
        <v>173</v>
      </c>
      <c r="AQ140" t="s">
        <v>173</v>
      </c>
      <c r="AR140" t="s">
        <v>173</v>
      </c>
      <c r="AS140" t="s">
        <v>173</v>
      </c>
      <c r="AT140" t="s">
        <v>173</v>
      </c>
      <c r="AU140" t="s">
        <v>173</v>
      </c>
      <c r="AV140" t="s">
        <v>173</v>
      </c>
      <c r="AW140" t="s">
        <v>173</v>
      </c>
      <c r="AX140" t="s">
        <v>173</v>
      </c>
      <c r="AY140" t="s">
        <v>173</v>
      </c>
      <c r="AZ140" t="s">
        <v>173</v>
      </c>
      <c r="BA140" t="s">
        <v>173</v>
      </c>
      <c r="BB140" t="s">
        <v>173</v>
      </c>
      <c r="BC140" t="s">
        <v>173</v>
      </c>
      <c r="BD140" t="s">
        <v>173</v>
      </c>
      <c r="BE140" t="s">
        <v>173</v>
      </c>
      <c r="BF140" t="s">
        <v>173</v>
      </c>
      <c r="BG140" t="s">
        <v>173</v>
      </c>
      <c r="BH140" t="s">
        <v>173</v>
      </c>
      <c r="BI140" t="s">
        <v>173</v>
      </c>
      <c r="BJ140" t="s">
        <v>173</v>
      </c>
      <c r="BK140" t="s">
        <v>173</v>
      </c>
      <c r="BL140" t="s">
        <v>173</v>
      </c>
      <c r="BM140" t="s">
        <v>173</v>
      </c>
      <c r="BN140" t="s">
        <v>173</v>
      </c>
      <c r="BO140" t="s">
        <v>173</v>
      </c>
      <c r="BP140" t="s">
        <v>173</v>
      </c>
      <c r="BQ140" t="s">
        <v>173</v>
      </c>
      <c r="BR140" t="s">
        <v>173</v>
      </c>
      <c r="BS140" t="s">
        <v>173</v>
      </c>
      <c r="BT140" t="s">
        <v>173</v>
      </c>
      <c r="BU140" t="s">
        <v>173</v>
      </c>
      <c r="BV140" t="s">
        <v>173</v>
      </c>
      <c r="BX140" t="s">
        <v>173</v>
      </c>
      <c r="BY140" t="s">
        <v>173</v>
      </c>
      <c r="BZ140" t="s">
        <v>173</v>
      </c>
      <c r="CA140" t="s">
        <v>173</v>
      </c>
      <c r="CB140" t="s">
        <v>173</v>
      </c>
      <c r="CC140" t="s">
        <v>173</v>
      </c>
      <c r="CD140" t="s">
        <v>173</v>
      </c>
      <c r="CE140" t="s">
        <v>173</v>
      </c>
      <c r="CF140" t="s">
        <v>173</v>
      </c>
      <c r="CG140" t="s">
        <v>173</v>
      </c>
      <c r="CH140" t="s">
        <v>173</v>
      </c>
      <c r="CI140" t="s">
        <v>173</v>
      </c>
      <c r="CJ140" t="s">
        <v>173</v>
      </c>
      <c r="CK140" t="s">
        <v>173</v>
      </c>
      <c r="CL140" t="s">
        <v>173</v>
      </c>
      <c r="CM140" t="s">
        <v>173</v>
      </c>
      <c r="CN140" t="s">
        <v>173</v>
      </c>
      <c r="CO140" t="s">
        <v>173</v>
      </c>
      <c r="CP140" t="s">
        <v>173</v>
      </c>
      <c r="CQ140" t="s">
        <v>173</v>
      </c>
      <c r="CR140" t="s">
        <v>173</v>
      </c>
      <c r="CS140" t="s">
        <v>173</v>
      </c>
      <c r="CT140" t="s">
        <v>173</v>
      </c>
      <c r="CU140" t="s">
        <v>173</v>
      </c>
      <c r="CV140" t="s">
        <v>173</v>
      </c>
      <c r="CW140" t="s">
        <v>173</v>
      </c>
      <c r="CX140" t="s">
        <v>173</v>
      </c>
      <c r="CY140" t="s">
        <v>173</v>
      </c>
      <c r="CZ140" t="s">
        <v>173</v>
      </c>
      <c r="DA140" t="s">
        <v>173</v>
      </c>
      <c r="DB140" t="s">
        <v>173</v>
      </c>
      <c r="DC140" t="s">
        <v>173</v>
      </c>
      <c r="DD140" t="s">
        <v>173</v>
      </c>
      <c r="DE140" t="s">
        <v>173</v>
      </c>
      <c r="DF140" t="s">
        <v>173</v>
      </c>
      <c r="DG140" t="s">
        <v>173</v>
      </c>
      <c r="DH140" t="s">
        <v>173</v>
      </c>
    </row>
    <row r="141" spans="1:112">
      <c r="A141">
        <v>1</v>
      </c>
      <c r="B141" t="s">
        <v>451</v>
      </c>
      <c r="C141" t="s">
        <v>452</v>
      </c>
      <c r="D141">
        <v>2025</v>
      </c>
      <c r="E141" t="s">
        <v>378</v>
      </c>
      <c r="F141" t="s">
        <v>453</v>
      </c>
      <c r="G141" t="s">
        <v>454</v>
      </c>
      <c r="H141">
        <v>0.86</v>
      </c>
      <c r="I141" t="s">
        <v>173</v>
      </c>
      <c r="J141" t="s">
        <v>455</v>
      </c>
      <c r="K141" t="s">
        <v>456</v>
      </c>
      <c r="L141" t="s">
        <v>457</v>
      </c>
      <c r="M141" t="s">
        <v>454</v>
      </c>
      <c r="N141" t="s">
        <v>454</v>
      </c>
      <c r="O141" t="s">
        <v>458</v>
      </c>
      <c r="P141">
        <v>50</v>
      </c>
      <c r="Q141" t="s">
        <v>459</v>
      </c>
      <c r="R141">
        <v>73</v>
      </c>
      <c r="S141">
        <v>1</v>
      </c>
      <c r="T141">
        <v>3</v>
      </c>
      <c r="U141" t="s">
        <v>173</v>
      </c>
      <c r="V141" t="s">
        <v>173</v>
      </c>
      <c r="W141" t="s">
        <v>173</v>
      </c>
      <c r="X141" t="s">
        <v>173</v>
      </c>
      <c r="Y141" t="s">
        <v>173</v>
      </c>
      <c r="Z141" t="s">
        <v>173</v>
      </c>
      <c r="AA141" t="s">
        <v>173</v>
      </c>
      <c r="AB141" t="s">
        <v>173</v>
      </c>
      <c r="AC141" t="s">
        <v>173</v>
      </c>
      <c r="AD141" t="s">
        <v>173</v>
      </c>
      <c r="AE141" t="s">
        <v>173</v>
      </c>
      <c r="AF141" t="s">
        <v>173</v>
      </c>
      <c r="AG141" t="s">
        <v>173</v>
      </c>
      <c r="AH141" t="s">
        <v>173</v>
      </c>
      <c r="AI141" t="s">
        <v>173</v>
      </c>
      <c r="AJ141" t="s">
        <v>173</v>
      </c>
      <c r="AK141" t="s">
        <v>173</v>
      </c>
      <c r="AL141" t="s">
        <v>173</v>
      </c>
      <c r="AM141" t="s">
        <v>173</v>
      </c>
      <c r="AN141" t="s">
        <v>173</v>
      </c>
      <c r="AO141" t="s">
        <v>173</v>
      </c>
      <c r="AP141" t="s">
        <v>173</v>
      </c>
      <c r="AQ141" t="s">
        <v>173</v>
      </c>
      <c r="AR141" t="s">
        <v>173</v>
      </c>
      <c r="AS141" t="s">
        <v>173</v>
      </c>
      <c r="AT141" t="s">
        <v>173</v>
      </c>
      <c r="AU141" t="s">
        <v>173</v>
      </c>
      <c r="AV141" t="s">
        <v>173</v>
      </c>
      <c r="AW141" t="s">
        <v>173</v>
      </c>
      <c r="AX141" t="s">
        <v>173</v>
      </c>
      <c r="AY141" t="s">
        <v>173</v>
      </c>
      <c r="AZ141" t="s">
        <v>173</v>
      </c>
      <c r="BA141">
        <v>1.25</v>
      </c>
      <c r="BB141">
        <v>0.05</v>
      </c>
      <c r="BC141" t="s">
        <v>460</v>
      </c>
      <c r="BD141">
        <f>_xlfn.XLOOKUP(Table7[[#This Row],[WVP_unit]],ConversionFactors!$B$3:$B$10,ConversionFactors!$S$3:$S$10)</f>
        <v>2400000</v>
      </c>
      <c r="BE141">
        <f>Table7[[#This Row],[WVP_value]]*Table7[[#This Row],[WVP_conversion_factor]]</f>
        <v>3000000</v>
      </c>
      <c r="BF141">
        <f>Table7[[#This Row],[WVP_SD]]*Table7[[#This Row],[WVP_conversion_factor]]</f>
        <v>120000</v>
      </c>
      <c r="BG141" t="s">
        <v>461</v>
      </c>
      <c r="BH141">
        <v>25</v>
      </c>
      <c r="BI141">
        <v>75</v>
      </c>
      <c r="BJ141">
        <f>10^(8.07131-1730.63/(233.426+Table7[[#This Row],[WVP_temperature_°C]]))*0.00133322368</f>
        <v>3.1579287443259496E-2</v>
      </c>
      <c r="BK141">
        <f>Table7[[#This Row],[WVP_RH_%]]/100*Table7[[#This Row],[WVP_psat_bar]]</f>
        <v>2.3684465582444622E-2</v>
      </c>
      <c r="BL141" t="s">
        <v>173</v>
      </c>
      <c r="BM141" t="s">
        <v>173</v>
      </c>
      <c r="BN141" t="s">
        <v>173</v>
      </c>
      <c r="BO141" t="s">
        <v>173</v>
      </c>
      <c r="BP141">
        <f>Table7[[#This Row],[WVP_g·µm·m-2·d-1·bar-1]]*Table7[[#This Row],[WVP_Δp_bar]]/100</f>
        <v>710.53396747333875</v>
      </c>
      <c r="BQ141">
        <f>Table7[[#This Row],[WVP_SD_g·µm·m-2·d-1 ]]*Table7[[#This Row],[WVP_Δp_bar]]/100</f>
        <v>28.421358698933545</v>
      </c>
      <c r="BR141" t="s">
        <v>461</v>
      </c>
      <c r="BS141">
        <v>25</v>
      </c>
      <c r="BT141">
        <v>75</v>
      </c>
      <c r="BU141">
        <v>3</v>
      </c>
      <c r="BV141" t="s">
        <v>173</v>
      </c>
      <c r="BX141" t="s">
        <v>173</v>
      </c>
      <c r="BY141" t="s">
        <v>173</v>
      </c>
      <c r="BZ141" t="s">
        <v>173</v>
      </c>
      <c r="CA141" t="s">
        <v>173</v>
      </c>
      <c r="CB141" t="s">
        <v>173</v>
      </c>
      <c r="CC141" t="s">
        <v>173</v>
      </c>
      <c r="CD141" t="s">
        <v>173</v>
      </c>
      <c r="CE141" t="s">
        <v>173</v>
      </c>
      <c r="CF141" t="s">
        <v>173</v>
      </c>
      <c r="CG141" t="s">
        <v>173</v>
      </c>
      <c r="CH141" t="s">
        <v>173</v>
      </c>
      <c r="CI141" t="s">
        <v>173</v>
      </c>
      <c r="CJ141" t="s">
        <v>173</v>
      </c>
      <c r="CK141" t="s">
        <v>173</v>
      </c>
      <c r="CL141" t="s">
        <v>173</v>
      </c>
      <c r="CM141" t="s">
        <v>173</v>
      </c>
      <c r="CN141" t="s">
        <v>173</v>
      </c>
      <c r="CO141" t="s">
        <v>173</v>
      </c>
      <c r="CP141" t="s">
        <v>173</v>
      </c>
      <c r="CQ141" t="s">
        <v>173</v>
      </c>
      <c r="CR141" t="s">
        <v>173</v>
      </c>
      <c r="CS141" t="s">
        <v>173</v>
      </c>
      <c r="CT141" t="s">
        <v>173</v>
      </c>
      <c r="CU141" t="s">
        <v>173</v>
      </c>
      <c r="CV141" t="s">
        <v>173</v>
      </c>
      <c r="CW141" t="s">
        <v>173</v>
      </c>
      <c r="CX141" t="s">
        <v>173</v>
      </c>
      <c r="CY141" t="s">
        <v>173</v>
      </c>
      <c r="CZ141" t="s">
        <v>173</v>
      </c>
      <c r="DA141" t="s">
        <v>173</v>
      </c>
      <c r="DB141" t="s">
        <v>173</v>
      </c>
      <c r="DC141" t="s">
        <v>173</v>
      </c>
      <c r="DD141" t="s">
        <v>173</v>
      </c>
      <c r="DE141" t="s">
        <v>173</v>
      </c>
      <c r="DF141" t="s">
        <v>172</v>
      </c>
      <c r="DG141" t="s">
        <v>462</v>
      </c>
      <c r="DH141" t="s">
        <v>463</v>
      </c>
    </row>
    <row r="142" spans="1:112">
      <c r="A142">
        <v>1</v>
      </c>
      <c r="B142" t="s">
        <v>451</v>
      </c>
      <c r="C142" t="s">
        <v>452</v>
      </c>
      <c r="D142">
        <v>2025</v>
      </c>
      <c r="E142" t="s">
        <v>378</v>
      </c>
      <c r="F142" t="s">
        <v>453</v>
      </c>
      <c r="G142" t="s">
        <v>454</v>
      </c>
      <c r="H142">
        <v>0.86</v>
      </c>
      <c r="I142" t="s">
        <v>173</v>
      </c>
      <c r="J142" t="s">
        <v>464</v>
      </c>
      <c r="K142" t="s">
        <v>456</v>
      </c>
      <c r="L142" t="s">
        <v>457</v>
      </c>
      <c r="M142" t="s">
        <v>454</v>
      </c>
      <c r="N142" t="s">
        <v>454</v>
      </c>
      <c r="O142" t="s">
        <v>458</v>
      </c>
      <c r="P142">
        <v>50</v>
      </c>
      <c r="Q142" t="s">
        <v>459</v>
      </c>
      <c r="R142">
        <v>74</v>
      </c>
      <c r="S142">
        <v>8</v>
      </c>
      <c r="T142">
        <v>3</v>
      </c>
      <c r="U142" t="s">
        <v>173</v>
      </c>
      <c r="V142" t="s">
        <v>173</v>
      </c>
      <c r="W142" t="s">
        <v>173</v>
      </c>
      <c r="X142" t="s">
        <v>173</v>
      </c>
      <c r="Y142" t="s">
        <v>173</v>
      </c>
      <c r="Z142" t="s">
        <v>173</v>
      </c>
      <c r="AA142" t="s">
        <v>173</v>
      </c>
      <c r="AB142" t="s">
        <v>173</v>
      </c>
      <c r="AC142" t="s">
        <v>173</v>
      </c>
      <c r="AD142" t="s">
        <v>173</v>
      </c>
      <c r="AE142" t="s">
        <v>173</v>
      </c>
      <c r="AF142" t="s">
        <v>173</v>
      </c>
      <c r="AG142" t="s">
        <v>173</v>
      </c>
      <c r="AH142" t="s">
        <v>173</v>
      </c>
      <c r="AI142" t="s">
        <v>173</v>
      </c>
      <c r="AJ142" t="s">
        <v>173</v>
      </c>
      <c r="AK142" t="s">
        <v>173</v>
      </c>
      <c r="AL142" t="s">
        <v>173</v>
      </c>
      <c r="AM142" t="s">
        <v>173</v>
      </c>
      <c r="AN142" t="s">
        <v>173</v>
      </c>
      <c r="AO142" t="s">
        <v>173</v>
      </c>
      <c r="AP142" t="s">
        <v>173</v>
      </c>
      <c r="AQ142" t="s">
        <v>173</v>
      </c>
      <c r="AR142" t="s">
        <v>173</v>
      </c>
      <c r="AS142" t="s">
        <v>173</v>
      </c>
      <c r="AT142" t="s">
        <v>173</v>
      </c>
      <c r="AU142" t="s">
        <v>173</v>
      </c>
      <c r="AV142" t="s">
        <v>173</v>
      </c>
      <c r="AW142" t="s">
        <v>173</v>
      </c>
      <c r="AX142" t="s">
        <v>173</v>
      </c>
      <c r="AY142" t="s">
        <v>173</v>
      </c>
      <c r="AZ142" t="s">
        <v>173</v>
      </c>
      <c r="BA142">
        <v>0.96</v>
      </c>
      <c r="BB142">
        <v>0.08</v>
      </c>
      <c r="BC142" t="s">
        <v>460</v>
      </c>
      <c r="BD142">
        <f>_xlfn.XLOOKUP(Table7[[#This Row],[WVP_unit]],ConversionFactors!$B$3:$B$10,ConversionFactors!$S$3:$S$10)</f>
        <v>2400000</v>
      </c>
      <c r="BE142">
        <f>Table7[[#This Row],[WVP_value]]*Table7[[#This Row],[WVP_conversion_factor]]</f>
        <v>2304000</v>
      </c>
      <c r="BF142">
        <f>Table7[[#This Row],[WVP_SD]]*Table7[[#This Row],[WVP_conversion_factor]]</f>
        <v>192000</v>
      </c>
      <c r="BG142" t="s">
        <v>461</v>
      </c>
      <c r="BH142">
        <v>25</v>
      </c>
      <c r="BI142">
        <v>75</v>
      </c>
      <c r="BJ142">
        <f>10^(8.07131-1730.63/(233.426+Table7[[#This Row],[WVP_temperature_°C]]))*0.00133322368</f>
        <v>3.1579287443259496E-2</v>
      </c>
      <c r="BK142">
        <f>Table7[[#This Row],[WVP_RH_%]]/100*Table7[[#This Row],[WVP_psat_bar]]</f>
        <v>2.3684465582444622E-2</v>
      </c>
      <c r="BL142" t="s">
        <v>173</v>
      </c>
      <c r="BM142" t="s">
        <v>173</v>
      </c>
      <c r="BN142" t="s">
        <v>173</v>
      </c>
      <c r="BO142" t="s">
        <v>173</v>
      </c>
      <c r="BP142">
        <f>Table7[[#This Row],[WVP_g·µm·m-2·d-1·bar-1]]*Table7[[#This Row],[WVP_Δp_bar]]/100</f>
        <v>545.69008701952407</v>
      </c>
      <c r="BQ142">
        <f>Table7[[#This Row],[WVP_SD_g·µm·m-2·d-1 ]]*Table7[[#This Row],[WVP_Δp_bar]]/100</f>
        <v>45.474173918293673</v>
      </c>
      <c r="BR142" t="s">
        <v>461</v>
      </c>
      <c r="BS142">
        <v>25</v>
      </c>
      <c r="BT142">
        <v>75</v>
      </c>
      <c r="BU142">
        <v>3</v>
      </c>
      <c r="BV142" t="s">
        <v>173</v>
      </c>
      <c r="BX142" t="s">
        <v>173</v>
      </c>
      <c r="BY142" t="s">
        <v>173</v>
      </c>
      <c r="BZ142" t="s">
        <v>173</v>
      </c>
      <c r="CA142" t="s">
        <v>173</v>
      </c>
      <c r="CB142" t="s">
        <v>173</v>
      </c>
      <c r="CC142" t="s">
        <v>173</v>
      </c>
      <c r="CD142" t="s">
        <v>173</v>
      </c>
      <c r="CE142" t="s">
        <v>173</v>
      </c>
      <c r="CF142" t="s">
        <v>173</v>
      </c>
      <c r="CG142" t="s">
        <v>173</v>
      </c>
      <c r="CH142" t="s">
        <v>173</v>
      </c>
      <c r="CI142" t="s">
        <v>173</v>
      </c>
      <c r="CJ142" t="s">
        <v>173</v>
      </c>
      <c r="CK142" t="s">
        <v>173</v>
      </c>
      <c r="CL142" t="s">
        <v>173</v>
      </c>
      <c r="CM142" t="s">
        <v>173</v>
      </c>
      <c r="CN142" t="s">
        <v>173</v>
      </c>
      <c r="CO142" t="s">
        <v>173</v>
      </c>
      <c r="CP142" t="s">
        <v>173</v>
      </c>
      <c r="CQ142" t="s">
        <v>173</v>
      </c>
      <c r="CR142" t="s">
        <v>173</v>
      </c>
      <c r="CS142" t="s">
        <v>173</v>
      </c>
      <c r="CT142" t="s">
        <v>173</v>
      </c>
      <c r="CU142" t="s">
        <v>173</v>
      </c>
      <c r="CV142" t="s">
        <v>173</v>
      </c>
      <c r="CW142" t="s">
        <v>173</v>
      </c>
      <c r="CX142" t="s">
        <v>173</v>
      </c>
      <c r="CY142" t="s">
        <v>173</v>
      </c>
      <c r="CZ142" t="s">
        <v>173</v>
      </c>
      <c r="DA142" t="s">
        <v>173</v>
      </c>
      <c r="DB142" t="s">
        <v>173</v>
      </c>
      <c r="DC142" t="s">
        <v>173</v>
      </c>
      <c r="DD142" t="s">
        <v>173</v>
      </c>
      <c r="DE142" t="s">
        <v>173</v>
      </c>
      <c r="DF142" t="s">
        <v>172</v>
      </c>
      <c r="DG142" t="s">
        <v>462</v>
      </c>
      <c r="DH142" t="s">
        <v>173</v>
      </c>
    </row>
    <row r="143" spans="1:112">
      <c r="A143">
        <v>1</v>
      </c>
      <c r="B143" t="s">
        <v>451</v>
      </c>
      <c r="C143" t="s">
        <v>452</v>
      </c>
      <c r="D143">
        <v>2025</v>
      </c>
      <c r="E143" t="s">
        <v>378</v>
      </c>
      <c r="F143" t="s">
        <v>453</v>
      </c>
      <c r="G143" t="s">
        <v>454</v>
      </c>
      <c r="H143">
        <v>0.86</v>
      </c>
      <c r="I143" t="s">
        <v>173</v>
      </c>
      <c r="J143" t="s">
        <v>465</v>
      </c>
      <c r="K143" t="s">
        <v>456</v>
      </c>
      <c r="L143" t="s">
        <v>457</v>
      </c>
      <c r="M143" t="s">
        <v>454</v>
      </c>
      <c r="N143" t="s">
        <v>454</v>
      </c>
      <c r="O143" t="s">
        <v>458</v>
      </c>
      <c r="P143">
        <v>50</v>
      </c>
      <c r="Q143" t="s">
        <v>459</v>
      </c>
      <c r="R143">
        <v>74</v>
      </c>
      <c r="S143">
        <v>3</v>
      </c>
      <c r="T143">
        <v>3</v>
      </c>
      <c r="U143" t="s">
        <v>173</v>
      </c>
      <c r="V143" t="s">
        <v>173</v>
      </c>
      <c r="W143" t="s">
        <v>173</v>
      </c>
      <c r="X143" t="s">
        <v>173</v>
      </c>
      <c r="Y143" t="s">
        <v>173</v>
      </c>
      <c r="Z143" t="s">
        <v>173</v>
      </c>
      <c r="AA143" t="s">
        <v>173</v>
      </c>
      <c r="AB143" t="s">
        <v>173</v>
      </c>
      <c r="AC143" t="s">
        <v>173</v>
      </c>
      <c r="AD143" t="s">
        <v>173</v>
      </c>
      <c r="AE143" t="s">
        <v>173</v>
      </c>
      <c r="AF143" t="s">
        <v>173</v>
      </c>
      <c r="AG143" t="s">
        <v>173</v>
      </c>
      <c r="AH143" t="s">
        <v>173</v>
      </c>
      <c r="AI143" t="s">
        <v>173</v>
      </c>
      <c r="AJ143" t="s">
        <v>173</v>
      </c>
      <c r="AK143" t="s">
        <v>173</v>
      </c>
      <c r="AL143" t="s">
        <v>173</v>
      </c>
      <c r="AM143" t="s">
        <v>173</v>
      </c>
      <c r="AN143" t="s">
        <v>173</v>
      </c>
      <c r="AO143" t="s">
        <v>173</v>
      </c>
      <c r="AP143" t="s">
        <v>173</v>
      </c>
      <c r="AQ143" t="s">
        <v>173</v>
      </c>
      <c r="AR143" t="s">
        <v>173</v>
      </c>
      <c r="AS143" t="s">
        <v>173</v>
      </c>
      <c r="AT143" t="s">
        <v>173</v>
      </c>
      <c r="AU143" t="s">
        <v>173</v>
      </c>
      <c r="AV143" t="s">
        <v>173</v>
      </c>
      <c r="AW143" t="s">
        <v>173</v>
      </c>
      <c r="AX143" t="s">
        <v>173</v>
      </c>
      <c r="AY143" t="s">
        <v>173</v>
      </c>
      <c r="AZ143" t="s">
        <v>173</v>
      </c>
      <c r="BA143">
        <v>1.08</v>
      </c>
      <c r="BB143">
        <v>0.03</v>
      </c>
      <c r="BC143" t="s">
        <v>460</v>
      </c>
      <c r="BD143">
        <f>_xlfn.XLOOKUP(Table7[[#This Row],[WVP_unit]],ConversionFactors!$B$3:$B$10,ConversionFactors!$S$3:$S$10)</f>
        <v>2400000</v>
      </c>
      <c r="BE143">
        <f>Table7[[#This Row],[WVP_value]]*Table7[[#This Row],[WVP_conversion_factor]]</f>
        <v>2592000</v>
      </c>
      <c r="BF143">
        <f>Table7[[#This Row],[WVP_SD]]*Table7[[#This Row],[WVP_conversion_factor]]</f>
        <v>72000</v>
      </c>
      <c r="BG143" t="s">
        <v>461</v>
      </c>
      <c r="BH143">
        <v>25</v>
      </c>
      <c r="BI143">
        <v>75</v>
      </c>
      <c r="BJ143">
        <f>10^(8.07131-1730.63/(233.426+Table7[[#This Row],[WVP_temperature_°C]]))*0.00133322368</f>
        <v>3.1579287443259496E-2</v>
      </c>
      <c r="BK143">
        <f>Table7[[#This Row],[WVP_RH_%]]/100*Table7[[#This Row],[WVP_psat_bar]]</f>
        <v>2.3684465582444622E-2</v>
      </c>
      <c r="BL143" t="s">
        <v>173</v>
      </c>
      <c r="BM143" t="s">
        <v>173</v>
      </c>
      <c r="BN143" t="s">
        <v>173</v>
      </c>
      <c r="BO143" t="s">
        <v>173</v>
      </c>
      <c r="BP143">
        <f>Table7[[#This Row],[WVP_g·µm·m-2·d-1·bar-1]]*Table7[[#This Row],[WVP_Δp_bar]]/100</f>
        <v>613.90134789696458</v>
      </c>
      <c r="BQ143">
        <f>Table7[[#This Row],[WVP_SD_g·µm·m-2·d-1 ]]*Table7[[#This Row],[WVP_Δp_bar]]/100</f>
        <v>17.052815219360127</v>
      </c>
      <c r="BR143" t="s">
        <v>461</v>
      </c>
      <c r="BS143">
        <v>25</v>
      </c>
      <c r="BT143">
        <v>75</v>
      </c>
      <c r="BU143">
        <v>3</v>
      </c>
      <c r="BV143" t="s">
        <v>173</v>
      </c>
      <c r="BX143" t="s">
        <v>173</v>
      </c>
      <c r="BY143" t="s">
        <v>173</v>
      </c>
      <c r="BZ143" t="s">
        <v>173</v>
      </c>
      <c r="CA143" t="s">
        <v>173</v>
      </c>
      <c r="CB143" t="s">
        <v>173</v>
      </c>
      <c r="CC143" t="s">
        <v>173</v>
      </c>
      <c r="CD143" t="s">
        <v>173</v>
      </c>
      <c r="CE143" t="s">
        <v>173</v>
      </c>
      <c r="CF143" t="s">
        <v>173</v>
      </c>
      <c r="CG143" t="s">
        <v>173</v>
      </c>
      <c r="CH143" t="s">
        <v>173</v>
      </c>
      <c r="CI143" t="s">
        <v>173</v>
      </c>
      <c r="CJ143" t="s">
        <v>173</v>
      </c>
      <c r="CK143" t="s">
        <v>173</v>
      </c>
      <c r="CL143" t="s">
        <v>173</v>
      </c>
      <c r="CM143" t="s">
        <v>173</v>
      </c>
      <c r="CN143" t="s">
        <v>173</v>
      </c>
      <c r="CO143" t="s">
        <v>173</v>
      </c>
      <c r="CP143" t="s">
        <v>173</v>
      </c>
      <c r="CQ143" t="s">
        <v>173</v>
      </c>
      <c r="CR143" t="s">
        <v>173</v>
      </c>
      <c r="CS143" t="s">
        <v>173</v>
      </c>
      <c r="CT143" t="s">
        <v>173</v>
      </c>
      <c r="CU143" t="s">
        <v>173</v>
      </c>
      <c r="CV143" t="s">
        <v>173</v>
      </c>
      <c r="CW143" t="s">
        <v>173</v>
      </c>
      <c r="CX143" t="s">
        <v>173</v>
      </c>
      <c r="CY143" t="s">
        <v>173</v>
      </c>
      <c r="CZ143" t="s">
        <v>173</v>
      </c>
      <c r="DA143" t="s">
        <v>173</v>
      </c>
      <c r="DB143" t="s">
        <v>173</v>
      </c>
      <c r="DC143" t="s">
        <v>173</v>
      </c>
      <c r="DD143" t="s">
        <v>173</v>
      </c>
      <c r="DE143" t="s">
        <v>173</v>
      </c>
      <c r="DF143" t="s">
        <v>172</v>
      </c>
      <c r="DG143" t="s">
        <v>462</v>
      </c>
      <c r="DH143" t="s">
        <v>173</v>
      </c>
    </row>
    <row r="144" spans="1:112">
      <c r="A144">
        <v>1</v>
      </c>
      <c r="B144" t="s">
        <v>451</v>
      </c>
      <c r="C144" t="s">
        <v>452</v>
      </c>
      <c r="D144">
        <v>2025</v>
      </c>
      <c r="E144" t="s">
        <v>378</v>
      </c>
      <c r="F144" t="s">
        <v>453</v>
      </c>
      <c r="G144" t="s">
        <v>454</v>
      </c>
      <c r="H144">
        <v>0.86</v>
      </c>
      <c r="I144" t="s">
        <v>173</v>
      </c>
      <c r="J144" t="s">
        <v>466</v>
      </c>
      <c r="K144" t="s">
        <v>456</v>
      </c>
      <c r="L144" t="s">
        <v>457</v>
      </c>
      <c r="M144" t="s">
        <v>454</v>
      </c>
      <c r="N144" t="s">
        <v>454</v>
      </c>
      <c r="O144" t="s">
        <v>458</v>
      </c>
      <c r="P144">
        <v>50</v>
      </c>
      <c r="Q144" t="s">
        <v>459</v>
      </c>
      <c r="R144">
        <v>76</v>
      </c>
      <c r="S144">
        <v>1</v>
      </c>
      <c r="T144">
        <v>3</v>
      </c>
      <c r="U144" t="s">
        <v>173</v>
      </c>
      <c r="V144" t="s">
        <v>173</v>
      </c>
      <c r="W144" t="s">
        <v>173</v>
      </c>
      <c r="X144" t="s">
        <v>173</v>
      </c>
      <c r="Y144" t="s">
        <v>173</v>
      </c>
      <c r="Z144" t="s">
        <v>173</v>
      </c>
      <c r="AA144" t="s">
        <v>173</v>
      </c>
      <c r="AB144" t="s">
        <v>173</v>
      </c>
      <c r="AC144" t="s">
        <v>173</v>
      </c>
      <c r="AD144" t="s">
        <v>173</v>
      </c>
      <c r="AE144" t="s">
        <v>173</v>
      </c>
      <c r="AF144" t="s">
        <v>173</v>
      </c>
      <c r="AG144" t="s">
        <v>173</v>
      </c>
      <c r="AH144" t="s">
        <v>173</v>
      </c>
      <c r="AI144" t="s">
        <v>173</v>
      </c>
      <c r="AJ144" t="s">
        <v>173</v>
      </c>
      <c r="AK144" t="s">
        <v>173</v>
      </c>
      <c r="AL144" t="s">
        <v>173</v>
      </c>
      <c r="AM144" t="s">
        <v>173</v>
      </c>
      <c r="AN144" t="s">
        <v>173</v>
      </c>
      <c r="AO144" t="s">
        <v>173</v>
      </c>
      <c r="AP144" t="s">
        <v>173</v>
      </c>
      <c r="AQ144" t="s">
        <v>173</v>
      </c>
      <c r="AR144" t="s">
        <v>173</v>
      </c>
      <c r="AS144" t="s">
        <v>173</v>
      </c>
      <c r="AT144" t="s">
        <v>173</v>
      </c>
      <c r="AU144" t="s">
        <v>173</v>
      </c>
      <c r="AV144" t="s">
        <v>173</v>
      </c>
      <c r="AW144" t="s">
        <v>173</v>
      </c>
      <c r="AX144" t="s">
        <v>173</v>
      </c>
      <c r="AY144" t="s">
        <v>173</v>
      </c>
      <c r="AZ144" t="s">
        <v>173</v>
      </c>
      <c r="BA144">
        <v>0.42</v>
      </c>
      <c r="BB144">
        <v>0.04</v>
      </c>
      <c r="BC144" t="s">
        <v>460</v>
      </c>
      <c r="BD144">
        <f>_xlfn.XLOOKUP(Table7[[#This Row],[WVP_unit]],ConversionFactors!$B$3:$B$10,ConversionFactors!$S$3:$S$10)</f>
        <v>2400000</v>
      </c>
      <c r="BE144">
        <f>Table7[[#This Row],[WVP_value]]*Table7[[#This Row],[WVP_conversion_factor]]</f>
        <v>1008000</v>
      </c>
      <c r="BF144">
        <f>Table7[[#This Row],[WVP_SD]]*Table7[[#This Row],[WVP_conversion_factor]]</f>
        <v>96000</v>
      </c>
      <c r="BG144" t="s">
        <v>461</v>
      </c>
      <c r="BH144">
        <v>25</v>
      </c>
      <c r="BI144">
        <v>75</v>
      </c>
      <c r="BJ144">
        <f>10^(8.07131-1730.63/(233.426+Table7[[#This Row],[WVP_temperature_°C]]))*0.00133322368</f>
        <v>3.1579287443259496E-2</v>
      </c>
      <c r="BK144">
        <f>Table7[[#This Row],[WVP_RH_%]]/100*Table7[[#This Row],[WVP_psat_bar]]</f>
        <v>2.3684465582444622E-2</v>
      </c>
      <c r="BL144" t="s">
        <v>173</v>
      </c>
      <c r="BM144" t="s">
        <v>173</v>
      </c>
      <c r="BN144" t="s">
        <v>173</v>
      </c>
      <c r="BO144" t="s">
        <v>173</v>
      </c>
      <c r="BP144">
        <f>Table7[[#This Row],[WVP_g·µm·m-2·d-1·bar-1]]*Table7[[#This Row],[WVP_Δp_bar]]/100</f>
        <v>238.73941307104178</v>
      </c>
      <c r="BQ144">
        <f>Table7[[#This Row],[WVP_SD_g·µm·m-2·d-1 ]]*Table7[[#This Row],[WVP_Δp_bar]]/100</f>
        <v>22.737086959146836</v>
      </c>
      <c r="BR144" t="s">
        <v>461</v>
      </c>
      <c r="BS144">
        <v>25</v>
      </c>
      <c r="BT144">
        <v>75</v>
      </c>
      <c r="BU144">
        <v>3</v>
      </c>
      <c r="BV144" t="s">
        <v>173</v>
      </c>
      <c r="BX144" t="s">
        <v>173</v>
      </c>
      <c r="BY144" t="s">
        <v>173</v>
      </c>
      <c r="BZ144" t="s">
        <v>173</v>
      </c>
      <c r="CA144" t="s">
        <v>173</v>
      </c>
      <c r="CB144" t="s">
        <v>173</v>
      </c>
      <c r="CC144" t="s">
        <v>173</v>
      </c>
      <c r="CD144" t="s">
        <v>173</v>
      </c>
      <c r="CE144" t="s">
        <v>173</v>
      </c>
      <c r="CF144" t="s">
        <v>173</v>
      </c>
      <c r="CG144" t="s">
        <v>173</v>
      </c>
      <c r="CH144" t="s">
        <v>173</v>
      </c>
      <c r="CI144" t="s">
        <v>173</v>
      </c>
      <c r="CJ144" t="s">
        <v>173</v>
      </c>
      <c r="CK144" t="s">
        <v>173</v>
      </c>
      <c r="CL144" t="s">
        <v>173</v>
      </c>
      <c r="CM144" t="s">
        <v>173</v>
      </c>
      <c r="CN144" t="s">
        <v>173</v>
      </c>
      <c r="CO144" t="s">
        <v>173</v>
      </c>
      <c r="CP144" t="s">
        <v>173</v>
      </c>
      <c r="CQ144" t="s">
        <v>173</v>
      </c>
      <c r="CR144" t="s">
        <v>173</v>
      </c>
      <c r="CS144" t="s">
        <v>173</v>
      </c>
      <c r="CT144" t="s">
        <v>173</v>
      </c>
      <c r="CU144" t="s">
        <v>173</v>
      </c>
      <c r="CV144" t="s">
        <v>173</v>
      </c>
      <c r="CW144" t="s">
        <v>173</v>
      </c>
      <c r="CX144" t="s">
        <v>173</v>
      </c>
      <c r="CY144" t="s">
        <v>173</v>
      </c>
      <c r="CZ144" t="s">
        <v>173</v>
      </c>
      <c r="DA144" t="s">
        <v>173</v>
      </c>
      <c r="DB144" t="s">
        <v>173</v>
      </c>
      <c r="DC144" t="s">
        <v>173</v>
      </c>
      <c r="DD144" t="s">
        <v>173</v>
      </c>
      <c r="DE144" t="s">
        <v>173</v>
      </c>
      <c r="DF144" t="s">
        <v>172</v>
      </c>
      <c r="DG144" t="s">
        <v>462</v>
      </c>
      <c r="DH144" t="s">
        <v>463</v>
      </c>
    </row>
    <row r="145" spans="1:112">
      <c r="A145">
        <v>1</v>
      </c>
      <c r="B145" t="s">
        <v>451</v>
      </c>
      <c r="C145" t="s">
        <v>452</v>
      </c>
      <c r="D145">
        <v>2025</v>
      </c>
      <c r="E145" t="s">
        <v>378</v>
      </c>
      <c r="F145" t="s">
        <v>453</v>
      </c>
      <c r="G145" t="s">
        <v>454</v>
      </c>
      <c r="H145">
        <v>0.86</v>
      </c>
      <c r="I145" t="s">
        <v>173</v>
      </c>
      <c r="J145" t="s">
        <v>467</v>
      </c>
      <c r="K145" t="s">
        <v>456</v>
      </c>
      <c r="L145" t="s">
        <v>457</v>
      </c>
      <c r="M145" t="s">
        <v>454</v>
      </c>
      <c r="N145" t="s">
        <v>454</v>
      </c>
      <c r="O145" t="s">
        <v>458</v>
      </c>
      <c r="P145">
        <v>50</v>
      </c>
      <c r="Q145" t="s">
        <v>459</v>
      </c>
      <c r="R145">
        <v>66</v>
      </c>
      <c r="S145">
        <v>2</v>
      </c>
      <c r="T145">
        <v>3</v>
      </c>
      <c r="U145" t="s">
        <v>173</v>
      </c>
      <c r="V145" t="s">
        <v>173</v>
      </c>
      <c r="W145" t="s">
        <v>173</v>
      </c>
      <c r="X145" t="s">
        <v>173</v>
      </c>
      <c r="Y145" t="s">
        <v>173</v>
      </c>
      <c r="Z145" t="s">
        <v>173</v>
      </c>
      <c r="AA145" t="s">
        <v>173</v>
      </c>
      <c r="AB145" t="s">
        <v>173</v>
      </c>
      <c r="AC145" t="s">
        <v>173</v>
      </c>
      <c r="AD145" t="s">
        <v>173</v>
      </c>
      <c r="AE145" t="s">
        <v>173</v>
      </c>
      <c r="AF145" t="s">
        <v>173</v>
      </c>
      <c r="AG145" t="s">
        <v>173</v>
      </c>
      <c r="AH145" t="s">
        <v>173</v>
      </c>
      <c r="AI145" t="s">
        <v>173</v>
      </c>
      <c r="AJ145" t="s">
        <v>173</v>
      </c>
      <c r="AK145" t="s">
        <v>173</v>
      </c>
      <c r="AL145" t="s">
        <v>173</v>
      </c>
      <c r="AM145" t="s">
        <v>173</v>
      </c>
      <c r="AN145" t="s">
        <v>173</v>
      </c>
      <c r="AO145" t="s">
        <v>173</v>
      </c>
      <c r="AP145" t="s">
        <v>173</v>
      </c>
      <c r="AQ145" t="s">
        <v>173</v>
      </c>
      <c r="AR145" t="s">
        <v>173</v>
      </c>
      <c r="AS145" t="s">
        <v>173</v>
      </c>
      <c r="AT145" t="s">
        <v>173</v>
      </c>
      <c r="AU145" t="s">
        <v>173</v>
      </c>
      <c r="AV145" t="s">
        <v>173</v>
      </c>
      <c r="AW145" t="s">
        <v>173</v>
      </c>
      <c r="AX145" t="s">
        <v>173</v>
      </c>
      <c r="AY145" t="s">
        <v>173</v>
      </c>
      <c r="AZ145" t="s">
        <v>173</v>
      </c>
      <c r="BA145">
        <v>0.56000000000000005</v>
      </c>
      <c r="BB145">
        <v>0.05</v>
      </c>
      <c r="BC145" t="s">
        <v>460</v>
      </c>
      <c r="BD145">
        <f>_xlfn.XLOOKUP(Table7[[#This Row],[WVP_unit]],ConversionFactors!$B$3:$B$10,ConversionFactors!$S$3:$S$10)</f>
        <v>2400000</v>
      </c>
      <c r="BE145">
        <f>Table7[[#This Row],[WVP_value]]*Table7[[#This Row],[WVP_conversion_factor]]</f>
        <v>1344000.0000000002</v>
      </c>
      <c r="BF145">
        <f>Table7[[#This Row],[WVP_SD]]*Table7[[#This Row],[WVP_conversion_factor]]</f>
        <v>120000</v>
      </c>
      <c r="BG145" t="s">
        <v>461</v>
      </c>
      <c r="BH145">
        <v>25</v>
      </c>
      <c r="BI145">
        <v>75</v>
      </c>
      <c r="BJ145">
        <f>10^(8.07131-1730.63/(233.426+Table7[[#This Row],[WVP_temperature_°C]]))*0.00133322368</f>
        <v>3.1579287443259496E-2</v>
      </c>
      <c r="BK145">
        <f>Table7[[#This Row],[WVP_RH_%]]/100*Table7[[#This Row],[WVP_psat_bar]]</f>
        <v>2.3684465582444622E-2</v>
      </c>
      <c r="BL145" t="s">
        <v>173</v>
      </c>
      <c r="BM145" t="s">
        <v>173</v>
      </c>
      <c r="BN145" t="s">
        <v>173</v>
      </c>
      <c r="BO145" t="s">
        <v>173</v>
      </c>
      <c r="BP145">
        <f>Table7[[#This Row],[WVP_g·µm·m-2·d-1·bar-1]]*Table7[[#This Row],[WVP_Δp_bar]]/100</f>
        <v>318.31921742805577</v>
      </c>
      <c r="BQ145">
        <f>Table7[[#This Row],[WVP_SD_g·µm·m-2·d-1 ]]*Table7[[#This Row],[WVP_Δp_bar]]/100</f>
        <v>28.421358698933545</v>
      </c>
      <c r="BR145" t="s">
        <v>461</v>
      </c>
      <c r="BS145">
        <v>25</v>
      </c>
      <c r="BT145">
        <v>75</v>
      </c>
      <c r="BU145">
        <v>3</v>
      </c>
      <c r="BV145" t="s">
        <v>173</v>
      </c>
      <c r="BX145" t="s">
        <v>173</v>
      </c>
      <c r="BY145" t="s">
        <v>173</v>
      </c>
      <c r="BZ145" t="s">
        <v>173</v>
      </c>
      <c r="CA145" t="s">
        <v>173</v>
      </c>
      <c r="CB145" t="s">
        <v>173</v>
      </c>
      <c r="CC145" t="s">
        <v>173</v>
      </c>
      <c r="CD145" t="s">
        <v>173</v>
      </c>
      <c r="CE145" t="s">
        <v>173</v>
      </c>
      <c r="CF145" t="s">
        <v>173</v>
      </c>
      <c r="CG145" t="s">
        <v>173</v>
      </c>
      <c r="CH145" t="s">
        <v>173</v>
      </c>
      <c r="CI145" t="s">
        <v>173</v>
      </c>
      <c r="CJ145" t="s">
        <v>173</v>
      </c>
      <c r="CK145" t="s">
        <v>173</v>
      </c>
      <c r="CL145" t="s">
        <v>173</v>
      </c>
      <c r="CM145" t="s">
        <v>173</v>
      </c>
      <c r="CN145" t="s">
        <v>173</v>
      </c>
      <c r="CO145" t="s">
        <v>173</v>
      </c>
      <c r="CP145" t="s">
        <v>173</v>
      </c>
      <c r="CQ145" t="s">
        <v>173</v>
      </c>
      <c r="CR145" t="s">
        <v>173</v>
      </c>
      <c r="CS145" t="s">
        <v>173</v>
      </c>
      <c r="CT145" t="s">
        <v>173</v>
      </c>
      <c r="CU145" t="s">
        <v>173</v>
      </c>
      <c r="CV145" t="s">
        <v>173</v>
      </c>
      <c r="CW145" t="s">
        <v>173</v>
      </c>
      <c r="CX145" t="s">
        <v>173</v>
      </c>
      <c r="CY145" t="s">
        <v>173</v>
      </c>
      <c r="CZ145" t="s">
        <v>173</v>
      </c>
      <c r="DA145" t="s">
        <v>173</v>
      </c>
      <c r="DB145" t="s">
        <v>173</v>
      </c>
      <c r="DC145" t="s">
        <v>173</v>
      </c>
      <c r="DD145" t="s">
        <v>173</v>
      </c>
      <c r="DE145" t="s">
        <v>173</v>
      </c>
      <c r="DF145" t="s">
        <v>172</v>
      </c>
      <c r="DG145" t="s">
        <v>462</v>
      </c>
      <c r="DH145" t="s">
        <v>463</v>
      </c>
    </row>
    <row r="146" spans="1:112">
      <c r="A146">
        <v>1</v>
      </c>
      <c r="B146" t="s">
        <v>451</v>
      </c>
      <c r="C146" t="s">
        <v>452</v>
      </c>
      <c r="D146">
        <v>2025</v>
      </c>
      <c r="E146" t="s">
        <v>378</v>
      </c>
      <c r="F146" t="s">
        <v>453</v>
      </c>
      <c r="G146" t="s">
        <v>454</v>
      </c>
      <c r="H146">
        <v>0.86</v>
      </c>
      <c r="I146" t="s">
        <v>173</v>
      </c>
      <c r="J146" t="s">
        <v>468</v>
      </c>
      <c r="K146" t="s">
        <v>456</v>
      </c>
      <c r="L146" t="s">
        <v>457</v>
      </c>
      <c r="M146" t="s">
        <v>454</v>
      </c>
      <c r="N146" t="s">
        <v>454</v>
      </c>
      <c r="O146" t="s">
        <v>458</v>
      </c>
      <c r="P146">
        <v>50</v>
      </c>
      <c r="Q146" t="s">
        <v>459</v>
      </c>
      <c r="R146">
        <v>69</v>
      </c>
      <c r="S146">
        <v>2</v>
      </c>
      <c r="T146">
        <v>3</v>
      </c>
      <c r="U146" t="s">
        <v>173</v>
      </c>
      <c r="V146" t="s">
        <v>173</v>
      </c>
      <c r="W146" t="s">
        <v>173</v>
      </c>
      <c r="X146" t="s">
        <v>173</v>
      </c>
      <c r="Y146" t="s">
        <v>173</v>
      </c>
      <c r="Z146" t="s">
        <v>173</v>
      </c>
      <c r="AA146" t="s">
        <v>173</v>
      </c>
      <c r="AB146" t="s">
        <v>173</v>
      </c>
      <c r="AC146" t="s">
        <v>173</v>
      </c>
      <c r="AD146" t="s">
        <v>173</v>
      </c>
      <c r="AE146" t="s">
        <v>173</v>
      </c>
      <c r="AF146" t="s">
        <v>173</v>
      </c>
      <c r="AG146" t="s">
        <v>173</v>
      </c>
      <c r="AH146" t="s">
        <v>173</v>
      </c>
      <c r="AI146" t="s">
        <v>173</v>
      </c>
      <c r="AJ146" t="s">
        <v>173</v>
      </c>
      <c r="AK146" t="s">
        <v>173</v>
      </c>
      <c r="AL146" t="s">
        <v>173</v>
      </c>
      <c r="AM146" t="s">
        <v>173</v>
      </c>
      <c r="AN146" t="s">
        <v>173</v>
      </c>
      <c r="AO146" t="s">
        <v>173</v>
      </c>
      <c r="AP146" t="s">
        <v>173</v>
      </c>
      <c r="AQ146" t="s">
        <v>173</v>
      </c>
      <c r="AR146" t="s">
        <v>173</v>
      </c>
      <c r="AS146" t="s">
        <v>173</v>
      </c>
      <c r="AT146" t="s">
        <v>173</v>
      </c>
      <c r="AU146" t="s">
        <v>173</v>
      </c>
      <c r="AV146" t="s">
        <v>173</v>
      </c>
      <c r="AW146" t="s">
        <v>173</v>
      </c>
      <c r="AX146" t="s">
        <v>173</v>
      </c>
      <c r="AY146" t="s">
        <v>173</v>
      </c>
      <c r="AZ146" t="s">
        <v>173</v>
      </c>
      <c r="BA146">
        <v>0.35</v>
      </c>
      <c r="BB146">
        <v>0.06</v>
      </c>
      <c r="BC146" t="s">
        <v>460</v>
      </c>
      <c r="BD146">
        <f>_xlfn.XLOOKUP(Table7[[#This Row],[WVP_unit]],ConversionFactors!$B$3:$B$10,ConversionFactors!$S$3:$S$10)</f>
        <v>2400000</v>
      </c>
      <c r="BE146">
        <f>Table7[[#This Row],[WVP_value]]*Table7[[#This Row],[WVP_conversion_factor]]</f>
        <v>840000</v>
      </c>
      <c r="BF146">
        <f>Table7[[#This Row],[WVP_SD]]*Table7[[#This Row],[WVP_conversion_factor]]</f>
        <v>144000</v>
      </c>
      <c r="BG146" t="s">
        <v>461</v>
      </c>
      <c r="BH146">
        <v>25</v>
      </c>
      <c r="BI146">
        <v>75</v>
      </c>
      <c r="BJ146">
        <f>10^(8.07131-1730.63/(233.426+Table7[[#This Row],[WVP_temperature_°C]]))*0.00133322368</f>
        <v>3.1579287443259496E-2</v>
      </c>
      <c r="BK146">
        <f>Table7[[#This Row],[WVP_RH_%]]/100*Table7[[#This Row],[WVP_psat_bar]]</f>
        <v>2.3684465582444622E-2</v>
      </c>
      <c r="BL146" t="s">
        <v>173</v>
      </c>
      <c r="BM146" t="s">
        <v>173</v>
      </c>
      <c r="BN146" t="s">
        <v>173</v>
      </c>
      <c r="BO146" t="s">
        <v>173</v>
      </c>
      <c r="BP146">
        <f>Table7[[#This Row],[WVP_g·µm·m-2·d-1·bar-1]]*Table7[[#This Row],[WVP_Δp_bar]]/100</f>
        <v>198.94951089253482</v>
      </c>
      <c r="BQ146">
        <f>Table7[[#This Row],[WVP_SD_g·µm·m-2·d-1 ]]*Table7[[#This Row],[WVP_Δp_bar]]/100</f>
        <v>34.105630438720254</v>
      </c>
      <c r="BR146" t="s">
        <v>461</v>
      </c>
      <c r="BS146">
        <v>25</v>
      </c>
      <c r="BT146">
        <v>75</v>
      </c>
      <c r="BU146">
        <v>3</v>
      </c>
      <c r="BV146" t="s">
        <v>173</v>
      </c>
      <c r="BX146" t="s">
        <v>173</v>
      </c>
      <c r="BY146" t="s">
        <v>173</v>
      </c>
      <c r="BZ146" t="s">
        <v>173</v>
      </c>
      <c r="CA146" t="s">
        <v>173</v>
      </c>
      <c r="CB146" t="s">
        <v>173</v>
      </c>
      <c r="CC146" t="s">
        <v>173</v>
      </c>
      <c r="CD146" t="s">
        <v>173</v>
      </c>
      <c r="CE146" t="s">
        <v>173</v>
      </c>
      <c r="CF146" t="s">
        <v>173</v>
      </c>
      <c r="CG146" t="s">
        <v>173</v>
      </c>
      <c r="CH146" t="s">
        <v>173</v>
      </c>
      <c r="CI146" t="s">
        <v>173</v>
      </c>
      <c r="CJ146" t="s">
        <v>173</v>
      </c>
      <c r="CK146" t="s">
        <v>173</v>
      </c>
      <c r="CL146" t="s">
        <v>173</v>
      </c>
      <c r="CM146" t="s">
        <v>173</v>
      </c>
      <c r="CN146" t="s">
        <v>173</v>
      </c>
      <c r="CO146" t="s">
        <v>173</v>
      </c>
      <c r="CP146" t="s">
        <v>173</v>
      </c>
      <c r="CQ146" t="s">
        <v>173</v>
      </c>
      <c r="CR146" t="s">
        <v>173</v>
      </c>
      <c r="CS146" t="s">
        <v>173</v>
      </c>
      <c r="CT146" t="s">
        <v>173</v>
      </c>
      <c r="CU146" t="s">
        <v>173</v>
      </c>
      <c r="CV146" t="s">
        <v>173</v>
      </c>
      <c r="CW146" t="s">
        <v>173</v>
      </c>
      <c r="CX146" t="s">
        <v>173</v>
      </c>
      <c r="CY146" t="s">
        <v>173</v>
      </c>
      <c r="CZ146" t="s">
        <v>173</v>
      </c>
      <c r="DA146" t="s">
        <v>173</v>
      </c>
      <c r="DB146" t="s">
        <v>173</v>
      </c>
      <c r="DC146" t="s">
        <v>173</v>
      </c>
      <c r="DD146" t="s">
        <v>173</v>
      </c>
      <c r="DE146" t="s">
        <v>173</v>
      </c>
      <c r="DF146" t="s">
        <v>172</v>
      </c>
      <c r="DG146" t="s">
        <v>462</v>
      </c>
      <c r="DH146" t="s">
        <v>463</v>
      </c>
    </row>
    <row r="147" spans="1:112">
      <c r="A147">
        <v>1</v>
      </c>
      <c r="B147" t="s">
        <v>451</v>
      </c>
      <c r="C147" t="s">
        <v>452</v>
      </c>
      <c r="D147">
        <v>2025</v>
      </c>
      <c r="E147" t="s">
        <v>378</v>
      </c>
      <c r="F147" t="s">
        <v>453</v>
      </c>
      <c r="G147" t="s">
        <v>454</v>
      </c>
      <c r="H147">
        <v>0.86</v>
      </c>
      <c r="I147" t="s">
        <v>173</v>
      </c>
      <c r="J147" t="s">
        <v>469</v>
      </c>
      <c r="K147" t="s">
        <v>456</v>
      </c>
      <c r="L147" t="s">
        <v>457</v>
      </c>
      <c r="M147" t="s">
        <v>454</v>
      </c>
      <c r="N147" t="s">
        <v>454</v>
      </c>
      <c r="O147" t="s">
        <v>458</v>
      </c>
      <c r="P147">
        <v>50</v>
      </c>
      <c r="Q147" t="s">
        <v>459</v>
      </c>
      <c r="R147">
        <v>76</v>
      </c>
      <c r="S147">
        <v>4</v>
      </c>
      <c r="T147">
        <v>3</v>
      </c>
      <c r="U147" t="s">
        <v>173</v>
      </c>
      <c r="V147" t="s">
        <v>173</v>
      </c>
      <c r="W147" t="s">
        <v>173</v>
      </c>
      <c r="X147" t="s">
        <v>173</v>
      </c>
      <c r="Y147" t="s">
        <v>173</v>
      </c>
      <c r="Z147" t="s">
        <v>173</v>
      </c>
      <c r="AA147" t="s">
        <v>173</v>
      </c>
      <c r="AB147" t="s">
        <v>173</v>
      </c>
      <c r="AC147" t="s">
        <v>173</v>
      </c>
      <c r="AD147" t="s">
        <v>173</v>
      </c>
      <c r="AE147" t="s">
        <v>173</v>
      </c>
      <c r="AF147" t="s">
        <v>173</v>
      </c>
      <c r="AG147" t="s">
        <v>173</v>
      </c>
      <c r="AH147" t="s">
        <v>173</v>
      </c>
      <c r="AI147" t="s">
        <v>173</v>
      </c>
      <c r="AJ147" t="s">
        <v>173</v>
      </c>
      <c r="AK147" t="s">
        <v>173</v>
      </c>
      <c r="AL147" t="s">
        <v>173</v>
      </c>
      <c r="AM147" t="s">
        <v>173</v>
      </c>
      <c r="AN147" t="s">
        <v>173</v>
      </c>
      <c r="AO147" t="s">
        <v>173</v>
      </c>
      <c r="AP147" t="s">
        <v>173</v>
      </c>
      <c r="AQ147" t="s">
        <v>173</v>
      </c>
      <c r="AR147" t="s">
        <v>173</v>
      </c>
      <c r="AS147" t="s">
        <v>173</v>
      </c>
      <c r="AT147" t="s">
        <v>173</v>
      </c>
      <c r="AU147" t="s">
        <v>173</v>
      </c>
      <c r="AV147" t="s">
        <v>173</v>
      </c>
      <c r="AW147" t="s">
        <v>173</v>
      </c>
      <c r="AX147" t="s">
        <v>173</v>
      </c>
      <c r="AY147" t="s">
        <v>173</v>
      </c>
      <c r="AZ147" t="s">
        <v>173</v>
      </c>
      <c r="BA147">
        <v>0.8</v>
      </c>
      <c r="BB147">
        <v>0.04</v>
      </c>
      <c r="BC147" t="s">
        <v>460</v>
      </c>
      <c r="BD147">
        <f>_xlfn.XLOOKUP(Table7[[#This Row],[WVP_unit]],ConversionFactors!$B$3:$B$10,ConversionFactors!$S$3:$S$10)</f>
        <v>2400000</v>
      </c>
      <c r="BE147">
        <f>Table7[[#This Row],[WVP_value]]*Table7[[#This Row],[WVP_conversion_factor]]</f>
        <v>1920000</v>
      </c>
      <c r="BF147">
        <f>Table7[[#This Row],[WVP_SD]]*Table7[[#This Row],[WVP_conversion_factor]]</f>
        <v>96000</v>
      </c>
      <c r="BG147" t="s">
        <v>461</v>
      </c>
      <c r="BH147">
        <v>25</v>
      </c>
      <c r="BI147">
        <v>75</v>
      </c>
      <c r="BJ147">
        <f>10^(8.07131-1730.63/(233.426+Table7[[#This Row],[WVP_temperature_°C]]))*0.00133322368</f>
        <v>3.1579287443259496E-2</v>
      </c>
      <c r="BK147">
        <f>Table7[[#This Row],[WVP_RH_%]]/100*Table7[[#This Row],[WVP_psat_bar]]</f>
        <v>2.3684465582444622E-2</v>
      </c>
      <c r="BL147" t="s">
        <v>173</v>
      </c>
      <c r="BM147" t="s">
        <v>173</v>
      </c>
      <c r="BN147" t="s">
        <v>173</v>
      </c>
      <c r="BO147" t="s">
        <v>173</v>
      </c>
      <c r="BP147">
        <f>Table7[[#This Row],[WVP_g·µm·m-2·d-1·bar-1]]*Table7[[#This Row],[WVP_Δp_bar]]/100</f>
        <v>454.74173918293673</v>
      </c>
      <c r="BQ147">
        <f>Table7[[#This Row],[WVP_SD_g·µm·m-2·d-1 ]]*Table7[[#This Row],[WVP_Δp_bar]]/100</f>
        <v>22.737086959146836</v>
      </c>
      <c r="BR147" t="s">
        <v>461</v>
      </c>
      <c r="BS147">
        <v>25</v>
      </c>
      <c r="BT147">
        <v>75</v>
      </c>
      <c r="BU147">
        <v>3</v>
      </c>
      <c r="BV147" t="s">
        <v>173</v>
      </c>
      <c r="BX147" t="s">
        <v>173</v>
      </c>
      <c r="BY147" t="s">
        <v>173</v>
      </c>
      <c r="BZ147" t="s">
        <v>173</v>
      </c>
      <c r="CA147" t="s">
        <v>173</v>
      </c>
      <c r="CB147" t="s">
        <v>173</v>
      </c>
      <c r="CC147" t="s">
        <v>173</v>
      </c>
      <c r="CD147" t="s">
        <v>173</v>
      </c>
      <c r="CE147" t="s">
        <v>173</v>
      </c>
      <c r="CF147" t="s">
        <v>173</v>
      </c>
      <c r="CG147" t="s">
        <v>173</v>
      </c>
      <c r="CH147" t="s">
        <v>173</v>
      </c>
      <c r="CI147" t="s">
        <v>173</v>
      </c>
      <c r="CJ147" t="s">
        <v>173</v>
      </c>
      <c r="CK147" t="s">
        <v>173</v>
      </c>
      <c r="CL147" t="s">
        <v>173</v>
      </c>
      <c r="CM147" t="s">
        <v>173</v>
      </c>
      <c r="CN147" t="s">
        <v>173</v>
      </c>
      <c r="CO147" t="s">
        <v>173</v>
      </c>
      <c r="CP147" t="s">
        <v>173</v>
      </c>
      <c r="CQ147" t="s">
        <v>173</v>
      </c>
      <c r="CR147" t="s">
        <v>173</v>
      </c>
      <c r="CS147" t="s">
        <v>173</v>
      </c>
      <c r="CT147" t="s">
        <v>173</v>
      </c>
      <c r="CU147" t="s">
        <v>173</v>
      </c>
      <c r="CV147" t="s">
        <v>173</v>
      </c>
      <c r="CW147" t="s">
        <v>173</v>
      </c>
      <c r="CX147" t="s">
        <v>173</v>
      </c>
      <c r="CY147" t="s">
        <v>173</v>
      </c>
      <c r="CZ147" t="s">
        <v>173</v>
      </c>
      <c r="DA147" t="s">
        <v>173</v>
      </c>
      <c r="DB147" t="s">
        <v>173</v>
      </c>
      <c r="DC147" t="s">
        <v>173</v>
      </c>
      <c r="DD147" t="s">
        <v>173</v>
      </c>
      <c r="DE147" t="s">
        <v>173</v>
      </c>
      <c r="DF147" t="s">
        <v>172</v>
      </c>
      <c r="DG147" t="s">
        <v>462</v>
      </c>
      <c r="DH147" t="s">
        <v>463</v>
      </c>
    </row>
    <row r="148" spans="1:112">
      <c r="A148">
        <v>1</v>
      </c>
      <c r="B148" t="s">
        <v>451</v>
      </c>
      <c r="C148" t="s">
        <v>452</v>
      </c>
      <c r="D148">
        <v>2025</v>
      </c>
      <c r="E148" t="s">
        <v>378</v>
      </c>
      <c r="F148" t="s">
        <v>453</v>
      </c>
      <c r="G148" t="s">
        <v>454</v>
      </c>
      <c r="H148">
        <v>0.86</v>
      </c>
      <c r="I148" t="s">
        <v>173</v>
      </c>
      <c r="J148" t="s">
        <v>470</v>
      </c>
      <c r="K148" t="s">
        <v>456</v>
      </c>
      <c r="L148" t="s">
        <v>457</v>
      </c>
      <c r="M148" t="s">
        <v>454</v>
      </c>
      <c r="N148" t="s">
        <v>454</v>
      </c>
      <c r="O148" t="s">
        <v>458</v>
      </c>
      <c r="P148">
        <v>50</v>
      </c>
      <c r="Q148" t="s">
        <v>459</v>
      </c>
      <c r="R148">
        <v>95</v>
      </c>
      <c r="S148">
        <v>5</v>
      </c>
      <c r="T148">
        <v>3</v>
      </c>
      <c r="U148" t="s">
        <v>173</v>
      </c>
      <c r="V148" t="s">
        <v>173</v>
      </c>
      <c r="W148" t="s">
        <v>173</v>
      </c>
      <c r="X148" t="s">
        <v>173</v>
      </c>
      <c r="Y148" t="s">
        <v>173</v>
      </c>
      <c r="Z148" t="s">
        <v>173</v>
      </c>
      <c r="AA148" t="s">
        <v>173</v>
      </c>
      <c r="AB148" t="s">
        <v>173</v>
      </c>
      <c r="AC148" t="s">
        <v>173</v>
      </c>
      <c r="AD148" t="s">
        <v>173</v>
      </c>
      <c r="AE148" t="s">
        <v>173</v>
      </c>
      <c r="AF148" t="s">
        <v>173</v>
      </c>
      <c r="AG148" t="s">
        <v>173</v>
      </c>
      <c r="AH148" t="s">
        <v>173</v>
      </c>
      <c r="AI148" t="s">
        <v>173</v>
      </c>
      <c r="AJ148" t="s">
        <v>173</v>
      </c>
      <c r="AK148" t="s">
        <v>173</v>
      </c>
      <c r="AL148" t="s">
        <v>173</v>
      </c>
      <c r="AM148" t="s">
        <v>173</v>
      </c>
      <c r="AN148" t="s">
        <v>173</v>
      </c>
      <c r="AO148" t="s">
        <v>173</v>
      </c>
      <c r="AP148" t="s">
        <v>173</v>
      </c>
      <c r="AQ148" t="s">
        <v>173</v>
      </c>
      <c r="AR148" t="s">
        <v>173</v>
      </c>
      <c r="AS148" t="s">
        <v>173</v>
      </c>
      <c r="AT148" t="s">
        <v>173</v>
      </c>
      <c r="AU148" t="s">
        <v>173</v>
      </c>
      <c r="AV148" t="s">
        <v>173</v>
      </c>
      <c r="AW148" t="s">
        <v>173</v>
      </c>
      <c r="AX148" t="s">
        <v>173</v>
      </c>
      <c r="AY148" t="s">
        <v>173</v>
      </c>
      <c r="AZ148" t="s">
        <v>173</v>
      </c>
      <c r="BA148">
        <v>0.75</v>
      </c>
      <c r="BB148">
        <v>0.03</v>
      </c>
      <c r="BC148" t="s">
        <v>460</v>
      </c>
      <c r="BD148">
        <f>_xlfn.XLOOKUP(Table7[[#This Row],[WVP_unit]],ConversionFactors!$B$3:$B$10,ConversionFactors!$S$3:$S$10)</f>
        <v>2400000</v>
      </c>
      <c r="BE148">
        <f>Table7[[#This Row],[WVP_value]]*Table7[[#This Row],[WVP_conversion_factor]]</f>
        <v>1800000</v>
      </c>
      <c r="BF148">
        <f>Table7[[#This Row],[WVP_SD]]*Table7[[#This Row],[WVP_conversion_factor]]</f>
        <v>72000</v>
      </c>
      <c r="BG148" t="s">
        <v>461</v>
      </c>
      <c r="BH148">
        <v>25</v>
      </c>
      <c r="BI148">
        <v>75</v>
      </c>
      <c r="BJ148">
        <f>10^(8.07131-1730.63/(233.426+Table7[[#This Row],[WVP_temperature_°C]]))*0.00133322368</f>
        <v>3.1579287443259496E-2</v>
      </c>
      <c r="BK148">
        <f>Table7[[#This Row],[WVP_RH_%]]/100*Table7[[#This Row],[WVP_psat_bar]]</f>
        <v>2.3684465582444622E-2</v>
      </c>
      <c r="BL148" t="s">
        <v>173</v>
      </c>
      <c r="BM148" t="s">
        <v>173</v>
      </c>
      <c r="BN148" t="s">
        <v>173</v>
      </c>
      <c r="BO148" t="s">
        <v>173</v>
      </c>
      <c r="BP148">
        <f>Table7[[#This Row],[WVP_g·µm·m-2·d-1·bar-1]]*Table7[[#This Row],[WVP_Δp_bar]]/100</f>
        <v>426.32038048400318</v>
      </c>
      <c r="BQ148">
        <f>Table7[[#This Row],[WVP_SD_g·µm·m-2·d-1 ]]*Table7[[#This Row],[WVP_Δp_bar]]/100</f>
        <v>17.052815219360127</v>
      </c>
      <c r="BR148" t="s">
        <v>461</v>
      </c>
      <c r="BS148">
        <v>25</v>
      </c>
      <c r="BT148">
        <v>75</v>
      </c>
      <c r="BU148">
        <v>3</v>
      </c>
      <c r="BV148" t="s">
        <v>173</v>
      </c>
      <c r="BX148" t="s">
        <v>173</v>
      </c>
      <c r="BY148" t="s">
        <v>173</v>
      </c>
      <c r="BZ148" t="s">
        <v>173</v>
      </c>
      <c r="CA148" t="s">
        <v>173</v>
      </c>
      <c r="CB148" t="s">
        <v>173</v>
      </c>
      <c r="CC148" t="s">
        <v>173</v>
      </c>
      <c r="CD148" t="s">
        <v>173</v>
      </c>
      <c r="CE148" t="s">
        <v>173</v>
      </c>
      <c r="CF148" t="s">
        <v>173</v>
      </c>
      <c r="CG148" t="s">
        <v>173</v>
      </c>
      <c r="CH148" t="s">
        <v>173</v>
      </c>
      <c r="CI148" t="s">
        <v>173</v>
      </c>
      <c r="CJ148" t="s">
        <v>173</v>
      </c>
      <c r="CK148" t="s">
        <v>173</v>
      </c>
      <c r="CL148" t="s">
        <v>173</v>
      </c>
      <c r="CM148" t="s">
        <v>173</v>
      </c>
      <c r="CN148" t="s">
        <v>173</v>
      </c>
      <c r="CO148" t="s">
        <v>173</v>
      </c>
      <c r="CP148" t="s">
        <v>173</v>
      </c>
      <c r="CQ148" t="s">
        <v>173</v>
      </c>
      <c r="CR148" t="s">
        <v>173</v>
      </c>
      <c r="CS148" t="s">
        <v>173</v>
      </c>
      <c r="CT148" t="s">
        <v>173</v>
      </c>
      <c r="CU148" t="s">
        <v>173</v>
      </c>
      <c r="CV148" t="s">
        <v>173</v>
      </c>
      <c r="CW148" t="s">
        <v>173</v>
      </c>
      <c r="CX148" t="s">
        <v>173</v>
      </c>
      <c r="CY148" t="s">
        <v>173</v>
      </c>
      <c r="CZ148" t="s">
        <v>173</v>
      </c>
      <c r="DA148" t="s">
        <v>173</v>
      </c>
      <c r="DB148" t="s">
        <v>173</v>
      </c>
      <c r="DC148" t="s">
        <v>173</v>
      </c>
      <c r="DD148" t="s">
        <v>173</v>
      </c>
      <c r="DE148" t="s">
        <v>173</v>
      </c>
      <c r="DF148" t="s">
        <v>172</v>
      </c>
      <c r="DG148" t="s">
        <v>462</v>
      </c>
      <c r="DH148" t="s">
        <v>173</v>
      </c>
    </row>
    <row r="149" spans="1:112">
      <c r="A149">
        <v>1</v>
      </c>
      <c r="B149" t="s">
        <v>451</v>
      </c>
      <c r="C149" t="s">
        <v>452</v>
      </c>
      <c r="D149">
        <v>2025</v>
      </c>
      <c r="E149" t="s">
        <v>378</v>
      </c>
      <c r="F149" t="s">
        <v>453</v>
      </c>
      <c r="G149" t="s">
        <v>454</v>
      </c>
      <c r="H149">
        <v>0.86</v>
      </c>
      <c r="I149" t="s">
        <v>173</v>
      </c>
      <c r="J149" t="s">
        <v>471</v>
      </c>
      <c r="K149" t="s">
        <v>456</v>
      </c>
      <c r="L149" t="s">
        <v>457</v>
      </c>
      <c r="M149" t="s">
        <v>454</v>
      </c>
      <c r="N149" t="s">
        <v>454</v>
      </c>
      <c r="O149" t="s">
        <v>458</v>
      </c>
      <c r="P149">
        <v>50</v>
      </c>
      <c r="Q149" t="s">
        <v>459</v>
      </c>
      <c r="R149">
        <v>84</v>
      </c>
      <c r="S149">
        <v>9</v>
      </c>
      <c r="T149">
        <v>3</v>
      </c>
      <c r="U149" t="s">
        <v>173</v>
      </c>
      <c r="V149" t="s">
        <v>173</v>
      </c>
      <c r="W149" t="s">
        <v>173</v>
      </c>
      <c r="X149" t="s">
        <v>173</v>
      </c>
      <c r="Y149" t="s">
        <v>173</v>
      </c>
      <c r="Z149" t="s">
        <v>173</v>
      </c>
      <c r="AA149" t="s">
        <v>173</v>
      </c>
      <c r="AB149" t="s">
        <v>173</v>
      </c>
      <c r="AC149" t="s">
        <v>173</v>
      </c>
      <c r="AD149" t="s">
        <v>173</v>
      </c>
      <c r="AE149" t="s">
        <v>173</v>
      </c>
      <c r="AF149" t="s">
        <v>173</v>
      </c>
      <c r="AG149" t="s">
        <v>173</v>
      </c>
      <c r="AH149" t="s">
        <v>173</v>
      </c>
      <c r="AI149" t="s">
        <v>173</v>
      </c>
      <c r="AJ149" t="s">
        <v>173</v>
      </c>
      <c r="AK149" t="s">
        <v>173</v>
      </c>
      <c r="AL149" t="s">
        <v>173</v>
      </c>
      <c r="AM149" t="s">
        <v>173</v>
      </c>
      <c r="AN149" t="s">
        <v>173</v>
      </c>
      <c r="AO149" t="s">
        <v>173</v>
      </c>
      <c r="AP149" t="s">
        <v>173</v>
      </c>
      <c r="AQ149" t="s">
        <v>173</v>
      </c>
      <c r="AR149" t="s">
        <v>173</v>
      </c>
      <c r="AS149" t="s">
        <v>173</v>
      </c>
      <c r="AT149" t="s">
        <v>173</v>
      </c>
      <c r="AU149" t="s">
        <v>173</v>
      </c>
      <c r="AV149" t="s">
        <v>173</v>
      </c>
      <c r="AW149" t="s">
        <v>173</v>
      </c>
      <c r="AX149" t="s">
        <v>173</v>
      </c>
      <c r="AY149" t="s">
        <v>173</v>
      </c>
      <c r="AZ149" t="s">
        <v>173</v>
      </c>
      <c r="BA149">
        <v>0.71</v>
      </c>
      <c r="BB149">
        <v>0.05</v>
      </c>
      <c r="BC149" t="s">
        <v>460</v>
      </c>
      <c r="BD149">
        <f>_xlfn.XLOOKUP(Table7[[#This Row],[WVP_unit]],ConversionFactors!$B$3:$B$10,ConversionFactors!$S$3:$S$10)</f>
        <v>2400000</v>
      </c>
      <c r="BE149">
        <f>Table7[[#This Row],[WVP_value]]*Table7[[#This Row],[WVP_conversion_factor]]</f>
        <v>1704000</v>
      </c>
      <c r="BF149">
        <f>Table7[[#This Row],[WVP_SD]]*Table7[[#This Row],[WVP_conversion_factor]]</f>
        <v>120000</v>
      </c>
      <c r="BG149" t="s">
        <v>461</v>
      </c>
      <c r="BH149">
        <v>25</v>
      </c>
      <c r="BI149">
        <v>75</v>
      </c>
      <c r="BJ149">
        <f>10^(8.07131-1730.63/(233.426+Table7[[#This Row],[WVP_temperature_°C]]))*0.00133322368</f>
        <v>3.1579287443259496E-2</v>
      </c>
      <c r="BK149">
        <f>Table7[[#This Row],[WVP_RH_%]]/100*Table7[[#This Row],[WVP_psat_bar]]</f>
        <v>2.3684465582444622E-2</v>
      </c>
      <c r="BL149" t="s">
        <v>173</v>
      </c>
      <c r="BM149" t="s">
        <v>173</v>
      </c>
      <c r="BN149" t="s">
        <v>173</v>
      </c>
      <c r="BO149" t="s">
        <v>173</v>
      </c>
      <c r="BP149">
        <f>Table7[[#This Row],[WVP_g·µm·m-2·d-1·bar-1]]*Table7[[#This Row],[WVP_Δp_bar]]/100</f>
        <v>403.58329352485634</v>
      </c>
      <c r="BQ149">
        <f>Table7[[#This Row],[WVP_SD_g·µm·m-2·d-1 ]]*Table7[[#This Row],[WVP_Δp_bar]]/100</f>
        <v>28.421358698933545</v>
      </c>
      <c r="BR149" t="s">
        <v>461</v>
      </c>
      <c r="BS149">
        <v>25</v>
      </c>
      <c r="BT149">
        <v>75</v>
      </c>
      <c r="BU149">
        <v>3</v>
      </c>
      <c r="BV149" t="s">
        <v>173</v>
      </c>
      <c r="BX149" t="s">
        <v>173</v>
      </c>
      <c r="BY149" t="s">
        <v>173</v>
      </c>
      <c r="BZ149" t="s">
        <v>173</v>
      </c>
      <c r="CA149" t="s">
        <v>173</v>
      </c>
      <c r="CB149" t="s">
        <v>173</v>
      </c>
      <c r="CC149" t="s">
        <v>173</v>
      </c>
      <c r="CD149" t="s">
        <v>173</v>
      </c>
      <c r="CE149" t="s">
        <v>173</v>
      </c>
      <c r="CF149" t="s">
        <v>173</v>
      </c>
      <c r="CG149" t="s">
        <v>173</v>
      </c>
      <c r="CH149" t="s">
        <v>173</v>
      </c>
      <c r="CI149" t="s">
        <v>173</v>
      </c>
      <c r="CJ149" t="s">
        <v>173</v>
      </c>
      <c r="CK149" t="s">
        <v>173</v>
      </c>
      <c r="CL149" t="s">
        <v>173</v>
      </c>
      <c r="CM149" t="s">
        <v>173</v>
      </c>
      <c r="CN149" t="s">
        <v>173</v>
      </c>
      <c r="CO149" t="s">
        <v>173</v>
      </c>
      <c r="CP149" t="s">
        <v>173</v>
      </c>
      <c r="CQ149" t="s">
        <v>173</v>
      </c>
      <c r="CR149" t="s">
        <v>173</v>
      </c>
      <c r="CS149" t="s">
        <v>173</v>
      </c>
      <c r="CT149" t="s">
        <v>173</v>
      </c>
      <c r="CU149" t="s">
        <v>173</v>
      </c>
      <c r="CV149" t="s">
        <v>173</v>
      </c>
      <c r="CW149" t="s">
        <v>173</v>
      </c>
      <c r="CX149" t="s">
        <v>173</v>
      </c>
      <c r="CY149" t="s">
        <v>173</v>
      </c>
      <c r="CZ149" t="s">
        <v>173</v>
      </c>
      <c r="DA149" t="s">
        <v>173</v>
      </c>
      <c r="DB149" t="s">
        <v>173</v>
      </c>
      <c r="DC149" t="s">
        <v>173</v>
      </c>
      <c r="DD149" t="s">
        <v>173</v>
      </c>
      <c r="DE149" t="s">
        <v>173</v>
      </c>
      <c r="DF149" t="s">
        <v>172</v>
      </c>
      <c r="DG149" t="s">
        <v>462</v>
      </c>
      <c r="DH149" t="s">
        <v>173</v>
      </c>
    </row>
    <row r="150" spans="1:112">
      <c r="A150">
        <v>1</v>
      </c>
      <c r="B150" t="s">
        <v>451</v>
      </c>
      <c r="C150" t="s">
        <v>452</v>
      </c>
      <c r="D150">
        <v>2025</v>
      </c>
      <c r="E150" t="s">
        <v>378</v>
      </c>
      <c r="F150" t="s">
        <v>453</v>
      </c>
      <c r="G150" t="s">
        <v>454</v>
      </c>
      <c r="H150">
        <v>0.86</v>
      </c>
      <c r="I150" t="s">
        <v>173</v>
      </c>
      <c r="J150" t="s">
        <v>173</v>
      </c>
      <c r="K150" t="s">
        <v>173</v>
      </c>
      <c r="L150" t="s">
        <v>173</v>
      </c>
      <c r="M150" t="s">
        <v>173</v>
      </c>
      <c r="N150" t="s">
        <v>173</v>
      </c>
      <c r="O150" t="s">
        <v>173</v>
      </c>
      <c r="P150" t="s">
        <v>173</v>
      </c>
      <c r="Q150" t="s">
        <v>173</v>
      </c>
      <c r="R150" t="s">
        <v>173</v>
      </c>
      <c r="S150" t="s">
        <v>173</v>
      </c>
      <c r="T150" t="s">
        <v>173</v>
      </c>
      <c r="U150" t="s">
        <v>173</v>
      </c>
      <c r="V150" t="s">
        <v>173</v>
      </c>
      <c r="W150" t="s">
        <v>173</v>
      </c>
      <c r="X150" t="s">
        <v>173</v>
      </c>
      <c r="Y150" t="s">
        <v>173</v>
      </c>
      <c r="Z150" t="s">
        <v>173</v>
      </c>
      <c r="AA150" t="s">
        <v>173</v>
      </c>
      <c r="AB150" t="s">
        <v>173</v>
      </c>
      <c r="AC150" t="s">
        <v>173</v>
      </c>
      <c r="AD150" t="s">
        <v>173</v>
      </c>
      <c r="AE150" t="s">
        <v>173</v>
      </c>
      <c r="AF150" t="s">
        <v>173</v>
      </c>
      <c r="AG150" t="s">
        <v>173</v>
      </c>
      <c r="AH150" t="s">
        <v>173</v>
      </c>
      <c r="AI150" t="s">
        <v>173</v>
      </c>
      <c r="AJ150" t="s">
        <v>173</v>
      </c>
      <c r="AK150" t="s">
        <v>173</v>
      </c>
      <c r="AL150" t="s">
        <v>173</v>
      </c>
      <c r="AM150" t="s">
        <v>173</v>
      </c>
      <c r="AN150" t="s">
        <v>173</v>
      </c>
      <c r="AO150" t="s">
        <v>173</v>
      </c>
      <c r="AP150" t="s">
        <v>173</v>
      </c>
      <c r="AQ150" t="s">
        <v>173</v>
      </c>
      <c r="AR150" t="s">
        <v>173</v>
      </c>
      <c r="AS150" t="s">
        <v>173</v>
      </c>
      <c r="AT150" t="s">
        <v>173</v>
      </c>
      <c r="AU150" t="s">
        <v>173</v>
      </c>
      <c r="AV150" t="s">
        <v>173</v>
      </c>
      <c r="AW150" t="s">
        <v>173</v>
      </c>
      <c r="AX150" t="s">
        <v>173</v>
      </c>
      <c r="AY150" t="s">
        <v>173</v>
      </c>
      <c r="AZ150" t="s">
        <v>173</v>
      </c>
      <c r="BA150" t="s">
        <v>173</v>
      </c>
      <c r="BB150" t="s">
        <v>173</v>
      </c>
      <c r="BC150" t="s">
        <v>173</v>
      </c>
      <c r="BD150" t="s">
        <v>173</v>
      </c>
      <c r="BE150" t="s">
        <v>173</v>
      </c>
      <c r="BF150" t="s">
        <v>173</v>
      </c>
      <c r="BG150" t="s">
        <v>173</v>
      </c>
      <c r="BH150" t="s">
        <v>173</v>
      </c>
      <c r="BI150" t="s">
        <v>173</v>
      </c>
      <c r="BJ150" t="s">
        <v>173</v>
      </c>
      <c r="BK150" t="s">
        <v>173</v>
      </c>
      <c r="BL150" t="s">
        <v>173</v>
      </c>
      <c r="BM150" t="s">
        <v>173</v>
      </c>
      <c r="BN150" t="s">
        <v>173</v>
      </c>
      <c r="BO150" t="s">
        <v>173</v>
      </c>
      <c r="BP150" t="s">
        <v>173</v>
      </c>
      <c r="BQ150" t="s">
        <v>173</v>
      </c>
      <c r="BR150" t="s">
        <v>173</v>
      </c>
      <c r="BS150" t="s">
        <v>173</v>
      </c>
      <c r="BT150" t="s">
        <v>173</v>
      </c>
      <c r="BU150" t="s">
        <v>173</v>
      </c>
      <c r="BV150" t="s">
        <v>472</v>
      </c>
      <c r="BW150" t="s">
        <v>473</v>
      </c>
      <c r="BX150" t="s">
        <v>173</v>
      </c>
      <c r="BY150" s="3">
        <v>4.4756E-6</v>
      </c>
      <c r="BZ150" t="s">
        <v>474</v>
      </c>
      <c r="CA150">
        <f>_xlfn.XLOOKUP(Table7[[#This Row],[Reference_PO2_unit]],ConversionFactors!$B$13:$B$19,ConversionFactors!$S$13:$S$19)</f>
        <v>100000000000</v>
      </c>
      <c r="CB150">
        <f>Table7[[#This Row],[Reference_PO2_value]]*Table7[[#This Row],[Reference_PO2_conversion_factor]]</f>
        <v>447560</v>
      </c>
      <c r="CC150">
        <v>25</v>
      </c>
      <c r="CD150" t="s">
        <v>173</v>
      </c>
      <c r="CE150">
        <f>Table7[[#This Row],[Reference_PO2_cm³·µm·m⁻²·d⁻¹·bar⁻¹ ]]/100</f>
        <v>4475.6000000000004</v>
      </c>
      <c r="CF150">
        <f>Table7[[#This Row],[Reference_PO2_T_°C]]</f>
        <v>25</v>
      </c>
      <c r="CG150" t="str">
        <f>Table7[[#This Row],[Reference_PO2_RH_%]]</f>
        <v>NaN</v>
      </c>
      <c r="CH150" t="s">
        <v>173</v>
      </c>
      <c r="CI150" t="s">
        <v>173</v>
      </c>
      <c r="CJ150" t="s">
        <v>173</v>
      </c>
      <c r="CK150" t="s">
        <v>173</v>
      </c>
      <c r="CL150" t="s">
        <v>173</v>
      </c>
      <c r="CM150" t="s">
        <v>173</v>
      </c>
      <c r="CN150" t="s">
        <v>173</v>
      </c>
      <c r="CO150" t="s">
        <v>173</v>
      </c>
      <c r="CP150" t="s">
        <v>173</v>
      </c>
      <c r="CQ150" s="3">
        <v>7.6890000000000001E-14</v>
      </c>
      <c r="CR150" t="s">
        <v>475</v>
      </c>
      <c r="CS150">
        <f>_xlfn.XLOOKUP(Table7[[#This Row],[Reference_WVP_unit]],ConversionFactors!$B$3:$B$10,ConversionFactors!$S$3:$S$10)</f>
        <v>8640000000000000</v>
      </c>
      <c r="CT150">
        <f>Table7[[#This Row],[Reference_WVP_value]]*Table7[[#This Row],[Reference_WVP_conversion_factor]]</f>
        <v>664.32960000000003</v>
      </c>
      <c r="CU150">
        <v>38</v>
      </c>
      <c r="CV150">
        <v>100</v>
      </c>
      <c r="CW150">
        <f>10^(8.07131-1730.63/(233.426+Table7[[#This Row],[Reference_WVP_temperature°C]]))*0.00133322368</f>
        <v>6.609176511928222E-2</v>
      </c>
      <c r="CX150">
        <f>Table7[[#This Row],[Reference_WVP_psat_bar]]*Table7[[#This Row],[Reference_WVP_RH_%]]</f>
        <v>6.6091765119282222</v>
      </c>
      <c r="CY150" t="s">
        <v>173</v>
      </c>
      <c r="CZ150" t="s">
        <v>173</v>
      </c>
      <c r="DA150" t="s">
        <v>173</v>
      </c>
      <c r="DB150">
        <f>Table7[[#This Row],[Reference_WVP_g·µm·m-2·d-1 ]]*Table7[[#This Row],[Reference_WVP_Δp_bar]]/100</f>
        <v>43.906715884986717</v>
      </c>
      <c r="DC150">
        <f>Table7[[#This Row],[Reference_WVP_temperature°C]]</f>
        <v>38</v>
      </c>
      <c r="DD150">
        <f>Table7[[#This Row],[Reference_WVP_RH_%]]</f>
        <v>100</v>
      </c>
      <c r="DE150" t="s">
        <v>476</v>
      </c>
      <c r="DF150" t="s">
        <v>172</v>
      </c>
      <c r="DG150" t="s">
        <v>462</v>
      </c>
      <c r="DH150" t="s">
        <v>477</v>
      </c>
    </row>
    <row r="151" spans="1:112">
      <c r="A151">
        <v>1</v>
      </c>
      <c r="B151" t="s">
        <v>451</v>
      </c>
      <c r="C151" t="s">
        <v>452</v>
      </c>
      <c r="D151">
        <v>2025</v>
      </c>
      <c r="E151" t="s">
        <v>378</v>
      </c>
      <c r="F151" t="s">
        <v>453</v>
      </c>
      <c r="G151" t="s">
        <v>454</v>
      </c>
      <c r="H151">
        <v>0.86</v>
      </c>
      <c r="I151" t="s">
        <v>173</v>
      </c>
      <c r="J151" t="s">
        <v>173</v>
      </c>
      <c r="K151" t="s">
        <v>173</v>
      </c>
      <c r="L151" t="s">
        <v>173</v>
      </c>
      <c r="M151" t="s">
        <v>173</v>
      </c>
      <c r="N151" t="s">
        <v>173</v>
      </c>
      <c r="O151" t="s">
        <v>173</v>
      </c>
      <c r="P151" t="s">
        <v>173</v>
      </c>
      <c r="Q151" t="s">
        <v>173</v>
      </c>
      <c r="R151" t="s">
        <v>173</v>
      </c>
      <c r="S151" t="s">
        <v>173</v>
      </c>
      <c r="T151" t="s">
        <v>173</v>
      </c>
      <c r="U151" t="s">
        <v>173</v>
      </c>
      <c r="V151" t="s">
        <v>173</v>
      </c>
      <c r="W151" t="s">
        <v>173</v>
      </c>
      <c r="X151" t="s">
        <v>173</v>
      </c>
      <c r="Y151" t="s">
        <v>173</v>
      </c>
      <c r="Z151" t="s">
        <v>173</v>
      </c>
      <c r="AA151" t="s">
        <v>173</v>
      </c>
      <c r="AB151" t="s">
        <v>173</v>
      </c>
      <c r="AC151" t="s">
        <v>173</v>
      </c>
      <c r="AD151" t="s">
        <v>173</v>
      </c>
      <c r="AE151" t="s">
        <v>173</v>
      </c>
      <c r="AF151" t="s">
        <v>173</v>
      </c>
      <c r="AG151" t="s">
        <v>173</v>
      </c>
      <c r="AH151" t="s">
        <v>173</v>
      </c>
      <c r="AI151" t="s">
        <v>173</v>
      </c>
      <c r="AJ151" t="s">
        <v>173</v>
      </c>
      <c r="AK151" t="s">
        <v>173</v>
      </c>
      <c r="AL151" t="s">
        <v>173</v>
      </c>
      <c r="AM151" t="s">
        <v>173</v>
      </c>
      <c r="AN151" t="s">
        <v>173</v>
      </c>
      <c r="AO151" t="s">
        <v>173</v>
      </c>
      <c r="AP151" t="s">
        <v>173</v>
      </c>
      <c r="AQ151" t="s">
        <v>173</v>
      </c>
      <c r="AR151" t="s">
        <v>173</v>
      </c>
      <c r="AS151" t="s">
        <v>173</v>
      </c>
      <c r="AT151" t="s">
        <v>173</v>
      </c>
      <c r="AU151" t="s">
        <v>173</v>
      </c>
      <c r="AV151" t="s">
        <v>173</v>
      </c>
      <c r="AW151" t="s">
        <v>173</v>
      </c>
      <c r="AX151" t="s">
        <v>173</v>
      </c>
      <c r="AY151" t="s">
        <v>173</v>
      </c>
      <c r="AZ151" t="s">
        <v>173</v>
      </c>
      <c r="BA151" t="s">
        <v>173</v>
      </c>
      <c r="BB151" t="s">
        <v>173</v>
      </c>
      <c r="BC151" t="s">
        <v>173</v>
      </c>
      <c r="BD151" t="s">
        <v>173</v>
      </c>
      <c r="BE151" t="s">
        <v>173</v>
      </c>
      <c r="BF151" t="s">
        <v>173</v>
      </c>
      <c r="BG151" t="s">
        <v>173</v>
      </c>
      <c r="BH151" t="s">
        <v>173</v>
      </c>
      <c r="BI151" t="s">
        <v>173</v>
      </c>
      <c r="BJ151" t="s">
        <v>173</v>
      </c>
      <c r="BK151" t="s">
        <v>173</v>
      </c>
      <c r="BL151" t="s">
        <v>173</v>
      </c>
      <c r="BM151" t="s">
        <v>173</v>
      </c>
      <c r="BN151" t="s">
        <v>173</v>
      </c>
      <c r="BO151" t="s">
        <v>173</v>
      </c>
      <c r="BP151" t="s">
        <v>173</v>
      </c>
      <c r="BQ151" t="s">
        <v>173</v>
      </c>
      <c r="BR151" t="s">
        <v>173</v>
      </c>
      <c r="BS151" t="s">
        <v>173</v>
      </c>
      <c r="BT151" t="s">
        <v>173</v>
      </c>
      <c r="BU151" t="s">
        <v>173</v>
      </c>
      <c r="BV151" t="s">
        <v>478</v>
      </c>
      <c r="BW151" t="s">
        <v>473</v>
      </c>
      <c r="BX151" t="s">
        <v>173</v>
      </c>
      <c r="BY151" s="3">
        <v>7.1269999999999997E-7</v>
      </c>
      <c r="BZ151" t="s">
        <v>474</v>
      </c>
      <c r="CA151">
        <f>_xlfn.XLOOKUP(Table7[[#This Row],[Reference_PO2_unit]],ConversionFactors!$B$13:$B$19,ConversionFactors!$S$13:$S$19)</f>
        <v>100000000000</v>
      </c>
      <c r="CB151">
        <f>Table7[[#This Row],[Reference_PO2_value]]*Table7[[#This Row],[Reference_PO2_conversion_factor]]</f>
        <v>71270</v>
      </c>
      <c r="CC151">
        <v>25</v>
      </c>
      <c r="CD151" t="s">
        <v>173</v>
      </c>
      <c r="CE151">
        <f>Table7[[#This Row],[Reference_PO2_cm³·µm·m⁻²·d⁻¹·bar⁻¹ ]]/100</f>
        <v>712.7</v>
      </c>
      <c r="CF151">
        <f>Table7[[#This Row],[Reference_PO2_T_°C]]</f>
        <v>25</v>
      </c>
      <c r="CG151" t="str">
        <f>Table7[[#This Row],[Reference_PO2_RH_%]]</f>
        <v>NaN</v>
      </c>
      <c r="CH151" t="s">
        <v>173</v>
      </c>
      <c r="CI151" t="s">
        <v>173</v>
      </c>
      <c r="CJ151" t="s">
        <v>173</v>
      </c>
      <c r="CK151" t="s">
        <v>173</v>
      </c>
      <c r="CL151" t="s">
        <v>173</v>
      </c>
      <c r="CM151" t="s">
        <v>173</v>
      </c>
      <c r="CN151" t="s">
        <v>173</v>
      </c>
      <c r="CO151" t="s">
        <v>173</v>
      </c>
      <c r="CP151" t="s">
        <v>173</v>
      </c>
      <c r="CQ151" s="3">
        <v>2.612E-14</v>
      </c>
      <c r="CR151" t="s">
        <v>475</v>
      </c>
      <c r="CS151">
        <f>_xlfn.XLOOKUP(Table7[[#This Row],[Reference_WVP_unit]],ConversionFactors!$B$3:$B$10,ConversionFactors!$S$3:$S$10)</f>
        <v>8640000000000000</v>
      </c>
      <c r="CT151">
        <f>Table7[[#This Row],[Reference_WVP_value]]*Table7[[#This Row],[Reference_WVP_conversion_factor]]</f>
        <v>225.67680000000001</v>
      </c>
      <c r="CU151">
        <v>38</v>
      </c>
      <c r="CV151">
        <v>90</v>
      </c>
      <c r="CW151">
        <f>10^(8.07131-1730.63/(233.426+Table7[[#This Row],[Reference_WVP_temperature°C]]))*0.00133322368</f>
        <v>6.609176511928222E-2</v>
      </c>
      <c r="CX151">
        <f>Table7[[#This Row],[Reference_WVP_psat_bar]]*Table7[[#This Row],[Reference_WVP_RH_%]]</f>
        <v>5.9482588607353994</v>
      </c>
      <c r="CY151" t="s">
        <v>173</v>
      </c>
      <c r="CZ151" t="s">
        <v>173</v>
      </c>
      <c r="DA151" t="s">
        <v>173</v>
      </c>
      <c r="DB151">
        <f>Table7[[#This Row],[Reference_WVP_g·µm·m-2·d-1 ]]*Table7[[#This Row],[Reference_WVP_Δp_bar]]/100</f>
        <v>13.423840252624107</v>
      </c>
      <c r="DC151">
        <f>Table7[[#This Row],[Reference_WVP_temperature°C]]</f>
        <v>38</v>
      </c>
      <c r="DD151">
        <f>Table7[[#This Row],[Reference_WVP_RH_%]]</f>
        <v>90</v>
      </c>
      <c r="DE151" t="s">
        <v>476</v>
      </c>
      <c r="DF151" t="s">
        <v>172</v>
      </c>
      <c r="DG151" t="s">
        <v>462</v>
      </c>
      <c r="DH151" t="s">
        <v>477</v>
      </c>
    </row>
    <row r="152" spans="1:112">
      <c r="A152">
        <v>1</v>
      </c>
      <c r="B152" t="s">
        <v>451</v>
      </c>
      <c r="C152" t="s">
        <v>452</v>
      </c>
      <c r="D152">
        <v>2025</v>
      </c>
      <c r="E152" t="s">
        <v>378</v>
      </c>
      <c r="F152" t="s">
        <v>453</v>
      </c>
      <c r="G152" t="s">
        <v>454</v>
      </c>
      <c r="H152">
        <v>0.86</v>
      </c>
      <c r="I152" t="s">
        <v>173</v>
      </c>
      <c r="J152" t="s">
        <v>173</v>
      </c>
      <c r="K152" t="s">
        <v>173</v>
      </c>
      <c r="L152" t="s">
        <v>173</v>
      </c>
      <c r="M152" t="s">
        <v>173</v>
      </c>
      <c r="N152" t="s">
        <v>173</v>
      </c>
      <c r="O152" t="s">
        <v>173</v>
      </c>
      <c r="P152" t="s">
        <v>173</v>
      </c>
      <c r="Q152" t="s">
        <v>173</v>
      </c>
      <c r="R152" t="s">
        <v>173</v>
      </c>
      <c r="S152" t="s">
        <v>173</v>
      </c>
      <c r="T152" t="s">
        <v>173</v>
      </c>
      <c r="U152" t="s">
        <v>173</v>
      </c>
      <c r="V152" t="s">
        <v>173</v>
      </c>
      <c r="W152" t="s">
        <v>173</v>
      </c>
      <c r="X152" t="s">
        <v>173</v>
      </c>
      <c r="Y152" t="s">
        <v>173</v>
      </c>
      <c r="Z152" t="s">
        <v>173</v>
      </c>
      <c r="AA152" t="s">
        <v>173</v>
      </c>
      <c r="AB152" t="s">
        <v>173</v>
      </c>
      <c r="AC152" t="s">
        <v>173</v>
      </c>
      <c r="AD152" t="s">
        <v>173</v>
      </c>
      <c r="AE152" t="s">
        <v>173</v>
      </c>
      <c r="AF152" t="s">
        <v>173</v>
      </c>
      <c r="AG152" t="s">
        <v>173</v>
      </c>
      <c r="AH152" t="s">
        <v>173</v>
      </c>
      <c r="AI152" t="s">
        <v>173</v>
      </c>
      <c r="AJ152" t="s">
        <v>173</v>
      </c>
      <c r="AK152" t="s">
        <v>173</v>
      </c>
      <c r="AL152" t="s">
        <v>173</v>
      </c>
      <c r="AM152" t="s">
        <v>173</v>
      </c>
      <c r="AN152" t="s">
        <v>173</v>
      </c>
      <c r="AO152" t="s">
        <v>173</v>
      </c>
      <c r="AP152" t="s">
        <v>173</v>
      </c>
      <c r="AQ152" t="s">
        <v>173</v>
      </c>
      <c r="AR152" t="s">
        <v>173</v>
      </c>
      <c r="AS152" t="s">
        <v>173</v>
      </c>
      <c r="AT152" t="s">
        <v>173</v>
      </c>
      <c r="AU152" t="s">
        <v>173</v>
      </c>
      <c r="AV152" t="s">
        <v>173</v>
      </c>
      <c r="AW152" t="s">
        <v>173</v>
      </c>
      <c r="AX152" t="s">
        <v>173</v>
      </c>
      <c r="AY152" t="s">
        <v>173</v>
      </c>
      <c r="AZ152" t="s">
        <v>173</v>
      </c>
      <c r="BA152" t="s">
        <v>173</v>
      </c>
      <c r="BB152" t="s">
        <v>173</v>
      </c>
      <c r="BC152" t="s">
        <v>173</v>
      </c>
      <c r="BD152" t="s">
        <v>173</v>
      </c>
      <c r="BE152" t="s">
        <v>173</v>
      </c>
      <c r="BF152" t="s">
        <v>173</v>
      </c>
      <c r="BG152" t="s">
        <v>173</v>
      </c>
      <c r="BH152" t="s">
        <v>173</v>
      </c>
      <c r="BI152" t="s">
        <v>173</v>
      </c>
      <c r="BJ152" t="s">
        <v>173</v>
      </c>
      <c r="BK152" t="s">
        <v>173</v>
      </c>
      <c r="BL152" t="s">
        <v>173</v>
      </c>
      <c r="BM152" t="s">
        <v>173</v>
      </c>
      <c r="BN152" t="s">
        <v>173</v>
      </c>
      <c r="BO152" t="s">
        <v>173</v>
      </c>
      <c r="BP152" t="s">
        <v>173</v>
      </c>
      <c r="BQ152" t="s">
        <v>173</v>
      </c>
      <c r="BR152" t="s">
        <v>173</v>
      </c>
      <c r="BS152" t="s">
        <v>173</v>
      </c>
      <c r="BT152" t="s">
        <v>173</v>
      </c>
      <c r="BU152" t="s">
        <v>173</v>
      </c>
      <c r="BV152" t="s">
        <v>479</v>
      </c>
      <c r="BW152" t="s">
        <v>473</v>
      </c>
      <c r="BX152" t="s">
        <v>173</v>
      </c>
      <c r="BY152" s="3">
        <v>7.4020000000000002E-7</v>
      </c>
      <c r="BZ152" t="s">
        <v>474</v>
      </c>
      <c r="CA152">
        <f>_xlfn.XLOOKUP(Table7[[#This Row],[Reference_PO2_unit]],ConversionFactors!$B$13:$B$19,ConversionFactors!$S$13:$S$19)</f>
        <v>100000000000</v>
      </c>
      <c r="CB152">
        <f>Table7[[#This Row],[Reference_PO2_value]]*Table7[[#This Row],[Reference_PO2_conversion_factor]]</f>
        <v>74020</v>
      </c>
      <c r="CC152">
        <v>23</v>
      </c>
      <c r="CD152">
        <v>50</v>
      </c>
      <c r="CE152">
        <f>Table7[[#This Row],[Reference_PO2_cm³·µm·m⁻²·d⁻¹·bar⁻¹ ]]/100</f>
        <v>740.2</v>
      </c>
      <c r="CF152">
        <f>Table7[[#This Row],[Reference_PO2_T_°C]]</f>
        <v>23</v>
      </c>
      <c r="CG152">
        <f>Table7[[#This Row],[Reference_PO2_RH_%]]</f>
        <v>50</v>
      </c>
      <c r="CH152" t="s">
        <v>173</v>
      </c>
      <c r="CI152" t="s">
        <v>173</v>
      </c>
      <c r="CJ152" t="s">
        <v>173</v>
      </c>
      <c r="CK152" t="s">
        <v>173</v>
      </c>
      <c r="CL152" t="s">
        <v>173</v>
      </c>
      <c r="CM152" t="s">
        <v>173</v>
      </c>
      <c r="CN152" t="s">
        <v>173</v>
      </c>
      <c r="CO152" t="s">
        <v>173</v>
      </c>
      <c r="CP152" t="s">
        <v>173</v>
      </c>
      <c r="CQ152" s="3">
        <v>3.4819999999999997E-14</v>
      </c>
      <c r="CR152" t="s">
        <v>475</v>
      </c>
      <c r="CS152">
        <f>_xlfn.XLOOKUP(Table7[[#This Row],[Reference_WVP_unit]],ConversionFactors!$B$3:$B$10,ConversionFactors!$S$3:$S$10)</f>
        <v>8640000000000000</v>
      </c>
      <c r="CT152">
        <f>Table7[[#This Row],[Reference_WVP_value]]*Table7[[#This Row],[Reference_WVP_conversion_factor]]</f>
        <v>300.84479999999996</v>
      </c>
      <c r="CU152">
        <v>23</v>
      </c>
      <c r="CV152">
        <v>85</v>
      </c>
      <c r="CW152">
        <f>10^(8.07131-1730.63/(233.426+Table7[[#This Row],[Reference_WVP_temperature°C]]))*0.00133322368</f>
        <v>2.8000798091486985E-2</v>
      </c>
      <c r="CX152">
        <f>Table7[[#This Row],[Reference_WVP_psat_bar]]*Table7[[#This Row],[Reference_WVP_RH_%]]</f>
        <v>2.3800678377763935</v>
      </c>
      <c r="CY152" t="s">
        <v>173</v>
      </c>
      <c r="CZ152" t="s">
        <v>173</v>
      </c>
      <c r="DA152" t="s">
        <v>173</v>
      </c>
      <c r="DB152">
        <f>Table7[[#This Row],[Reference_WVP_g·µm·m-2·d-1 ]]*Table7[[#This Row],[Reference_WVP_Δp_bar]]/100</f>
        <v>7.1603103264227146</v>
      </c>
      <c r="DC152">
        <f>Table7[[#This Row],[Reference_WVP_temperature°C]]</f>
        <v>23</v>
      </c>
      <c r="DD152">
        <f>Table7[[#This Row],[Reference_WVP_RH_%]]</f>
        <v>85</v>
      </c>
      <c r="DE152" t="s">
        <v>476</v>
      </c>
      <c r="DF152" t="s">
        <v>172</v>
      </c>
      <c r="DG152" t="s">
        <v>462</v>
      </c>
      <c r="DH152" t="s">
        <v>477</v>
      </c>
    </row>
    <row r="153" spans="1:112">
      <c r="A153">
        <v>1</v>
      </c>
      <c r="B153" t="s">
        <v>451</v>
      </c>
      <c r="C153" t="s">
        <v>452</v>
      </c>
      <c r="D153">
        <v>2025</v>
      </c>
      <c r="E153" t="s">
        <v>378</v>
      </c>
      <c r="F153" t="s">
        <v>453</v>
      </c>
      <c r="G153" t="s">
        <v>454</v>
      </c>
      <c r="H153">
        <v>0.86</v>
      </c>
      <c r="I153" t="s">
        <v>173</v>
      </c>
      <c r="J153" t="s">
        <v>173</v>
      </c>
      <c r="K153" t="s">
        <v>173</v>
      </c>
      <c r="L153" t="s">
        <v>173</v>
      </c>
      <c r="M153" t="s">
        <v>173</v>
      </c>
      <c r="N153" t="s">
        <v>173</v>
      </c>
      <c r="O153" t="s">
        <v>173</v>
      </c>
      <c r="P153" t="s">
        <v>173</v>
      </c>
      <c r="Q153" t="s">
        <v>173</v>
      </c>
      <c r="R153" t="s">
        <v>173</v>
      </c>
      <c r="S153" t="s">
        <v>173</v>
      </c>
      <c r="T153" t="s">
        <v>173</v>
      </c>
      <c r="U153" t="s">
        <v>173</v>
      </c>
      <c r="V153" t="s">
        <v>173</v>
      </c>
      <c r="W153" t="s">
        <v>173</v>
      </c>
      <c r="X153" t="s">
        <v>173</v>
      </c>
      <c r="Y153" t="s">
        <v>173</v>
      </c>
      <c r="Z153" t="s">
        <v>173</v>
      </c>
      <c r="AA153" t="s">
        <v>173</v>
      </c>
      <c r="AB153" t="s">
        <v>173</v>
      </c>
      <c r="AC153" t="s">
        <v>173</v>
      </c>
      <c r="AD153" t="s">
        <v>173</v>
      </c>
      <c r="AE153" t="s">
        <v>173</v>
      </c>
      <c r="AF153" t="s">
        <v>173</v>
      </c>
      <c r="AG153" t="s">
        <v>173</v>
      </c>
      <c r="AH153" t="s">
        <v>173</v>
      </c>
      <c r="AI153" t="s">
        <v>173</v>
      </c>
      <c r="AJ153" t="s">
        <v>173</v>
      </c>
      <c r="AK153" t="s">
        <v>173</v>
      </c>
      <c r="AL153" t="s">
        <v>173</v>
      </c>
      <c r="AM153" t="s">
        <v>173</v>
      </c>
      <c r="AN153" t="s">
        <v>173</v>
      </c>
      <c r="AO153" t="s">
        <v>173</v>
      </c>
      <c r="AP153" t="s">
        <v>173</v>
      </c>
      <c r="AQ153" t="s">
        <v>173</v>
      </c>
      <c r="AR153" t="s">
        <v>173</v>
      </c>
      <c r="AS153" t="s">
        <v>173</v>
      </c>
      <c r="AT153" t="s">
        <v>173</v>
      </c>
      <c r="AU153" t="s">
        <v>173</v>
      </c>
      <c r="AV153" t="s">
        <v>173</v>
      </c>
      <c r="AW153" t="s">
        <v>173</v>
      </c>
      <c r="AX153" t="s">
        <v>173</v>
      </c>
      <c r="AY153" t="s">
        <v>173</v>
      </c>
      <c r="AZ153" t="s">
        <v>173</v>
      </c>
      <c r="BA153" t="s">
        <v>173</v>
      </c>
      <c r="BB153" t="s">
        <v>173</v>
      </c>
      <c r="BC153" t="s">
        <v>173</v>
      </c>
      <c r="BD153" t="s">
        <v>173</v>
      </c>
      <c r="BE153" t="s">
        <v>173</v>
      </c>
      <c r="BF153" t="s">
        <v>173</v>
      </c>
      <c r="BG153" t="s">
        <v>173</v>
      </c>
      <c r="BH153" t="s">
        <v>173</v>
      </c>
      <c r="BI153" t="s">
        <v>173</v>
      </c>
      <c r="BJ153" t="s">
        <v>173</v>
      </c>
      <c r="BK153" t="s">
        <v>173</v>
      </c>
      <c r="BL153" t="s">
        <v>173</v>
      </c>
      <c r="BM153" t="s">
        <v>173</v>
      </c>
      <c r="BN153" t="s">
        <v>173</v>
      </c>
      <c r="BO153" t="s">
        <v>173</v>
      </c>
      <c r="BP153" t="s">
        <v>173</v>
      </c>
      <c r="BQ153" t="s">
        <v>173</v>
      </c>
      <c r="BR153" t="s">
        <v>173</v>
      </c>
      <c r="BS153" t="s">
        <v>173</v>
      </c>
      <c r="BT153" t="s">
        <v>173</v>
      </c>
      <c r="BU153" t="s">
        <v>173</v>
      </c>
      <c r="BV153" t="s">
        <v>480</v>
      </c>
      <c r="BW153" t="s">
        <v>481</v>
      </c>
      <c r="BX153" t="s">
        <v>173</v>
      </c>
      <c r="BY153" s="3">
        <v>2.96E-8</v>
      </c>
      <c r="BZ153" t="s">
        <v>474</v>
      </c>
      <c r="CA153">
        <f>_xlfn.XLOOKUP(Table7[[#This Row],[Reference_PO2_unit]],ConversionFactors!$B$13:$B$19,ConversionFactors!$S$13:$S$19)</f>
        <v>100000000000</v>
      </c>
      <c r="CB153">
        <f>Table7[[#This Row],[Reference_PO2_value]]*Table7[[#This Row],[Reference_PO2_conversion_factor]]</f>
        <v>2960</v>
      </c>
      <c r="CC153">
        <v>23</v>
      </c>
      <c r="CD153">
        <v>50</v>
      </c>
      <c r="CE153">
        <f>Table7[[#This Row],[Reference_PO2_cm³·µm·m⁻²·d⁻¹·bar⁻¹ ]]/100</f>
        <v>29.6</v>
      </c>
      <c r="CF153">
        <f>Table7[[#This Row],[Reference_PO2_T_°C]]</f>
        <v>23</v>
      </c>
      <c r="CG153">
        <f>Table7[[#This Row],[Reference_PO2_RH_%]]</f>
        <v>50</v>
      </c>
      <c r="CH153" t="s">
        <v>173</v>
      </c>
      <c r="CI153" t="s">
        <v>173</v>
      </c>
      <c r="CJ153" t="s">
        <v>173</v>
      </c>
      <c r="CK153" t="s">
        <v>173</v>
      </c>
      <c r="CL153" t="s">
        <v>173</v>
      </c>
      <c r="CM153" t="s">
        <v>173</v>
      </c>
      <c r="CN153" t="s">
        <v>173</v>
      </c>
      <c r="CO153" t="s">
        <v>173</v>
      </c>
      <c r="CP153" t="s">
        <v>173</v>
      </c>
      <c r="CQ153" s="3">
        <v>1.4362E-13</v>
      </c>
      <c r="CR153" t="s">
        <v>475</v>
      </c>
      <c r="CS153">
        <f>_xlfn.XLOOKUP(Table7[[#This Row],[Reference_WVP_unit]],ConversionFactors!$B$3:$B$10,ConversionFactors!$S$3:$S$10)</f>
        <v>8640000000000000</v>
      </c>
      <c r="CT153">
        <f>Table7[[#This Row],[Reference_WVP_value]]*Table7[[#This Row],[Reference_WVP_conversion_factor]]</f>
        <v>1240.8768</v>
      </c>
      <c r="CU153">
        <v>23</v>
      </c>
      <c r="CV153">
        <v>85</v>
      </c>
      <c r="CW153">
        <f>10^(8.07131-1730.63/(233.426+Table7[[#This Row],[Reference_WVP_temperature°C]]))*0.00133322368</f>
        <v>2.8000798091486985E-2</v>
      </c>
      <c r="CX153">
        <f>Table7[[#This Row],[Reference_WVP_psat_bar]]*Table7[[#This Row],[Reference_WVP_RH_%]]</f>
        <v>2.3800678377763935</v>
      </c>
      <c r="CY153" t="s">
        <v>173</v>
      </c>
      <c r="CZ153" t="s">
        <v>173</v>
      </c>
      <c r="DA153" t="s">
        <v>173</v>
      </c>
      <c r="DB153">
        <f>Table7[[#This Row],[Reference_WVP_g·µm·m-2·d-1 ]]*Table7[[#This Row],[Reference_WVP_Δp_bar]]/100</f>
        <v>29.533709623228901</v>
      </c>
      <c r="DC153">
        <f>Table7[[#This Row],[Reference_WVP_temperature°C]]</f>
        <v>23</v>
      </c>
      <c r="DD153">
        <f>Table7[[#This Row],[Reference_WVP_RH_%]]</f>
        <v>85</v>
      </c>
      <c r="DE153" t="s">
        <v>476</v>
      </c>
      <c r="DF153" t="s">
        <v>172</v>
      </c>
      <c r="DG153" t="s">
        <v>462</v>
      </c>
      <c r="DH153" t="s">
        <v>477</v>
      </c>
    </row>
    <row r="154" spans="1:112">
      <c r="A154">
        <v>1</v>
      </c>
      <c r="B154" t="s">
        <v>451</v>
      </c>
      <c r="C154" t="s">
        <v>452</v>
      </c>
      <c r="D154">
        <v>2025</v>
      </c>
      <c r="E154" t="s">
        <v>378</v>
      </c>
      <c r="F154" t="s">
        <v>453</v>
      </c>
      <c r="G154" t="s">
        <v>454</v>
      </c>
      <c r="H154">
        <v>0.86</v>
      </c>
      <c r="I154" t="s">
        <v>173</v>
      </c>
      <c r="J154" t="s">
        <v>173</v>
      </c>
      <c r="K154" t="s">
        <v>173</v>
      </c>
      <c r="L154" t="s">
        <v>173</v>
      </c>
      <c r="M154" t="s">
        <v>173</v>
      </c>
      <c r="N154" t="s">
        <v>173</v>
      </c>
      <c r="O154" t="s">
        <v>173</v>
      </c>
      <c r="P154" t="s">
        <v>173</v>
      </c>
      <c r="Q154" t="s">
        <v>173</v>
      </c>
      <c r="R154" t="s">
        <v>173</v>
      </c>
      <c r="S154" t="s">
        <v>173</v>
      </c>
      <c r="T154" t="s">
        <v>173</v>
      </c>
      <c r="U154" t="s">
        <v>173</v>
      </c>
      <c r="V154" t="s">
        <v>173</v>
      </c>
      <c r="W154" t="s">
        <v>173</v>
      </c>
      <c r="X154" t="s">
        <v>173</v>
      </c>
      <c r="Y154" t="s">
        <v>173</v>
      </c>
      <c r="Z154" t="s">
        <v>173</v>
      </c>
      <c r="AA154" t="s">
        <v>173</v>
      </c>
      <c r="AB154" t="s">
        <v>173</v>
      </c>
      <c r="AC154" t="s">
        <v>173</v>
      </c>
      <c r="AD154" t="s">
        <v>173</v>
      </c>
      <c r="AE154" t="s">
        <v>173</v>
      </c>
      <c r="AF154" t="s">
        <v>173</v>
      </c>
      <c r="AG154" t="s">
        <v>173</v>
      </c>
      <c r="AH154" t="s">
        <v>173</v>
      </c>
      <c r="AI154" t="s">
        <v>173</v>
      </c>
      <c r="AJ154" t="s">
        <v>173</v>
      </c>
      <c r="AK154" t="s">
        <v>173</v>
      </c>
      <c r="AL154" t="s">
        <v>173</v>
      </c>
      <c r="AM154" t="s">
        <v>173</v>
      </c>
      <c r="AN154" t="s">
        <v>173</v>
      </c>
      <c r="AO154" t="s">
        <v>173</v>
      </c>
      <c r="AP154" t="s">
        <v>173</v>
      </c>
      <c r="AQ154" t="s">
        <v>173</v>
      </c>
      <c r="AR154" t="s">
        <v>173</v>
      </c>
      <c r="AS154" t="s">
        <v>173</v>
      </c>
      <c r="AT154" t="s">
        <v>173</v>
      </c>
      <c r="AU154" t="s">
        <v>173</v>
      </c>
      <c r="AV154" t="s">
        <v>173</v>
      </c>
      <c r="AW154" t="s">
        <v>173</v>
      </c>
      <c r="AX154" t="s">
        <v>173</v>
      </c>
      <c r="AY154" t="s">
        <v>173</v>
      </c>
      <c r="AZ154" t="s">
        <v>173</v>
      </c>
      <c r="BA154" t="s">
        <v>173</v>
      </c>
      <c r="BB154" t="s">
        <v>173</v>
      </c>
      <c r="BC154" t="s">
        <v>173</v>
      </c>
      <c r="BD154" t="s">
        <v>173</v>
      </c>
      <c r="BE154" t="s">
        <v>173</v>
      </c>
      <c r="BF154" t="s">
        <v>173</v>
      </c>
      <c r="BG154" t="s">
        <v>173</v>
      </c>
      <c r="BH154" t="s">
        <v>173</v>
      </c>
      <c r="BI154" t="s">
        <v>173</v>
      </c>
      <c r="BJ154" t="s">
        <v>173</v>
      </c>
      <c r="BK154" t="s">
        <v>173</v>
      </c>
      <c r="BL154" t="s">
        <v>173</v>
      </c>
      <c r="BM154" t="s">
        <v>173</v>
      </c>
      <c r="BN154" t="s">
        <v>173</v>
      </c>
      <c r="BO154" t="s">
        <v>173</v>
      </c>
      <c r="BP154" t="s">
        <v>173</v>
      </c>
      <c r="BQ154" t="s">
        <v>173</v>
      </c>
      <c r="BR154" t="s">
        <v>173</v>
      </c>
      <c r="BS154" t="s">
        <v>173</v>
      </c>
      <c r="BT154" t="s">
        <v>173</v>
      </c>
      <c r="BU154" t="s">
        <v>173</v>
      </c>
      <c r="BV154" t="s">
        <v>482</v>
      </c>
      <c r="BW154" t="s">
        <v>483</v>
      </c>
      <c r="BX154" t="s">
        <v>173</v>
      </c>
      <c r="BY154" s="3">
        <v>1.2336999999999999E-6</v>
      </c>
      <c r="BZ154" t="s">
        <v>474</v>
      </c>
      <c r="CA154">
        <f>_xlfn.XLOOKUP(Table7[[#This Row],[Reference_PO2_unit]],ConversionFactors!$B$13:$B$19,ConversionFactors!$S$13:$S$19)</f>
        <v>100000000000</v>
      </c>
      <c r="CB154">
        <f>Table7[[#This Row],[Reference_PO2_value]]*Table7[[#This Row],[Reference_PO2_conversion_factor]]</f>
        <v>123370</v>
      </c>
      <c r="CC154">
        <v>23</v>
      </c>
      <c r="CD154">
        <v>50</v>
      </c>
      <c r="CE154">
        <f>Table7[[#This Row],[Reference_PO2_cm³·µm·m⁻²·d⁻¹·bar⁻¹ ]]/100</f>
        <v>1233.7</v>
      </c>
      <c r="CF154">
        <f>Table7[[#This Row],[Reference_PO2_T_°C]]</f>
        <v>23</v>
      </c>
      <c r="CG154">
        <f>Table7[[#This Row],[Reference_PO2_RH_%]]</f>
        <v>50</v>
      </c>
      <c r="CH154" t="s">
        <v>173</v>
      </c>
      <c r="CI154" t="s">
        <v>173</v>
      </c>
      <c r="CJ154" t="s">
        <v>173</v>
      </c>
      <c r="CK154" t="s">
        <v>173</v>
      </c>
      <c r="CL154" t="s">
        <v>173</v>
      </c>
      <c r="CM154" t="s">
        <v>173</v>
      </c>
      <c r="CN154" t="s">
        <v>173</v>
      </c>
      <c r="CO154" t="s">
        <v>173</v>
      </c>
      <c r="CP154" t="s">
        <v>173</v>
      </c>
      <c r="CQ154" s="3">
        <v>2.8433000000000001E-13</v>
      </c>
      <c r="CR154" t="s">
        <v>475</v>
      </c>
      <c r="CS154">
        <f>_xlfn.XLOOKUP(Table7[[#This Row],[Reference_WVP_unit]],ConversionFactors!$B$3:$B$10,ConversionFactors!$S$3:$S$10)</f>
        <v>8640000000000000</v>
      </c>
      <c r="CT154">
        <f>Table7[[#This Row],[Reference_WVP_value]]*Table7[[#This Row],[Reference_WVP_conversion_factor]]</f>
        <v>2456.6112000000003</v>
      </c>
      <c r="CU154">
        <v>23</v>
      </c>
      <c r="CV154">
        <v>85</v>
      </c>
      <c r="CW154">
        <f>10^(8.07131-1730.63/(233.426+Table7[[#This Row],[Reference_WVP_temperature°C]]))*0.00133322368</f>
        <v>2.8000798091486985E-2</v>
      </c>
      <c r="CX154">
        <f>Table7[[#This Row],[Reference_WVP_psat_bar]]*Table7[[#This Row],[Reference_WVP_RH_%]]</f>
        <v>2.3800678377763935</v>
      </c>
      <c r="CY154" t="s">
        <v>173</v>
      </c>
      <c r="CZ154" t="s">
        <v>173</v>
      </c>
      <c r="DA154" t="s">
        <v>173</v>
      </c>
      <c r="DB154">
        <f>Table7[[#This Row],[Reference_WVP_g·µm·m-2·d-1 ]]*Table7[[#This Row],[Reference_WVP_Δp_bar]]/100</f>
        <v>58.469013070412721</v>
      </c>
      <c r="DC154">
        <f>Table7[[#This Row],[Reference_WVP_temperature°C]]</f>
        <v>23</v>
      </c>
      <c r="DD154">
        <f>Table7[[#This Row],[Reference_WVP_RH_%]]</f>
        <v>85</v>
      </c>
      <c r="DE154" t="s">
        <v>476</v>
      </c>
      <c r="DF154" t="s">
        <v>172</v>
      </c>
      <c r="DG154" t="s">
        <v>462</v>
      </c>
      <c r="DH154" t="s">
        <v>477</v>
      </c>
    </row>
    <row r="155" spans="1:112">
      <c r="A155">
        <v>1</v>
      </c>
      <c r="B155" t="s">
        <v>451</v>
      </c>
      <c r="C155" t="s">
        <v>452</v>
      </c>
      <c r="D155">
        <v>2025</v>
      </c>
      <c r="E155" t="s">
        <v>378</v>
      </c>
      <c r="F155" t="s">
        <v>453</v>
      </c>
      <c r="G155" t="s">
        <v>454</v>
      </c>
      <c r="H155">
        <v>0.86</v>
      </c>
      <c r="I155" t="s">
        <v>173</v>
      </c>
      <c r="J155" t="s">
        <v>173</v>
      </c>
      <c r="K155" t="s">
        <v>173</v>
      </c>
      <c r="L155" t="s">
        <v>173</v>
      </c>
      <c r="M155" t="s">
        <v>173</v>
      </c>
      <c r="N155" t="s">
        <v>173</v>
      </c>
      <c r="O155" t="s">
        <v>173</v>
      </c>
      <c r="P155" t="s">
        <v>173</v>
      </c>
      <c r="Q155" t="s">
        <v>173</v>
      </c>
      <c r="R155" t="s">
        <v>173</v>
      </c>
      <c r="S155" t="s">
        <v>173</v>
      </c>
      <c r="T155" t="s">
        <v>173</v>
      </c>
      <c r="U155" t="s">
        <v>173</v>
      </c>
      <c r="V155" t="s">
        <v>173</v>
      </c>
      <c r="W155" t="s">
        <v>173</v>
      </c>
      <c r="X155" t="s">
        <v>173</v>
      </c>
      <c r="Y155" t="s">
        <v>173</v>
      </c>
      <c r="Z155" t="s">
        <v>173</v>
      </c>
      <c r="AA155" t="s">
        <v>173</v>
      </c>
      <c r="AB155" t="s">
        <v>173</v>
      </c>
      <c r="AC155" t="s">
        <v>173</v>
      </c>
      <c r="AD155" t="s">
        <v>173</v>
      </c>
      <c r="AE155" t="s">
        <v>173</v>
      </c>
      <c r="AF155" t="s">
        <v>173</v>
      </c>
      <c r="AG155" t="s">
        <v>173</v>
      </c>
      <c r="AH155" t="s">
        <v>173</v>
      </c>
      <c r="AI155" t="s">
        <v>173</v>
      </c>
      <c r="AJ155" t="s">
        <v>173</v>
      </c>
      <c r="AK155" t="s">
        <v>173</v>
      </c>
      <c r="AL155" t="s">
        <v>173</v>
      </c>
      <c r="AM155" t="s">
        <v>173</v>
      </c>
      <c r="AN155" t="s">
        <v>173</v>
      </c>
      <c r="AO155" t="s">
        <v>173</v>
      </c>
      <c r="AP155" t="s">
        <v>173</v>
      </c>
      <c r="AQ155" t="s">
        <v>173</v>
      </c>
      <c r="AR155" t="s">
        <v>173</v>
      </c>
      <c r="AS155" t="s">
        <v>173</v>
      </c>
      <c r="AT155" t="s">
        <v>173</v>
      </c>
      <c r="AU155" t="s">
        <v>173</v>
      </c>
      <c r="AV155" t="s">
        <v>173</v>
      </c>
      <c r="AW155" t="s">
        <v>173</v>
      </c>
      <c r="AX155" t="s">
        <v>173</v>
      </c>
      <c r="AY155" t="s">
        <v>173</v>
      </c>
      <c r="AZ155" t="s">
        <v>173</v>
      </c>
      <c r="BA155" t="s">
        <v>173</v>
      </c>
      <c r="BB155" t="s">
        <v>173</v>
      </c>
      <c r="BC155" t="s">
        <v>173</v>
      </c>
      <c r="BD155" t="s">
        <v>173</v>
      </c>
      <c r="BE155" t="s">
        <v>173</v>
      </c>
      <c r="BF155" t="s">
        <v>173</v>
      </c>
      <c r="BG155" t="s">
        <v>173</v>
      </c>
      <c r="BH155" t="s">
        <v>173</v>
      </c>
      <c r="BI155" t="s">
        <v>173</v>
      </c>
      <c r="BJ155" t="s">
        <v>173</v>
      </c>
      <c r="BK155" t="s">
        <v>173</v>
      </c>
      <c r="BL155" t="s">
        <v>173</v>
      </c>
      <c r="BM155" t="s">
        <v>173</v>
      </c>
      <c r="BN155" t="s">
        <v>173</v>
      </c>
      <c r="BO155" t="s">
        <v>173</v>
      </c>
      <c r="BP155" t="s">
        <v>173</v>
      </c>
      <c r="BQ155" t="s">
        <v>173</v>
      </c>
      <c r="BR155" t="s">
        <v>173</v>
      </c>
      <c r="BS155" t="s">
        <v>173</v>
      </c>
      <c r="BT155" t="s">
        <v>173</v>
      </c>
      <c r="BU155" t="s">
        <v>173</v>
      </c>
      <c r="BV155" t="s">
        <v>484</v>
      </c>
      <c r="BW155" t="s">
        <v>485</v>
      </c>
      <c r="BX155" t="s">
        <v>173</v>
      </c>
      <c r="BY155" s="3">
        <v>3E-10</v>
      </c>
      <c r="BZ155" t="s">
        <v>474</v>
      </c>
      <c r="CA155">
        <f>_xlfn.XLOOKUP(Table7[[#This Row],[Reference_PO2_unit]],ConversionFactors!$B$13:$B$19,ConversionFactors!$S$13:$S$19)</f>
        <v>100000000000</v>
      </c>
      <c r="CB155">
        <f>Table7[[#This Row],[Reference_PO2_value]]*Table7[[#This Row],[Reference_PO2_conversion_factor]]</f>
        <v>30</v>
      </c>
      <c r="CC155">
        <v>23</v>
      </c>
      <c r="CD155">
        <v>0</v>
      </c>
      <c r="CE155">
        <f>Table7[[#This Row],[Reference_PO2_cm³·µm·m⁻²·d⁻¹·bar⁻¹ ]]/100</f>
        <v>0.3</v>
      </c>
      <c r="CF155">
        <f>Table7[[#This Row],[Reference_PO2_T_°C]]</f>
        <v>23</v>
      </c>
      <c r="CG155">
        <f>Table7[[#This Row],[Reference_PO2_RH_%]]</f>
        <v>0</v>
      </c>
      <c r="CH155" t="s">
        <v>173</v>
      </c>
      <c r="CI155" t="s">
        <v>173</v>
      </c>
      <c r="CJ155" t="s">
        <v>173</v>
      </c>
      <c r="CK155" t="s">
        <v>173</v>
      </c>
      <c r="CL155" t="s">
        <v>173</v>
      </c>
      <c r="CM155" t="s">
        <v>173</v>
      </c>
      <c r="CN155" t="s">
        <v>173</v>
      </c>
      <c r="CO155" t="s">
        <v>173</v>
      </c>
      <c r="CP155" t="s">
        <v>173</v>
      </c>
      <c r="CQ155" s="3">
        <v>3.4265199999999998E-12</v>
      </c>
      <c r="CR155" t="s">
        <v>475</v>
      </c>
      <c r="CS155">
        <f>_xlfn.XLOOKUP(Table7[[#This Row],[Reference_WVP_unit]],ConversionFactors!$B$3:$B$10,ConversionFactors!$S$3:$S$10)</f>
        <v>8640000000000000</v>
      </c>
      <c r="CT155">
        <f>Table7[[#This Row],[Reference_WVP_value]]*Table7[[#This Row],[Reference_WVP_conversion_factor]]</f>
        <v>29605.132799999999</v>
      </c>
      <c r="CU155">
        <v>23</v>
      </c>
      <c r="CV155">
        <v>85</v>
      </c>
      <c r="CW155">
        <f>10^(8.07131-1730.63/(233.426+Table7[[#This Row],[Reference_WVP_temperature°C]]))*0.00133322368</f>
        <v>2.8000798091486985E-2</v>
      </c>
      <c r="CX155">
        <f>Table7[[#This Row],[Reference_WVP_psat_bar]]*Table7[[#This Row],[Reference_WVP_RH_%]]</f>
        <v>2.3800678377763935</v>
      </c>
      <c r="CY155" t="s">
        <v>173</v>
      </c>
      <c r="CZ155" t="s">
        <v>173</v>
      </c>
      <c r="DA155" t="s">
        <v>173</v>
      </c>
      <c r="DB155">
        <f>Table7[[#This Row],[Reference_WVP_g·µm·m-2·d-1 ]]*Table7[[#This Row],[Reference_WVP_Δp_bar]]/100</f>
        <v>704.62224410378985</v>
      </c>
      <c r="DC155">
        <f>Table7[[#This Row],[Reference_WVP_temperature°C]]</f>
        <v>23</v>
      </c>
      <c r="DD155">
        <f>Table7[[#This Row],[Reference_WVP_RH_%]]</f>
        <v>85</v>
      </c>
      <c r="DE155" t="s">
        <v>476</v>
      </c>
      <c r="DF155" t="s">
        <v>172</v>
      </c>
      <c r="DG155" t="s">
        <v>462</v>
      </c>
      <c r="DH155" t="s">
        <v>477</v>
      </c>
    </row>
    <row r="156" spans="1:112">
      <c r="A156">
        <v>1</v>
      </c>
      <c r="B156" t="s">
        <v>451</v>
      </c>
      <c r="C156" t="s">
        <v>452</v>
      </c>
      <c r="D156">
        <v>2025</v>
      </c>
      <c r="E156" t="s">
        <v>378</v>
      </c>
      <c r="F156" t="s">
        <v>453</v>
      </c>
      <c r="G156" t="s">
        <v>454</v>
      </c>
      <c r="H156">
        <v>0.86</v>
      </c>
      <c r="I156" t="s">
        <v>173</v>
      </c>
      <c r="J156" t="s">
        <v>173</v>
      </c>
      <c r="K156" t="s">
        <v>173</v>
      </c>
      <c r="L156" t="s">
        <v>173</v>
      </c>
      <c r="M156" t="s">
        <v>173</v>
      </c>
      <c r="N156" t="s">
        <v>173</v>
      </c>
      <c r="O156" t="s">
        <v>173</v>
      </c>
      <c r="P156" t="s">
        <v>173</v>
      </c>
      <c r="Q156" t="s">
        <v>173</v>
      </c>
      <c r="R156" t="s">
        <v>173</v>
      </c>
      <c r="S156" t="s">
        <v>173</v>
      </c>
      <c r="T156" t="s">
        <v>173</v>
      </c>
      <c r="U156" t="s">
        <v>173</v>
      </c>
      <c r="V156" t="s">
        <v>173</v>
      </c>
      <c r="W156" t="s">
        <v>173</v>
      </c>
      <c r="X156" t="s">
        <v>173</v>
      </c>
      <c r="Y156" t="s">
        <v>173</v>
      </c>
      <c r="Z156" t="s">
        <v>173</v>
      </c>
      <c r="AA156" t="s">
        <v>173</v>
      </c>
      <c r="AB156" t="s">
        <v>173</v>
      </c>
      <c r="AC156" t="s">
        <v>173</v>
      </c>
      <c r="AD156" t="s">
        <v>173</v>
      </c>
      <c r="AE156" t="s">
        <v>173</v>
      </c>
      <c r="AF156" t="s">
        <v>173</v>
      </c>
      <c r="AG156" t="s">
        <v>173</v>
      </c>
      <c r="AH156" t="s">
        <v>173</v>
      </c>
      <c r="AI156" t="s">
        <v>173</v>
      </c>
      <c r="AJ156" t="s">
        <v>173</v>
      </c>
      <c r="AK156" t="s">
        <v>173</v>
      </c>
      <c r="AL156" t="s">
        <v>173</v>
      </c>
      <c r="AM156" t="s">
        <v>173</v>
      </c>
      <c r="AN156" t="s">
        <v>173</v>
      </c>
      <c r="AO156" t="s">
        <v>173</v>
      </c>
      <c r="AP156" t="s">
        <v>173</v>
      </c>
      <c r="AQ156" t="s">
        <v>173</v>
      </c>
      <c r="AR156" t="s">
        <v>173</v>
      </c>
      <c r="AS156" t="s">
        <v>173</v>
      </c>
      <c r="AT156" t="s">
        <v>173</v>
      </c>
      <c r="AU156" t="s">
        <v>173</v>
      </c>
      <c r="AV156" t="s">
        <v>173</v>
      </c>
      <c r="AW156" t="s">
        <v>173</v>
      </c>
      <c r="AX156" t="s">
        <v>173</v>
      </c>
      <c r="AY156" t="s">
        <v>173</v>
      </c>
      <c r="AZ156" t="s">
        <v>173</v>
      </c>
      <c r="BA156" t="s">
        <v>173</v>
      </c>
      <c r="BB156" t="s">
        <v>173</v>
      </c>
      <c r="BC156" t="s">
        <v>173</v>
      </c>
      <c r="BD156" t="s">
        <v>173</v>
      </c>
      <c r="BE156" t="s">
        <v>173</v>
      </c>
      <c r="BF156" t="s">
        <v>173</v>
      </c>
      <c r="BG156" t="s">
        <v>173</v>
      </c>
      <c r="BH156" t="s">
        <v>173</v>
      </c>
      <c r="BI156" t="s">
        <v>173</v>
      </c>
      <c r="BJ156" t="s">
        <v>173</v>
      </c>
      <c r="BK156" t="s">
        <v>173</v>
      </c>
      <c r="BL156" t="s">
        <v>173</v>
      </c>
      <c r="BM156" t="s">
        <v>173</v>
      </c>
      <c r="BN156" t="s">
        <v>173</v>
      </c>
      <c r="BO156" t="s">
        <v>173</v>
      </c>
      <c r="BP156" t="s">
        <v>173</v>
      </c>
      <c r="BQ156" t="s">
        <v>173</v>
      </c>
      <c r="BR156" t="s">
        <v>173</v>
      </c>
      <c r="BS156" t="s">
        <v>173</v>
      </c>
      <c r="BT156" t="s">
        <v>173</v>
      </c>
      <c r="BU156" t="s">
        <v>173</v>
      </c>
      <c r="BV156" t="s">
        <v>486</v>
      </c>
      <c r="BW156" t="s">
        <v>485</v>
      </c>
      <c r="BX156" t="s">
        <v>173</v>
      </c>
      <c r="BY156" s="3">
        <v>2.1220000000000002E-6</v>
      </c>
      <c r="BZ156" t="s">
        <v>474</v>
      </c>
      <c r="CA156">
        <f>_xlfn.XLOOKUP(Table7[[#This Row],[Reference_PO2_unit]],ConversionFactors!$B$13:$B$19,ConversionFactors!$S$13:$S$19)</f>
        <v>100000000000</v>
      </c>
      <c r="CB156">
        <f>Table7[[#This Row],[Reference_PO2_value]]*Table7[[#This Row],[Reference_PO2_conversion_factor]]</f>
        <v>212200.00000000003</v>
      </c>
      <c r="CC156">
        <v>23</v>
      </c>
      <c r="CD156" t="s">
        <v>173</v>
      </c>
      <c r="CE156">
        <f>Table7[[#This Row],[Reference_PO2_cm³·µm·m⁻²·d⁻¹·bar⁻¹ ]]/100</f>
        <v>2122.0000000000005</v>
      </c>
      <c r="CF156">
        <f>Table7[[#This Row],[Reference_PO2_T_°C]]</f>
        <v>23</v>
      </c>
      <c r="CG156" t="str">
        <f>Table7[[#This Row],[Reference_PO2_RH_%]]</f>
        <v>NaN</v>
      </c>
      <c r="CH156" t="s">
        <v>173</v>
      </c>
      <c r="CI156" t="s">
        <v>173</v>
      </c>
      <c r="CJ156" t="s">
        <v>173</v>
      </c>
      <c r="CK156" t="s">
        <v>173</v>
      </c>
      <c r="CL156" t="s">
        <v>173</v>
      </c>
      <c r="CM156" t="s">
        <v>173</v>
      </c>
      <c r="CN156" t="s">
        <v>173</v>
      </c>
      <c r="CO156" t="s">
        <v>173</v>
      </c>
      <c r="CP156" t="s">
        <v>173</v>
      </c>
      <c r="CQ156" s="3">
        <v>1.1894999999999999E-13</v>
      </c>
      <c r="CR156" t="s">
        <v>475</v>
      </c>
      <c r="CS156">
        <f>_xlfn.XLOOKUP(Table7[[#This Row],[Reference_WVP_unit]],ConversionFactors!$B$3:$B$10,ConversionFactors!$S$3:$S$10)</f>
        <v>8640000000000000</v>
      </c>
      <c r="CT156">
        <f>Table7[[#This Row],[Reference_WVP_value]]*Table7[[#This Row],[Reference_WVP_conversion_factor]]</f>
        <v>1027.7279999999998</v>
      </c>
      <c r="CU156" t="s">
        <v>173</v>
      </c>
      <c r="CV156" t="s">
        <v>173</v>
      </c>
      <c r="CW156" t="s">
        <v>173</v>
      </c>
      <c r="CX156" t="s">
        <v>173</v>
      </c>
      <c r="CY156" t="s">
        <v>173</v>
      </c>
      <c r="CZ156" t="s">
        <v>173</v>
      </c>
      <c r="DA156" t="s">
        <v>173</v>
      </c>
      <c r="DB156" t="s">
        <v>173</v>
      </c>
      <c r="DC156" t="str">
        <f>Table7[[#This Row],[Reference_WVP_temperature°C]]</f>
        <v>NaN</v>
      </c>
      <c r="DD156" t="str">
        <f>Table7[[#This Row],[Reference_WVP_RH_%]]</f>
        <v>NaN</v>
      </c>
      <c r="DE156" t="s">
        <v>476</v>
      </c>
      <c r="DF156" t="s">
        <v>172</v>
      </c>
      <c r="DG156" t="s">
        <v>462</v>
      </c>
      <c r="DH156" t="s">
        <v>477</v>
      </c>
    </row>
    <row r="157" spans="1:112">
      <c r="A157">
        <v>1</v>
      </c>
      <c r="B157" t="s">
        <v>451</v>
      </c>
      <c r="C157" t="s">
        <v>452</v>
      </c>
      <c r="D157">
        <v>2025</v>
      </c>
      <c r="E157" t="s">
        <v>378</v>
      </c>
      <c r="F157" t="s">
        <v>453</v>
      </c>
      <c r="G157" t="s">
        <v>454</v>
      </c>
      <c r="H157">
        <v>0.86</v>
      </c>
      <c r="I157" t="s">
        <v>173</v>
      </c>
      <c r="J157" t="s">
        <v>173</v>
      </c>
      <c r="K157" t="s">
        <v>173</v>
      </c>
      <c r="L157" t="s">
        <v>173</v>
      </c>
      <c r="M157" t="s">
        <v>173</v>
      </c>
      <c r="N157" t="s">
        <v>173</v>
      </c>
      <c r="O157" t="s">
        <v>173</v>
      </c>
      <c r="P157" t="s">
        <v>173</v>
      </c>
      <c r="Q157" t="s">
        <v>173</v>
      </c>
      <c r="R157" t="s">
        <v>173</v>
      </c>
      <c r="S157" t="s">
        <v>173</v>
      </c>
      <c r="T157" t="s">
        <v>173</v>
      </c>
      <c r="U157" t="s">
        <v>173</v>
      </c>
      <c r="V157" t="s">
        <v>173</v>
      </c>
      <c r="W157" t="s">
        <v>173</v>
      </c>
      <c r="X157" t="s">
        <v>173</v>
      </c>
      <c r="Y157" t="s">
        <v>173</v>
      </c>
      <c r="Z157" t="s">
        <v>173</v>
      </c>
      <c r="AA157" t="s">
        <v>173</v>
      </c>
      <c r="AB157" t="s">
        <v>173</v>
      </c>
      <c r="AC157" t="s">
        <v>173</v>
      </c>
      <c r="AD157" t="s">
        <v>173</v>
      </c>
      <c r="AE157" t="s">
        <v>173</v>
      </c>
      <c r="AF157" t="s">
        <v>173</v>
      </c>
      <c r="AG157" t="s">
        <v>173</v>
      </c>
      <c r="AH157" t="s">
        <v>173</v>
      </c>
      <c r="AI157" t="s">
        <v>173</v>
      </c>
      <c r="AJ157" t="s">
        <v>173</v>
      </c>
      <c r="AK157" t="s">
        <v>173</v>
      </c>
      <c r="AL157" t="s">
        <v>173</v>
      </c>
      <c r="AM157" t="s">
        <v>173</v>
      </c>
      <c r="AN157" t="s">
        <v>173</v>
      </c>
      <c r="AO157" t="s">
        <v>173</v>
      </c>
      <c r="AP157" t="s">
        <v>173</v>
      </c>
      <c r="AQ157" t="s">
        <v>173</v>
      </c>
      <c r="AR157" t="s">
        <v>173</v>
      </c>
      <c r="AS157" t="s">
        <v>173</v>
      </c>
      <c r="AT157" t="s">
        <v>173</v>
      </c>
      <c r="AU157" t="s">
        <v>173</v>
      </c>
      <c r="AV157" t="s">
        <v>173</v>
      </c>
      <c r="AW157" t="s">
        <v>173</v>
      </c>
      <c r="AX157" t="s">
        <v>173</v>
      </c>
      <c r="AY157" t="s">
        <v>173</v>
      </c>
      <c r="AZ157" t="s">
        <v>173</v>
      </c>
      <c r="BA157" t="s">
        <v>173</v>
      </c>
      <c r="BB157" t="s">
        <v>173</v>
      </c>
      <c r="BC157" t="s">
        <v>173</v>
      </c>
      <c r="BD157" t="s">
        <v>173</v>
      </c>
      <c r="BE157" t="s">
        <v>173</v>
      </c>
      <c r="BF157" t="s">
        <v>173</v>
      </c>
      <c r="BG157" t="s">
        <v>173</v>
      </c>
      <c r="BH157" t="s">
        <v>173</v>
      </c>
      <c r="BI157" t="s">
        <v>173</v>
      </c>
      <c r="BJ157" t="s">
        <v>173</v>
      </c>
      <c r="BK157" t="s">
        <v>173</v>
      </c>
      <c r="BL157" t="s">
        <v>173</v>
      </c>
      <c r="BM157" t="s">
        <v>173</v>
      </c>
      <c r="BN157" t="s">
        <v>173</v>
      </c>
      <c r="BO157" t="s">
        <v>173</v>
      </c>
      <c r="BP157" t="s">
        <v>173</v>
      </c>
      <c r="BQ157" t="s">
        <v>173</v>
      </c>
      <c r="BR157" t="s">
        <v>173</v>
      </c>
      <c r="BS157" t="s">
        <v>173</v>
      </c>
      <c r="BT157" t="s">
        <v>173</v>
      </c>
      <c r="BU157" t="s">
        <v>173</v>
      </c>
      <c r="BV157" t="s">
        <v>487</v>
      </c>
      <c r="BW157" t="s">
        <v>485</v>
      </c>
      <c r="BX157" t="s">
        <v>173</v>
      </c>
      <c r="BY157" s="3">
        <v>4.9399999999999999E-8</v>
      </c>
      <c r="BZ157" t="s">
        <v>474</v>
      </c>
      <c r="CA157">
        <f>_xlfn.XLOOKUP(Table7[[#This Row],[Reference_PO2_unit]],ConversionFactors!$B$13:$B$19,ConversionFactors!$S$13:$S$19)</f>
        <v>100000000000</v>
      </c>
      <c r="CB157">
        <f>Table7[[#This Row],[Reference_PO2_value]]*Table7[[#This Row],[Reference_PO2_conversion_factor]]</f>
        <v>4940</v>
      </c>
      <c r="CC157">
        <v>23</v>
      </c>
      <c r="CD157">
        <v>50</v>
      </c>
      <c r="CE157">
        <f>Table7[[#This Row],[Reference_PO2_cm³·µm·m⁻²·d⁻¹·bar⁻¹ ]]/100</f>
        <v>49.4</v>
      </c>
      <c r="CF157">
        <f>Table7[[#This Row],[Reference_PO2_T_°C]]</f>
        <v>23</v>
      </c>
      <c r="CG157">
        <f>Table7[[#This Row],[Reference_PO2_RH_%]]</f>
        <v>50</v>
      </c>
      <c r="CH157" t="s">
        <v>173</v>
      </c>
      <c r="CI157" t="s">
        <v>173</v>
      </c>
      <c r="CJ157" t="s">
        <v>173</v>
      </c>
      <c r="CK157" t="s">
        <v>173</v>
      </c>
      <c r="CL157" t="s">
        <v>173</v>
      </c>
      <c r="CM157" t="s">
        <v>173</v>
      </c>
      <c r="CN157" t="s">
        <v>173</v>
      </c>
      <c r="CO157" t="s">
        <v>173</v>
      </c>
      <c r="CP157" t="s">
        <v>173</v>
      </c>
      <c r="CQ157" s="3">
        <v>1.8279E-13</v>
      </c>
      <c r="CR157" t="s">
        <v>475</v>
      </c>
      <c r="CS157">
        <f>_xlfn.XLOOKUP(Table7[[#This Row],[Reference_WVP_unit]],ConversionFactors!$B$3:$B$10,ConversionFactors!$S$3:$S$10)</f>
        <v>8640000000000000</v>
      </c>
      <c r="CT157">
        <f>Table7[[#This Row],[Reference_WVP_value]]*Table7[[#This Row],[Reference_WVP_conversion_factor]]</f>
        <v>1579.3055999999999</v>
      </c>
      <c r="CU157">
        <v>38</v>
      </c>
      <c r="CV157">
        <v>90</v>
      </c>
      <c r="CW157">
        <f>10^(8.07131-1730.63/(233.426+Table7[[#This Row],[Reference_WVP_temperature°C]]))*0.00133322368</f>
        <v>6.609176511928222E-2</v>
      </c>
      <c r="CX157">
        <f>Table7[[#This Row],[Reference_WVP_psat_bar]]*Table7[[#This Row],[Reference_WVP_RH_%]]</f>
        <v>5.9482588607353994</v>
      </c>
      <c r="CY157" t="s">
        <v>173</v>
      </c>
      <c r="CZ157" t="s">
        <v>173</v>
      </c>
      <c r="DA157" t="s">
        <v>173</v>
      </c>
      <c r="DB157">
        <f>Table7[[#This Row],[Reference_WVP_g·µm·m-2·d-1 ]]*Table7[[#This Row],[Reference_WVP_Δp_bar]]/100</f>
        <v>93.94118529009036</v>
      </c>
      <c r="DC157">
        <f>Table7[[#This Row],[Reference_WVP_temperature°C]]</f>
        <v>38</v>
      </c>
      <c r="DD157">
        <f>Table7[[#This Row],[Reference_WVP_RH_%]]</f>
        <v>90</v>
      </c>
      <c r="DE157" t="s">
        <v>476</v>
      </c>
      <c r="DF157" t="s">
        <v>172</v>
      </c>
      <c r="DG157" t="s">
        <v>462</v>
      </c>
      <c r="DH157" t="s">
        <v>477</v>
      </c>
    </row>
    <row r="158" spans="1:112">
      <c r="A158">
        <v>1</v>
      </c>
      <c r="B158" t="s">
        <v>451</v>
      </c>
      <c r="C158" t="s">
        <v>452</v>
      </c>
      <c r="D158">
        <v>2025</v>
      </c>
      <c r="E158" t="s">
        <v>378</v>
      </c>
      <c r="F158" t="s">
        <v>453</v>
      </c>
      <c r="G158" t="s">
        <v>454</v>
      </c>
      <c r="H158">
        <v>0.86</v>
      </c>
      <c r="I158" t="s">
        <v>173</v>
      </c>
      <c r="J158" t="s">
        <v>173</v>
      </c>
      <c r="K158" t="s">
        <v>173</v>
      </c>
      <c r="L158" t="s">
        <v>173</v>
      </c>
      <c r="M158" t="s">
        <v>173</v>
      </c>
      <c r="N158" t="s">
        <v>173</v>
      </c>
      <c r="O158" t="s">
        <v>173</v>
      </c>
      <c r="P158" t="s">
        <v>173</v>
      </c>
      <c r="Q158" t="s">
        <v>173</v>
      </c>
      <c r="R158" t="s">
        <v>173</v>
      </c>
      <c r="S158" t="s">
        <v>173</v>
      </c>
      <c r="T158" t="s">
        <v>173</v>
      </c>
      <c r="U158" t="s">
        <v>173</v>
      </c>
      <c r="V158" t="s">
        <v>173</v>
      </c>
      <c r="W158" t="s">
        <v>173</v>
      </c>
      <c r="X158" t="s">
        <v>173</v>
      </c>
      <c r="Y158" t="s">
        <v>173</v>
      </c>
      <c r="Z158" t="s">
        <v>173</v>
      </c>
      <c r="AA158" t="s">
        <v>173</v>
      </c>
      <c r="AB158" t="s">
        <v>173</v>
      </c>
      <c r="AC158" t="s">
        <v>173</v>
      </c>
      <c r="AD158" t="s">
        <v>173</v>
      </c>
      <c r="AE158" t="s">
        <v>173</v>
      </c>
      <c r="AF158" t="s">
        <v>173</v>
      </c>
      <c r="AG158" t="s">
        <v>173</v>
      </c>
      <c r="AH158" t="s">
        <v>173</v>
      </c>
      <c r="AI158" t="s">
        <v>173</v>
      </c>
      <c r="AJ158" t="s">
        <v>173</v>
      </c>
      <c r="AK158" t="s">
        <v>173</v>
      </c>
      <c r="AL158" t="s">
        <v>173</v>
      </c>
      <c r="AM158" t="s">
        <v>173</v>
      </c>
      <c r="AN158" t="s">
        <v>173</v>
      </c>
      <c r="AO158" t="s">
        <v>173</v>
      </c>
      <c r="AP158" t="s">
        <v>173</v>
      </c>
      <c r="AQ158" t="s">
        <v>173</v>
      </c>
      <c r="AR158" t="s">
        <v>173</v>
      </c>
      <c r="AS158" t="s">
        <v>173</v>
      </c>
      <c r="AT158" t="s">
        <v>173</v>
      </c>
      <c r="AU158" t="s">
        <v>173</v>
      </c>
      <c r="AV158" t="s">
        <v>173</v>
      </c>
      <c r="AW158" t="s">
        <v>173</v>
      </c>
      <c r="AX158" t="s">
        <v>173</v>
      </c>
      <c r="AY158" t="s">
        <v>173</v>
      </c>
      <c r="AZ158" t="s">
        <v>173</v>
      </c>
      <c r="BA158" t="s">
        <v>173</v>
      </c>
      <c r="BB158" t="s">
        <v>173</v>
      </c>
      <c r="BC158" t="s">
        <v>173</v>
      </c>
      <c r="BD158" t="s">
        <v>173</v>
      </c>
      <c r="BE158" t="s">
        <v>173</v>
      </c>
      <c r="BF158" t="s">
        <v>173</v>
      </c>
      <c r="BG158" t="s">
        <v>173</v>
      </c>
      <c r="BH158" t="s">
        <v>173</v>
      </c>
      <c r="BI158" t="s">
        <v>173</v>
      </c>
      <c r="BJ158" t="s">
        <v>173</v>
      </c>
      <c r="BK158" t="s">
        <v>173</v>
      </c>
      <c r="BL158" t="s">
        <v>173</v>
      </c>
      <c r="BM158" t="s">
        <v>173</v>
      </c>
      <c r="BN158" t="s">
        <v>173</v>
      </c>
      <c r="BO158" t="s">
        <v>173</v>
      </c>
      <c r="BP158" t="s">
        <v>173</v>
      </c>
      <c r="BQ158" t="s">
        <v>173</v>
      </c>
      <c r="BR158" t="s">
        <v>173</v>
      </c>
      <c r="BS158" t="s">
        <v>173</v>
      </c>
      <c r="BT158" t="s">
        <v>173</v>
      </c>
      <c r="BU158" t="s">
        <v>173</v>
      </c>
      <c r="BV158" t="s">
        <v>488</v>
      </c>
      <c r="BW158" t="s">
        <v>485</v>
      </c>
      <c r="BX158" t="s">
        <v>173</v>
      </c>
      <c r="BY158" s="3">
        <v>1.5E-9</v>
      </c>
      <c r="BZ158" t="s">
        <v>474</v>
      </c>
      <c r="CA158">
        <f>_xlfn.XLOOKUP(Table7[[#This Row],[Reference_PO2_unit]],ConversionFactors!$B$13:$B$19,ConversionFactors!$S$13:$S$19)</f>
        <v>100000000000</v>
      </c>
      <c r="CB158">
        <f>Table7[[#This Row],[Reference_PO2_value]]*Table7[[#This Row],[Reference_PO2_conversion_factor]]</f>
        <v>150</v>
      </c>
      <c r="CC158">
        <v>23</v>
      </c>
      <c r="CD158">
        <v>50</v>
      </c>
      <c r="CE158">
        <f>Table7[[#This Row],[Reference_PO2_cm³·µm·m⁻²·d⁻¹·bar⁻¹ ]]/100</f>
        <v>1.5</v>
      </c>
      <c r="CF158">
        <f>Table7[[#This Row],[Reference_PO2_T_°C]]</f>
        <v>23</v>
      </c>
      <c r="CG158">
        <f>Table7[[#This Row],[Reference_PO2_RH_%]]</f>
        <v>50</v>
      </c>
      <c r="CH158" t="s">
        <v>173</v>
      </c>
      <c r="CI158" t="s">
        <v>173</v>
      </c>
      <c r="CJ158" t="s">
        <v>173</v>
      </c>
      <c r="CK158" t="s">
        <v>173</v>
      </c>
      <c r="CL158" t="s">
        <v>173</v>
      </c>
      <c r="CM158" t="s">
        <v>173</v>
      </c>
      <c r="CN158" t="s">
        <v>173</v>
      </c>
      <c r="CO158" t="s">
        <v>173</v>
      </c>
      <c r="CP158" t="s">
        <v>173</v>
      </c>
      <c r="CQ158" s="3">
        <v>1.1610000000000001E-14</v>
      </c>
      <c r="CR158" t="s">
        <v>475</v>
      </c>
      <c r="CS158">
        <f>_xlfn.XLOOKUP(Table7[[#This Row],[Reference_WVP_unit]],ConversionFactors!$B$3:$B$10,ConversionFactors!$S$3:$S$10)</f>
        <v>8640000000000000</v>
      </c>
      <c r="CT158">
        <f>Table7[[#This Row],[Reference_WVP_value]]*Table7[[#This Row],[Reference_WVP_conversion_factor]]</f>
        <v>100.3104</v>
      </c>
      <c r="CU158">
        <v>23</v>
      </c>
      <c r="CV158">
        <v>65</v>
      </c>
      <c r="CW158">
        <f>10^(8.07131-1730.63/(233.426+Table7[[#This Row],[Reference_WVP_temperature°C]]))*0.00133322368</f>
        <v>2.8000798091486985E-2</v>
      </c>
      <c r="CX158">
        <f>Table7[[#This Row],[Reference_WVP_psat_bar]]*Table7[[#This Row],[Reference_WVP_RH_%]]</f>
        <v>1.820051875946654</v>
      </c>
      <c r="CY158" t="s">
        <v>173</v>
      </c>
      <c r="CZ158" t="s">
        <v>173</v>
      </c>
      <c r="DA158" t="s">
        <v>173</v>
      </c>
      <c r="DB158">
        <f>Table7[[#This Row],[Reference_WVP_g·µm·m-2·d-1 ]]*Table7[[#This Row],[Reference_WVP_Δp_bar]]/100</f>
        <v>1.8257013169695924</v>
      </c>
      <c r="DC158">
        <f>Table7[[#This Row],[Reference_WVP_temperature°C]]</f>
        <v>23</v>
      </c>
      <c r="DD158">
        <f>Table7[[#This Row],[Reference_WVP_RH_%]]</f>
        <v>65</v>
      </c>
      <c r="DE158" t="s">
        <v>476</v>
      </c>
      <c r="DF158" t="s">
        <v>172</v>
      </c>
      <c r="DG158" t="s">
        <v>462</v>
      </c>
      <c r="DH158" t="s">
        <v>477</v>
      </c>
    </row>
    <row r="159" spans="1:112">
      <c r="A159">
        <v>1</v>
      </c>
      <c r="B159" t="s">
        <v>451</v>
      </c>
      <c r="C159" t="s">
        <v>452</v>
      </c>
      <c r="D159">
        <v>2025</v>
      </c>
      <c r="E159" t="s">
        <v>378</v>
      </c>
      <c r="F159" t="s">
        <v>453</v>
      </c>
      <c r="G159" t="s">
        <v>454</v>
      </c>
      <c r="H159">
        <v>0.86</v>
      </c>
      <c r="I159" t="s">
        <v>173</v>
      </c>
      <c r="J159" t="s">
        <v>173</v>
      </c>
      <c r="K159" t="s">
        <v>173</v>
      </c>
      <c r="L159" t="s">
        <v>173</v>
      </c>
      <c r="M159" t="s">
        <v>173</v>
      </c>
      <c r="N159" t="s">
        <v>173</v>
      </c>
      <c r="O159" t="s">
        <v>173</v>
      </c>
      <c r="P159" t="s">
        <v>173</v>
      </c>
      <c r="Q159" t="s">
        <v>173</v>
      </c>
      <c r="R159" t="s">
        <v>173</v>
      </c>
      <c r="S159" t="s">
        <v>173</v>
      </c>
      <c r="T159" t="s">
        <v>173</v>
      </c>
      <c r="U159" t="s">
        <v>173</v>
      </c>
      <c r="V159" t="s">
        <v>173</v>
      </c>
      <c r="W159" t="s">
        <v>173</v>
      </c>
      <c r="X159" t="s">
        <v>173</v>
      </c>
      <c r="Y159" t="s">
        <v>173</v>
      </c>
      <c r="Z159" t="s">
        <v>173</v>
      </c>
      <c r="AA159" t="s">
        <v>173</v>
      </c>
      <c r="AB159" t="s">
        <v>173</v>
      </c>
      <c r="AC159" t="s">
        <v>173</v>
      </c>
      <c r="AD159" t="s">
        <v>173</v>
      </c>
      <c r="AE159" t="s">
        <v>173</v>
      </c>
      <c r="AF159" t="s">
        <v>173</v>
      </c>
      <c r="AG159" t="s">
        <v>173</v>
      </c>
      <c r="AH159" t="s">
        <v>173</v>
      </c>
      <c r="AI159" t="s">
        <v>173</v>
      </c>
      <c r="AJ159" t="s">
        <v>173</v>
      </c>
      <c r="AK159" t="s">
        <v>173</v>
      </c>
      <c r="AL159" t="s">
        <v>173</v>
      </c>
      <c r="AM159" t="s">
        <v>173</v>
      </c>
      <c r="AN159" t="s">
        <v>173</v>
      </c>
      <c r="AO159" t="s">
        <v>173</v>
      </c>
      <c r="AP159" t="s">
        <v>173</v>
      </c>
      <c r="AQ159" t="s">
        <v>173</v>
      </c>
      <c r="AR159" t="s">
        <v>173</v>
      </c>
      <c r="AS159" t="s">
        <v>173</v>
      </c>
      <c r="AT159" t="s">
        <v>173</v>
      </c>
      <c r="AU159" t="s">
        <v>173</v>
      </c>
      <c r="AV159" t="s">
        <v>173</v>
      </c>
      <c r="AW159" t="s">
        <v>173</v>
      </c>
      <c r="AX159" t="s">
        <v>173</v>
      </c>
      <c r="AY159" t="s">
        <v>173</v>
      </c>
      <c r="AZ159" t="s">
        <v>173</v>
      </c>
      <c r="BA159" t="s">
        <v>173</v>
      </c>
      <c r="BB159" t="s">
        <v>173</v>
      </c>
      <c r="BC159" t="s">
        <v>173</v>
      </c>
      <c r="BD159" t="s">
        <v>173</v>
      </c>
      <c r="BE159" t="s">
        <v>173</v>
      </c>
      <c r="BF159" t="s">
        <v>173</v>
      </c>
      <c r="BG159" t="s">
        <v>173</v>
      </c>
      <c r="BH159" t="s">
        <v>173</v>
      </c>
      <c r="BI159" t="s">
        <v>173</v>
      </c>
      <c r="BJ159" t="s">
        <v>173</v>
      </c>
      <c r="BK159" t="s">
        <v>173</v>
      </c>
      <c r="BL159" t="s">
        <v>173</v>
      </c>
      <c r="BM159" t="s">
        <v>173</v>
      </c>
      <c r="BN159" t="s">
        <v>173</v>
      </c>
      <c r="BO159" t="s">
        <v>173</v>
      </c>
      <c r="BP159" t="s">
        <v>173</v>
      </c>
      <c r="BQ159" t="s">
        <v>173</v>
      </c>
      <c r="BR159" t="s">
        <v>173</v>
      </c>
      <c r="BS159" t="s">
        <v>173</v>
      </c>
      <c r="BT159" t="s">
        <v>173</v>
      </c>
      <c r="BU159" t="s">
        <v>173</v>
      </c>
      <c r="BV159" t="s">
        <v>489</v>
      </c>
      <c r="BW159" t="s">
        <v>490</v>
      </c>
      <c r="BX159" t="s">
        <v>173</v>
      </c>
      <c r="BY159" s="3">
        <v>5.4000000000000004E-9</v>
      </c>
      <c r="BZ159" t="s">
        <v>474</v>
      </c>
      <c r="CA159">
        <f>_xlfn.XLOOKUP(Table7[[#This Row],[Reference_PO2_unit]],ConversionFactors!$B$13:$B$19,ConversionFactors!$S$13:$S$19)</f>
        <v>100000000000</v>
      </c>
      <c r="CB159">
        <f>Table7[[#This Row],[Reference_PO2_value]]*Table7[[#This Row],[Reference_PO2_conversion_factor]]</f>
        <v>540</v>
      </c>
      <c r="CC159">
        <v>30</v>
      </c>
      <c r="CD159">
        <v>60</v>
      </c>
      <c r="CE159">
        <f>Table7[[#This Row],[Reference_PO2_cm³·µm·m⁻²·d⁻¹·bar⁻¹ ]]/100</f>
        <v>5.4</v>
      </c>
      <c r="CF159">
        <f>Table7[[#This Row],[Reference_PO2_T_°C]]</f>
        <v>30</v>
      </c>
      <c r="CG159">
        <f>Table7[[#This Row],[Reference_PO2_RH_%]]</f>
        <v>60</v>
      </c>
      <c r="CH159" t="s">
        <v>173</v>
      </c>
      <c r="CI159" t="s">
        <v>173</v>
      </c>
      <c r="CJ159" t="s">
        <v>173</v>
      </c>
      <c r="CK159" t="s">
        <v>173</v>
      </c>
      <c r="CL159" t="s">
        <v>173</v>
      </c>
      <c r="CM159" t="s">
        <v>173</v>
      </c>
      <c r="CN159" t="s">
        <v>173</v>
      </c>
      <c r="CO159" t="s">
        <v>173</v>
      </c>
      <c r="CP159" t="s">
        <v>173</v>
      </c>
      <c r="CQ159" s="3">
        <v>6.0057999999999995E-13</v>
      </c>
      <c r="CR159" t="s">
        <v>475</v>
      </c>
      <c r="CS159">
        <f>_xlfn.XLOOKUP(Table7[[#This Row],[Reference_WVP_unit]],ConversionFactors!$B$3:$B$10,ConversionFactors!$S$3:$S$10)</f>
        <v>8640000000000000</v>
      </c>
      <c r="CT159">
        <f>Table7[[#This Row],[Reference_WVP_value]]*Table7[[#This Row],[Reference_WVP_conversion_factor]]</f>
        <v>5189.0111999999999</v>
      </c>
      <c r="CU159">
        <v>23</v>
      </c>
      <c r="CV159">
        <v>65</v>
      </c>
      <c r="CW159">
        <f>10^(8.07131-1730.63/(233.426+Table7[[#This Row],[Reference_WVP_temperature°C]]))*0.00133322368</f>
        <v>2.8000798091486985E-2</v>
      </c>
      <c r="CX159">
        <f>Table7[[#This Row],[Reference_WVP_psat_bar]]*Table7[[#This Row],[Reference_WVP_RH_%]]</f>
        <v>1.820051875946654</v>
      </c>
      <c r="CY159" t="s">
        <v>173</v>
      </c>
      <c r="CZ159" t="s">
        <v>173</v>
      </c>
      <c r="DA159" t="s">
        <v>173</v>
      </c>
      <c r="DB159">
        <f>Table7[[#This Row],[Reference_WVP_g·µm·m-2·d-1 ]]*Table7[[#This Row],[Reference_WVP_Δp_bar]]/100</f>
        <v>94.44269568868198</v>
      </c>
      <c r="DC159">
        <f>Table7[[#This Row],[Reference_WVP_temperature°C]]</f>
        <v>23</v>
      </c>
      <c r="DD159">
        <f>Table7[[#This Row],[Reference_WVP_RH_%]]</f>
        <v>65</v>
      </c>
      <c r="DE159" t="s">
        <v>476</v>
      </c>
      <c r="DF159" t="s">
        <v>172</v>
      </c>
      <c r="DG159" t="s">
        <v>462</v>
      </c>
      <c r="DH159" t="s">
        <v>477</v>
      </c>
    </row>
    <row r="160" spans="1:112">
      <c r="A160">
        <v>5</v>
      </c>
      <c r="B160" t="s">
        <v>491</v>
      </c>
      <c r="C160" t="s">
        <v>492</v>
      </c>
      <c r="D160">
        <v>2025</v>
      </c>
      <c r="E160" t="s">
        <v>493</v>
      </c>
      <c r="F160" t="s">
        <v>494</v>
      </c>
      <c r="G160" t="s">
        <v>454</v>
      </c>
      <c r="H160">
        <v>0.86</v>
      </c>
      <c r="I160" t="s">
        <v>173</v>
      </c>
      <c r="J160" t="s">
        <v>495</v>
      </c>
      <c r="K160" t="s">
        <v>495</v>
      </c>
      <c r="L160" t="s">
        <v>496</v>
      </c>
      <c r="M160" t="s">
        <v>454</v>
      </c>
      <c r="N160" t="s">
        <v>454</v>
      </c>
      <c r="O160" t="s">
        <v>173</v>
      </c>
      <c r="P160" t="s">
        <v>173</v>
      </c>
      <c r="Q160" t="s">
        <v>459</v>
      </c>
      <c r="R160">
        <v>390</v>
      </c>
      <c r="S160">
        <v>39</v>
      </c>
      <c r="T160">
        <v>3</v>
      </c>
      <c r="U160" t="s">
        <v>173</v>
      </c>
      <c r="V160" t="s">
        <v>173</v>
      </c>
      <c r="W160" t="s">
        <v>173</v>
      </c>
      <c r="X160" t="s">
        <v>173</v>
      </c>
      <c r="Y160" t="s">
        <v>173</v>
      </c>
      <c r="Z160" t="s">
        <v>173</v>
      </c>
      <c r="AA160" t="s">
        <v>173</v>
      </c>
      <c r="AB160" t="s">
        <v>173</v>
      </c>
      <c r="AC160" t="s">
        <v>173</v>
      </c>
      <c r="AD160" t="s">
        <v>173</v>
      </c>
      <c r="AE160" t="s">
        <v>173</v>
      </c>
      <c r="AF160" t="s">
        <v>173</v>
      </c>
      <c r="AG160" t="s">
        <v>173</v>
      </c>
      <c r="AH160" t="s">
        <v>173</v>
      </c>
      <c r="AI160" t="s">
        <v>173</v>
      </c>
      <c r="AJ160" t="s">
        <v>173</v>
      </c>
      <c r="AK160" t="s">
        <v>173</v>
      </c>
      <c r="AL160" t="s">
        <v>173</v>
      </c>
      <c r="AM160" t="s">
        <v>173</v>
      </c>
      <c r="AN160" t="s">
        <v>173</v>
      </c>
      <c r="AO160" t="s">
        <v>173</v>
      </c>
      <c r="AP160" t="s">
        <v>173</v>
      </c>
      <c r="AQ160" t="s">
        <v>173</v>
      </c>
      <c r="AR160" t="s">
        <v>173</v>
      </c>
      <c r="AS160" t="s">
        <v>173</v>
      </c>
      <c r="AT160" t="s">
        <v>173</v>
      </c>
      <c r="AU160" t="s">
        <v>173</v>
      </c>
      <c r="AV160" t="s">
        <v>173</v>
      </c>
      <c r="AW160" t="s">
        <v>173</v>
      </c>
      <c r="AX160" t="s">
        <v>173</v>
      </c>
      <c r="AY160" t="s">
        <v>173</v>
      </c>
      <c r="AZ160" t="s">
        <v>173</v>
      </c>
      <c r="BA160">
        <v>1.4499999999999999E-10</v>
      </c>
      <c r="BB160">
        <v>4.7999999999999997E-12</v>
      </c>
      <c r="BC160" t="s">
        <v>475</v>
      </c>
      <c r="BD160">
        <f>_xlfn.XLOOKUP(Table7[[#This Row],[WVP_unit]],ConversionFactors!$B$3:$B$10,ConversionFactors!$S$3:$S$10)</f>
        <v>8640000000000000</v>
      </c>
      <c r="BE160">
        <f>Table7[[#This Row],[WVP_value]]*Table7[[#This Row],[WVP_conversion_factor]]</f>
        <v>1252800</v>
      </c>
      <c r="BF160">
        <f>Table7[[#This Row],[WVP_SD]]*Table7[[#This Row],[WVP_conversion_factor]]</f>
        <v>41472</v>
      </c>
      <c r="BG160" t="s">
        <v>461</v>
      </c>
      <c r="BH160">
        <v>25</v>
      </c>
      <c r="BI160">
        <v>52.8</v>
      </c>
      <c r="BJ160">
        <f>10^(8.07131-1730.63/(233.426+Table7[[#This Row],[WVP_temperature_°C]]))*0.00133322368</f>
        <v>3.1579287443259496E-2</v>
      </c>
      <c r="BK160">
        <f>Table7[[#This Row],[WVP_RH_%]]/100*Table7[[#This Row],[WVP_psat_bar]]</f>
        <v>1.6673863770041014E-2</v>
      </c>
      <c r="BL160" t="s">
        <v>173</v>
      </c>
      <c r="BM160" t="s">
        <v>173</v>
      </c>
      <c r="BN160" t="s">
        <v>173</v>
      </c>
      <c r="BO160" t="s">
        <v>173</v>
      </c>
      <c r="BP160">
        <f>Table7[[#This Row],[WVP_g·µm·m-2·d-1·bar-1]]*Table7[[#This Row],[WVP_Δp_bar]]/100</f>
        <v>208.89016531107384</v>
      </c>
      <c r="BQ160">
        <f>Table7[[#This Row],[WVP_SD_g·µm·m-2·d-1 ]]*Table7[[#This Row],[WVP_Δp_bar]]/100</f>
        <v>6.914984782711409</v>
      </c>
      <c r="BR160" t="s">
        <v>461</v>
      </c>
      <c r="BS160">
        <v>25</v>
      </c>
      <c r="BT160">
        <v>52.8</v>
      </c>
      <c r="BU160">
        <v>3</v>
      </c>
      <c r="BV160" t="s">
        <v>173</v>
      </c>
      <c r="BX160" t="s">
        <v>173</v>
      </c>
      <c r="BY160" t="s">
        <v>173</v>
      </c>
      <c r="BZ160" t="s">
        <v>173</v>
      </c>
      <c r="CA160" t="s">
        <v>173</v>
      </c>
      <c r="CB160" t="s">
        <v>173</v>
      </c>
      <c r="CC160" t="s">
        <v>173</v>
      </c>
      <c r="CD160" t="s">
        <v>173</v>
      </c>
      <c r="CE160" t="s">
        <v>173</v>
      </c>
      <c r="CF160" t="s">
        <v>173</v>
      </c>
      <c r="CG160" t="s">
        <v>173</v>
      </c>
      <c r="CH160" t="s">
        <v>173</v>
      </c>
      <c r="CI160" t="s">
        <v>173</v>
      </c>
      <c r="CJ160" t="s">
        <v>173</v>
      </c>
      <c r="CK160" t="s">
        <v>173</v>
      </c>
      <c r="CL160" t="s">
        <v>173</v>
      </c>
      <c r="CM160" t="s">
        <v>173</v>
      </c>
      <c r="CN160" t="s">
        <v>173</v>
      </c>
      <c r="CO160" t="s">
        <v>173</v>
      </c>
      <c r="CP160" t="s">
        <v>173</v>
      </c>
      <c r="CQ160" t="s">
        <v>173</v>
      </c>
      <c r="CR160" t="s">
        <v>173</v>
      </c>
      <c r="CS160" t="s">
        <v>173</v>
      </c>
      <c r="CT160" t="s">
        <v>173</v>
      </c>
      <c r="CU160" t="s">
        <v>173</v>
      </c>
      <c r="CV160" t="s">
        <v>173</v>
      </c>
      <c r="CW160" t="s">
        <v>173</v>
      </c>
      <c r="CX160" t="s">
        <v>173</v>
      </c>
      <c r="CY160" t="s">
        <v>173</v>
      </c>
      <c r="CZ160" t="s">
        <v>173</v>
      </c>
      <c r="DA160" t="s">
        <v>173</v>
      </c>
      <c r="DB160" t="s">
        <v>173</v>
      </c>
      <c r="DC160" t="s">
        <v>173</v>
      </c>
      <c r="DD160" t="s">
        <v>173</v>
      </c>
      <c r="DE160" t="s">
        <v>173</v>
      </c>
      <c r="DF160" t="s">
        <v>172</v>
      </c>
      <c r="DG160" t="s">
        <v>497</v>
      </c>
      <c r="DH160" t="s">
        <v>173</v>
      </c>
    </row>
    <row r="161" spans="1:112">
      <c r="A161">
        <v>5</v>
      </c>
      <c r="B161" t="s">
        <v>491</v>
      </c>
      <c r="C161" t="s">
        <v>492</v>
      </c>
      <c r="D161">
        <v>2025</v>
      </c>
      <c r="E161" t="s">
        <v>493</v>
      </c>
      <c r="F161" t="s">
        <v>494</v>
      </c>
      <c r="G161" t="s">
        <v>454</v>
      </c>
      <c r="H161">
        <v>0.86</v>
      </c>
      <c r="I161" t="s">
        <v>173</v>
      </c>
      <c r="J161" t="s">
        <v>173</v>
      </c>
      <c r="K161" t="s">
        <v>173</v>
      </c>
      <c r="L161" t="s">
        <v>173</v>
      </c>
      <c r="M161" t="s">
        <v>173</v>
      </c>
      <c r="N161" t="s">
        <v>173</v>
      </c>
      <c r="O161" t="s">
        <v>173</v>
      </c>
      <c r="P161" t="s">
        <v>173</v>
      </c>
      <c r="Q161" t="s">
        <v>173</v>
      </c>
      <c r="R161" t="s">
        <v>173</v>
      </c>
      <c r="S161" t="s">
        <v>173</v>
      </c>
      <c r="T161" t="s">
        <v>173</v>
      </c>
      <c r="U161" t="s">
        <v>173</v>
      </c>
      <c r="V161" t="s">
        <v>173</v>
      </c>
      <c r="W161" t="s">
        <v>173</v>
      </c>
      <c r="X161" t="s">
        <v>173</v>
      </c>
      <c r="Y161" t="s">
        <v>173</v>
      </c>
      <c r="Z161" t="s">
        <v>173</v>
      </c>
      <c r="AA161" t="s">
        <v>173</v>
      </c>
      <c r="AB161" t="s">
        <v>173</v>
      </c>
      <c r="AC161" t="s">
        <v>173</v>
      </c>
      <c r="AD161" t="s">
        <v>173</v>
      </c>
      <c r="AE161" t="s">
        <v>173</v>
      </c>
      <c r="AF161" t="s">
        <v>173</v>
      </c>
      <c r="AG161" t="s">
        <v>173</v>
      </c>
      <c r="AH161" t="s">
        <v>173</v>
      </c>
      <c r="AI161" t="s">
        <v>173</v>
      </c>
      <c r="AJ161" t="s">
        <v>173</v>
      </c>
      <c r="AK161" t="s">
        <v>173</v>
      </c>
      <c r="AL161" t="s">
        <v>173</v>
      </c>
      <c r="AM161" t="s">
        <v>173</v>
      </c>
      <c r="AN161" t="s">
        <v>173</v>
      </c>
      <c r="AO161" t="s">
        <v>173</v>
      </c>
      <c r="AP161" t="s">
        <v>173</v>
      </c>
      <c r="AQ161" t="s">
        <v>173</v>
      </c>
      <c r="AR161" t="s">
        <v>173</v>
      </c>
      <c r="AS161" t="s">
        <v>173</v>
      </c>
      <c r="AT161" t="s">
        <v>173</v>
      </c>
      <c r="AU161" t="s">
        <v>173</v>
      </c>
      <c r="AV161" t="s">
        <v>173</v>
      </c>
      <c r="AW161" t="s">
        <v>173</v>
      </c>
      <c r="AX161" t="s">
        <v>173</v>
      </c>
      <c r="AY161" t="s">
        <v>173</v>
      </c>
      <c r="AZ161" t="s">
        <v>173</v>
      </c>
      <c r="BA161" t="s">
        <v>173</v>
      </c>
      <c r="BB161" t="s">
        <v>173</v>
      </c>
      <c r="BC161" t="s">
        <v>173</v>
      </c>
      <c r="BD161" t="s">
        <v>173</v>
      </c>
      <c r="BE161" t="s">
        <v>173</v>
      </c>
      <c r="BF161" t="s">
        <v>173</v>
      </c>
      <c r="BG161" t="s">
        <v>173</v>
      </c>
      <c r="BH161" t="s">
        <v>173</v>
      </c>
      <c r="BI161" t="s">
        <v>173</v>
      </c>
      <c r="BJ161" t="s">
        <v>173</v>
      </c>
      <c r="BK161" t="s">
        <v>173</v>
      </c>
      <c r="BL161" t="s">
        <v>173</v>
      </c>
      <c r="BM161" t="s">
        <v>173</v>
      </c>
      <c r="BN161" t="s">
        <v>173</v>
      </c>
      <c r="BO161" t="s">
        <v>173</v>
      </c>
      <c r="BP161" t="s">
        <v>173</v>
      </c>
      <c r="BQ161" t="s">
        <v>173</v>
      </c>
      <c r="BR161" t="s">
        <v>173</v>
      </c>
      <c r="BS161" t="s">
        <v>173</v>
      </c>
      <c r="BT161" t="s">
        <v>173</v>
      </c>
      <c r="BU161" t="s">
        <v>173</v>
      </c>
      <c r="BV161" t="s">
        <v>498</v>
      </c>
      <c r="BW161" t="s">
        <v>473</v>
      </c>
      <c r="BX161" t="s">
        <v>173</v>
      </c>
      <c r="BY161">
        <v>125</v>
      </c>
      <c r="BZ161" t="s">
        <v>499</v>
      </c>
      <c r="CA161">
        <f>_xlfn.XLOOKUP(Table7[[#This Row],[Reference_PO2_unit]],ConversionFactors!$B$13:$B$19,ConversionFactors!$S$13:$S$19)</f>
        <v>986.9</v>
      </c>
      <c r="CB161">
        <f>Table7[[#This Row],[Reference_PO2_value]]*Table7[[#This Row],[Reference_PO2_conversion_factor]]</f>
        <v>123362.5</v>
      </c>
      <c r="CC161">
        <v>23</v>
      </c>
      <c r="CD161">
        <v>50</v>
      </c>
      <c r="CE161">
        <f>Table7[[#This Row],[Reference_PO2_cm³·µm·m⁻²·d⁻¹·bar⁻¹ ]]/100</f>
        <v>1233.625</v>
      </c>
      <c r="CF161">
        <f>Table7[[#This Row],[Reference_PO2_T_°C]]</f>
        <v>23</v>
      </c>
      <c r="CG161">
        <f>Table7[[#This Row],[Reference_PO2_RH_%]]</f>
        <v>50</v>
      </c>
      <c r="CH161" t="s">
        <v>173</v>
      </c>
      <c r="CI161" t="s">
        <v>173</v>
      </c>
      <c r="CJ161" t="s">
        <v>173</v>
      </c>
      <c r="CK161" t="s">
        <v>173</v>
      </c>
      <c r="CL161" t="s">
        <v>173</v>
      </c>
      <c r="CM161" t="s">
        <v>173</v>
      </c>
      <c r="CN161" t="s">
        <v>173</v>
      </c>
      <c r="CO161" t="s">
        <v>173</v>
      </c>
      <c r="CP161" t="s">
        <v>173</v>
      </c>
      <c r="CQ161">
        <v>1.125</v>
      </c>
      <c r="CR161" t="s">
        <v>500</v>
      </c>
      <c r="CS161">
        <f>_xlfn.XLOOKUP(Table7[[#This Row],[Reference_WVP_unit]],ConversionFactors!$B$3:$B$10,ConversionFactors!$S$3:$S$10)</f>
        <v>41841.004184100413</v>
      </c>
      <c r="CT161">
        <f>Table7[[#This Row],[Reference_WVP_value]]*Table7[[#This Row],[Reference_WVP_conversion_factor]]</f>
        <v>47071.129707112967</v>
      </c>
      <c r="CU161">
        <v>23</v>
      </c>
      <c r="CV161">
        <v>85</v>
      </c>
      <c r="CW161">
        <f>10^(8.07131-1730.63/(233.426+Table7[[#This Row],[Reference_WVP_temperature°C]]))*0.00133322368</f>
        <v>2.8000798091486985E-2</v>
      </c>
      <c r="CX161">
        <f>Table7[[#This Row],[Reference_WVP_psat_bar]]*Table7[[#This Row],[Reference_WVP_RH_%]]</f>
        <v>2.3800678377763935</v>
      </c>
      <c r="CY161" t="s">
        <v>173</v>
      </c>
      <c r="CZ161" t="s">
        <v>173</v>
      </c>
      <c r="DA161" t="s">
        <v>173</v>
      </c>
      <c r="DB161">
        <f>Table7[[#This Row],[Reference_WVP_g·µm·m-2·d-1 ]]*Table7[[#This Row],[Reference_WVP_Δp_bar]]/100</f>
        <v>1120.3248190370052</v>
      </c>
      <c r="DC161">
        <f>Table7[[#This Row],[Reference_WVP_temperature°C]]</f>
        <v>23</v>
      </c>
      <c r="DD161">
        <f>Table7[[#This Row],[Reference_WVP_RH_%]]</f>
        <v>85</v>
      </c>
      <c r="DE161" t="s">
        <v>476</v>
      </c>
      <c r="DF161" t="s">
        <v>172</v>
      </c>
      <c r="DG161" t="s">
        <v>173</v>
      </c>
      <c r="DH161" t="s">
        <v>501</v>
      </c>
    </row>
    <row r="162" spans="1:112">
      <c r="A162">
        <v>5</v>
      </c>
      <c r="B162" t="s">
        <v>491</v>
      </c>
      <c r="C162" t="s">
        <v>492</v>
      </c>
      <c r="D162">
        <v>2025</v>
      </c>
      <c r="E162" t="s">
        <v>493</v>
      </c>
      <c r="F162" t="s">
        <v>494</v>
      </c>
      <c r="G162" t="s">
        <v>454</v>
      </c>
      <c r="H162">
        <v>0.86</v>
      </c>
      <c r="I162" t="s">
        <v>173</v>
      </c>
      <c r="J162" t="s">
        <v>173</v>
      </c>
      <c r="K162" t="s">
        <v>173</v>
      </c>
      <c r="L162" t="s">
        <v>173</v>
      </c>
      <c r="M162" t="s">
        <v>173</v>
      </c>
      <c r="N162" t="s">
        <v>173</v>
      </c>
      <c r="O162" t="s">
        <v>173</v>
      </c>
      <c r="P162" t="s">
        <v>173</v>
      </c>
      <c r="Q162" t="s">
        <v>173</v>
      </c>
      <c r="R162" t="s">
        <v>173</v>
      </c>
      <c r="S162" t="s">
        <v>173</v>
      </c>
      <c r="T162" t="s">
        <v>173</v>
      </c>
      <c r="U162" t="s">
        <v>173</v>
      </c>
      <c r="V162" t="s">
        <v>173</v>
      </c>
      <c r="W162" t="s">
        <v>173</v>
      </c>
      <c r="X162" t="s">
        <v>173</v>
      </c>
      <c r="Y162" t="s">
        <v>173</v>
      </c>
      <c r="Z162" t="s">
        <v>173</v>
      </c>
      <c r="AA162" t="s">
        <v>173</v>
      </c>
      <c r="AB162" t="s">
        <v>173</v>
      </c>
      <c r="AC162" t="s">
        <v>173</v>
      </c>
      <c r="AD162" t="s">
        <v>173</v>
      </c>
      <c r="AE162" t="s">
        <v>173</v>
      </c>
      <c r="AF162" t="s">
        <v>173</v>
      </c>
      <c r="AG162" t="s">
        <v>173</v>
      </c>
      <c r="AH162" t="s">
        <v>173</v>
      </c>
      <c r="AI162" t="s">
        <v>173</v>
      </c>
      <c r="AJ162" t="s">
        <v>173</v>
      </c>
      <c r="AK162" t="s">
        <v>173</v>
      </c>
      <c r="AL162" t="s">
        <v>173</v>
      </c>
      <c r="AM162" t="s">
        <v>173</v>
      </c>
      <c r="AN162" t="s">
        <v>173</v>
      </c>
      <c r="AO162" t="s">
        <v>173</v>
      </c>
      <c r="AP162" t="s">
        <v>173</v>
      </c>
      <c r="AQ162" t="s">
        <v>173</v>
      </c>
      <c r="AR162" t="s">
        <v>173</v>
      </c>
      <c r="AS162" t="s">
        <v>173</v>
      </c>
      <c r="AT162" t="s">
        <v>173</v>
      </c>
      <c r="AU162" t="s">
        <v>173</v>
      </c>
      <c r="AV162" t="s">
        <v>173</v>
      </c>
      <c r="AW162" t="s">
        <v>173</v>
      </c>
      <c r="AX162" t="s">
        <v>173</v>
      </c>
      <c r="AY162" t="s">
        <v>173</v>
      </c>
      <c r="AZ162" t="s">
        <v>173</v>
      </c>
      <c r="BA162" t="s">
        <v>173</v>
      </c>
      <c r="BB162" t="s">
        <v>173</v>
      </c>
      <c r="BC162" t="s">
        <v>173</v>
      </c>
      <c r="BD162" t="s">
        <v>173</v>
      </c>
      <c r="BE162" t="s">
        <v>173</v>
      </c>
      <c r="BF162" t="s">
        <v>173</v>
      </c>
      <c r="BG162" t="s">
        <v>173</v>
      </c>
      <c r="BH162" t="s">
        <v>173</v>
      </c>
      <c r="BI162" t="s">
        <v>173</v>
      </c>
      <c r="BJ162" t="s">
        <v>173</v>
      </c>
      <c r="BK162" t="s">
        <v>173</v>
      </c>
      <c r="BL162" t="s">
        <v>173</v>
      </c>
      <c r="BM162" t="s">
        <v>173</v>
      </c>
      <c r="BN162" t="s">
        <v>173</v>
      </c>
      <c r="BO162" t="s">
        <v>173</v>
      </c>
      <c r="BP162" t="s">
        <v>173</v>
      </c>
      <c r="BQ162" t="s">
        <v>173</v>
      </c>
      <c r="BR162" t="s">
        <v>173</v>
      </c>
      <c r="BS162" t="s">
        <v>173</v>
      </c>
      <c r="BT162" t="s">
        <v>173</v>
      </c>
      <c r="BU162" t="s">
        <v>173</v>
      </c>
      <c r="BV162" t="s">
        <v>482</v>
      </c>
      <c r="BW162" t="s">
        <v>483</v>
      </c>
      <c r="BX162" t="s">
        <v>173</v>
      </c>
      <c r="BY162">
        <v>125</v>
      </c>
      <c r="BZ162" t="s">
        <v>499</v>
      </c>
      <c r="CA162">
        <f>_xlfn.XLOOKUP(Table7[[#This Row],[Reference_PO2_unit]],ConversionFactors!$B$13:$B$19,ConversionFactors!$S$13:$S$19)</f>
        <v>986.9</v>
      </c>
      <c r="CB162">
        <f>Table7[[#This Row],[Reference_PO2_value]]*Table7[[#This Row],[Reference_PO2_conversion_factor]]</f>
        <v>123362.5</v>
      </c>
      <c r="CC162">
        <v>23</v>
      </c>
      <c r="CD162">
        <v>50</v>
      </c>
      <c r="CE162">
        <f>Table7[[#This Row],[Reference_PO2_cm³·µm·m⁻²·d⁻¹·bar⁻¹ ]]/100</f>
        <v>1233.625</v>
      </c>
      <c r="CF162">
        <f>Table7[[#This Row],[Reference_PO2_T_°C]]</f>
        <v>23</v>
      </c>
      <c r="CG162">
        <f>Table7[[#This Row],[Reference_PO2_RH_%]]</f>
        <v>50</v>
      </c>
      <c r="CH162" t="s">
        <v>173</v>
      </c>
      <c r="CI162" t="s">
        <v>173</v>
      </c>
      <c r="CJ162" t="s">
        <v>173</v>
      </c>
      <c r="CK162" t="s">
        <v>173</v>
      </c>
      <c r="CL162" t="s">
        <v>173</v>
      </c>
      <c r="CM162" t="s">
        <v>173</v>
      </c>
      <c r="CN162" t="s">
        <v>173</v>
      </c>
      <c r="CO162" t="s">
        <v>173</v>
      </c>
      <c r="CP162" t="s">
        <v>173</v>
      </c>
      <c r="CQ162">
        <v>2.5</v>
      </c>
      <c r="CR162" t="s">
        <v>500</v>
      </c>
      <c r="CS162">
        <f>_xlfn.XLOOKUP(Table7[[#This Row],[Reference_WVP_unit]],ConversionFactors!$B$3:$B$10,ConversionFactors!$S$3:$S$10)</f>
        <v>41841.004184100413</v>
      </c>
      <c r="CT162">
        <f>Table7[[#This Row],[Reference_WVP_value]]*Table7[[#This Row],[Reference_WVP_conversion_factor]]</f>
        <v>104602.51046025104</v>
      </c>
      <c r="CU162">
        <v>23</v>
      </c>
      <c r="CV162">
        <v>85</v>
      </c>
      <c r="CW162">
        <f>10^(8.07131-1730.63/(233.426+Table7[[#This Row],[Reference_WVP_temperature°C]]))*0.00133322368</f>
        <v>2.8000798091486985E-2</v>
      </c>
      <c r="CX162">
        <f>Table7[[#This Row],[Reference_WVP_psat_bar]]*Table7[[#This Row],[Reference_WVP_RH_%]]</f>
        <v>2.3800678377763935</v>
      </c>
      <c r="CY162" t="s">
        <v>173</v>
      </c>
      <c r="CZ162" t="s">
        <v>173</v>
      </c>
      <c r="DA162" t="s">
        <v>173</v>
      </c>
      <c r="DB162">
        <f>Table7[[#This Row],[Reference_WVP_g·µm·m-2·d-1 ]]*Table7[[#This Row],[Reference_WVP_Δp_bar]]/100</f>
        <v>2489.6107089711227</v>
      </c>
      <c r="DC162">
        <f>Table7[[#This Row],[Reference_WVP_temperature°C]]</f>
        <v>23</v>
      </c>
      <c r="DD162">
        <f>Table7[[#This Row],[Reference_WVP_RH_%]]</f>
        <v>85</v>
      </c>
      <c r="DE162" t="s">
        <v>476</v>
      </c>
      <c r="DF162" t="s">
        <v>172</v>
      </c>
      <c r="DG162" t="s">
        <v>173</v>
      </c>
      <c r="DH162" t="s">
        <v>501</v>
      </c>
    </row>
    <row r="163" spans="1:112">
      <c r="A163">
        <v>5</v>
      </c>
      <c r="B163" t="s">
        <v>491</v>
      </c>
      <c r="C163" t="s">
        <v>492</v>
      </c>
      <c r="D163">
        <v>2025</v>
      </c>
      <c r="E163" t="s">
        <v>493</v>
      </c>
      <c r="F163" t="s">
        <v>494</v>
      </c>
      <c r="G163" t="s">
        <v>454</v>
      </c>
      <c r="H163">
        <v>0.86</v>
      </c>
      <c r="I163" t="s">
        <v>173</v>
      </c>
      <c r="J163" t="s">
        <v>173</v>
      </c>
      <c r="K163" t="s">
        <v>173</v>
      </c>
      <c r="L163" t="s">
        <v>173</v>
      </c>
      <c r="M163" t="s">
        <v>173</v>
      </c>
      <c r="N163" t="s">
        <v>173</v>
      </c>
      <c r="O163" t="s">
        <v>173</v>
      </c>
      <c r="P163" t="s">
        <v>173</v>
      </c>
      <c r="Q163" t="s">
        <v>173</v>
      </c>
      <c r="R163" t="s">
        <v>173</v>
      </c>
      <c r="S163" t="s">
        <v>173</v>
      </c>
      <c r="T163" t="s">
        <v>173</v>
      </c>
      <c r="U163" t="s">
        <v>173</v>
      </c>
      <c r="V163" t="s">
        <v>173</v>
      </c>
      <c r="W163" t="s">
        <v>173</v>
      </c>
      <c r="X163" t="s">
        <v>173</v>
      </c>
      <c r="Y163" t="s">
        <v>173</v>
      </c>
      <c r="Z163" t="s">
        <v>173</v>
      </c>
      <c r="AA163" t="s">
        <v>173</v>
      </c>
      <c r="AB163" t="s">
        <v>173</v>
      </c>
      <c r="AC163" t="s">
        <v>173</v>
      </c>
      <c r="AD163" t="s">
        <v>173</v>
      </c>
      <c r="AE163" t="s">
        <v>173</v>
      </c>
      <c r="AF163" t="s">
        <v>173</v>
      </c>
      <c r="AG163" t="s">
        <v>173</v>
      </c>
      <c r="AH163" t="s">
        <v>173</v>
      </c>
      <c r="AI163" t="s">
        <v>173</v>
      </c>
      <c r="AJ163" t="s">
        <v>173</v>
      </c>
      <c r="AK163" t="s">
        <v>173</v>
      </c>
      <c r="AL163" t="s">
        <v>173</v>
      </c>
      <c r="AM163" t="s">
        <v>173</v>
      </c>
      <c r="AN163" t="s">
        <v>173</v>
      </c>
      <c r="AO163" t="s">
        <v>173</v>
      </c>
      <c r="AP163" t="s">
        <v>173</v>
      </c>
      <c r="AQ163" t="s">
        <v>173</v>
      </c>
      <c r="AR163" t="s">
        <v>173</v>
      </c>
      <c r="AS163" t="s">
        <v>173</v>
      </c>
      <c r="AT163" t="s">
        <v>173</v>
      </c>
      <c r="AU163" t="s">
        <v>173</v>
      </c>
      <c r="AV163" t="s">
        <v>173</v>
      </c>
      <c r="AW163" t="s">
        <v>173</v>
      </c>
      <c r="AX163" t="s">
        <v>173</v>
      </c>
      <c r="AY163" t="s">
        <v>173</v>
      </c>
      <c r="AZ163" t="s">
        <v>173</v>
      </c>
      <c r="BA163" t="s">
        <v>173</v>
      </c>
      <c r="BB163" t="s">
        <v>173</v>
      </c>
      <c r="BC163" t="s">
        <v>173</v>
      </c>
      <c r="BD163" t="s">
        <v>173</v>
      </c>
      <c r="BE163" t="s">
        <v>173</v>
      </c>
      <c r="BF163" t="s">
        <v>173</v>
      </c>
      <c r="BG163" t="s">
        <v>173</v>
      </c>
      <c r="BH163" t="s">
        <v>173</v>
      </c>
      <c r="BI163" t="s">
        <v>173</v>
      </c>
      <c r="BJ163" t="s">
        <v>173</v>
      </c>
      <c r="BK163" t="s">
        <v>173</v>
      </c>
      <c r="BL163" t="s">
        <v>173</v>
      </c>
      <c r="BM163" t="s">
        <v>173</v>
      </c>
      <c r="BN163" t="s">
        <v>173</v>
      </c>
      <c r="BO163" t="s">
        <v>173</v>
      </c>
      <c r="BP163" t="s">
        <v>173</v>
      </c>
      <c r="BQ163" t="s">
        <v>173</v>
      </c>
      <c r="BR163" t="s">
        <v>173</v>
      </c>
      <c r="BS163" t="s">
        <v>173</v>
      </c>
      <c r="BT163" t="s">
        <v>173</v>
      </c>
      <c r="BU163" t="s">
        <v>173</v>
      </c>
      <c r="BV163" t="s">
        <v>487</v>
      </c>
      <c r="BW163" t="s">
        <v>485</v>
      </c>
      <c r="BX163" t="s">
        <v>173</v>
      </c>
      <c r="BY163">
        <v>5</v>
      </c>
      <c r="BZ163" t="s">
        <v>499</v>
      </c>
      <c r="CA163">
        <f>_xlfn.XLOOKUP(Table7[[#This Row],[Reference_PO2_unit]],ConversionFactors!$B$13:$B$19,ConversionFactors!$S$13:$S$19)</f>
        <v>986.9</v>
      </c>
      <c r="CB163">
        <f>Table7[[#This Row],[Reference_PO2_value]]*Table7[[#This Row],[Reference_PO2_conversion_factor]]</f>
        <v>4934.5</v>
      </c>
      <c r="CC163">
        <v>23</v>
      </c>
      <c r="CD163">
        <v>50</v>
      </c>
      <c r="CE163">
        <f>Table7[[#This Row],[Reference_PO2_cm³·µm·m⁻²·d⁻¹·bar⁻¹ ]]/100</f>
        <v>49.344999999999999</v>
      </c>
      <c r="CF163">
        <f>Table7[[#This Row],[Reference_PO2_T_°C]]</f>
        <v>23</v>
      </c>
      <c r="CG163">
        <f>Table7[[#This Row],[Reference_PO2_RH_%]]</f>
        <v>50</v>
      </c>
      <c r="CH163" t="s">
        <v>173</v>
      </c>
      <c r="CI163" t="s">
        <v>173</v>
      </c>
      <c r="CJ163" t="s">
        <v>173</v>
      </c>
      <c r="CK163" t="s">
        <v>173</v>
      </c>
      <c r="CL163" t="s">
        <v>173</v>
      </c>
      <c r="CM163" t="s">
        <v>173</v>
      </c>
      <c r="CN163" t="s">
        <v>173</v>
      </c>
      <c r="CO163" t="s">
        <v>173</v>
      </c>
      <c r="CP163" t="s">
        <v>173</v>
      </c>
      <c r="CQ163">
        <v>1.5</v>
      </c>
      <c r="CR163" t="s">
        <v>500</v>
      </c>
      <c r="CS163">
        <f>_xlfn.XLOOKUP(Table7[[#This Row],[Reference_WVP_unit]],ConversionFactors!$B$3:$B$10,ConversionFactors!$S$3:$S$10)</f>
        <v>41841.004184100413</v>
      </c>
      <c r="CT163">
        <f>Table7[[#This Row],[Reference_WVP_value]]*Table7[[#This Row],[Reference_WVP_conversion_factor]]</f>
        <v>62761.50627615062</v>
      </c>
      <c r="CU163">
        <v>23</v>
      </c>
      <c r="CV163">
        <v>85</v>
      </c>
      <c r="CW163">
        <f>10^(8.07131-1730.63/(233.426+Table7[[#This Row],[Reference_WVP_temperature°C]]))*0.00133322368</f>
        <v>2.8000798091486985E-2</v>
      </c>
      <c r="CX163">
        <f>Table7[[#This Row],[Reference_WVP_psat_bar]]*Table7[[#This Row],[Reference_WVP_RH_%]]</f>
        <v>2.3800678377763935</v>
      </c>
      <c r="CY163" t="s">
        <v>173</v>
      </c>
      <c r="CZ163" t="s">
        <v>173</v>
      </c>
      <c r="DA163" t="s">
        <v>173</v>
      </c>
      <c r="DB163">
        <f>Table7[[#This Row],[Reference_WVP_g·µm·m-2·d-1 ]]*Table7[[#This Row],[Reference_WVP_Δp_bar]]/100</f>
        <v>1493.7664253826736</v>
      </c>
      <c r="DC163">
        <f>Table7[[#This Row],[Reference_WVP_temperature°C]]</f>
        <v>23</v>
      </c>
      <c r="DD163">
        <f>Table7[[#This Row],[Reference_WVP_RH_%]]</f>
        <v>85</v>
      </c>
      <c r="DE163" t="s">
        <v>476</v>
      </c>
      <c r="DF163" t="s">
        <v>172</v>
      </c>
      <c r="DG163" t="s">
        <v>173</v>
      </c>
      <c r="DH163" t="s">
        <v>501</v>
      </c>
    </row>
    <row r="164" spans="1:112">
      <c r="A164">
        <v>5</v>
      </c>
      <c r="B164" t="s">
        <v>491</v>
      </c>
      <c r="C164" t="s">
        <v>492</v>
      </c>
      <c r="D164">
        <v>2025</v>
      </c>
      <c r="E164" t="s">
        <v>493</v>
      </c>
      <c r="F164" t="s">
        <v>494</v>
      </c>
      <c r="G164" t="s">
        <v>454</v>
      </c>
      <c r="H164">
        <v>0.86</v>
      </c>
      <c r="I164" t="s">
        <v>173</v>
      </c>
      <c r="J164" t="s">
        <v>173</v>
      </c>
      <c r="K164" t="s">
        <v>173</v>
      </c>
      <c r="L164" t="s">
        <v>173</v>
      </c>
      <c r="M164" t="s">
        <v>173</v>
      </c>
      <c r="N164" t="s">
        <v>173</v>
      </c>
      <c r="O164" t="s">
        <v>173</v>
      </c>
      <c r="P164" t="s">
        <v>173</v>
      </c>
      <c r="Q164" t="s">
        <v>173</v>
      </c>
      <c r="R164" t="s">
        <v>173</v>
      </c>
      <c r="S164" t="s">
        <v>173</v>
      </c>
      <c r="T164" t="s">
        <v>173</v>
      </c>
      <c r="U164" t="s">
        <v>173</v>
      </c>
      <c r="V164" t="s">
        <v>173</v>
      </c>
      <c r="W164" t="s">
        <v>173</v>
      </c>
      <c r="X164" t="s">
        <v>173</v>
      </c>
      <c r="Y164" t="s">
        <v>173</v>
      </c>
      <c r="Z164" t="s">
        <v>173</v>
      </c>
      <c r="AA164" t="s">
        <v>173</v>
      </c>
      <c r="AB164" t="s">
        <v>173</v>
      </c>
      <c r="AC164" t="s">
        <v>173</v>
      </c>
      <c r="AD164" t="s">
        <v>173</v>
      </c>
      <c r="AE164" t="s">
        <v>173</v>
      </c>
      <c r="AF164" t="s">
        <v>173</v>
      </c>
      <c r="AG164" t="s">
        <v>173</v>
      </c>
      <c r="AH164" t="s">
        <v>173</v>
      </c>
      <c r="AI164" t="s">
        <v>173</v>
      </c>
      <c r="AJ164" t="s">
        <v>173</v>
      </c>
      <c r="AK164" t="s">
        <v>173</v>
      </c>
      <c r="AL164" t="s">
        <v>173</v>
      </c>
      <c r="AM164" t="s">
        <v>173</v>
      </c>
      <c r="AN164" t="s">
        <v>173</v>
      </c>
      <c r="AO164" t="s">
        <v>173</v>
      </c>
      <c r="AP164" t="s">
        <v>173</v>
      </c>
      <c r="AQ164" t="s">
        <v>173</v>
      </c>
      <c r="AR164" t="s">
        <v>173</v>
      </c>
      <c r="AS164" t="s">
        <v>173</v>
      </c>
      <c r="AT164" t="s">
        <v>173</v>
      </c>
      <c r="AU164" t="s">
        <v>173</v>
      </c>
      <c r="AV164" t="s">
        <v>173</v>
      </c>
      <c r="AW164" t="s">
        <v>173</v>
      </c>
      <c r="AX164" t="s">
        <v>173</v>
      </c>
      <c r="AY164" t="s">
        <v>173</v>
      </c>
      <c r="AZ164" t="s">
        <v>173</v>
      </c>
      <c r="BA164" t="s">
        <v>173</v>
      </c>
      <c r="BB164" t="s">
        <v>173</v>
      </c>
      <c r="BC164" t="s">
        <v>173</v>
      </c>
      <c r="BD164" t="s">
        <v>173</v>
      </c>
      <c r="BE164" t="s">
        <v>173</v>
      </c>
      <c r="BF164" t="s">
        <v>173</v>
      </c>
      <c r="BG164" t="s">
        <v>173</v>
      </c>
      <c r="BH164" t="s">
        <v>173</v>
      </c>
      <c r="BI164" t="s">
        <v>173</v>
      </c>
      <c r="BJ164" t="s">
        <v>173</v>
      </c>
      <c r="BK164" t="s">
        <v>173</v>
      </c>
      <c r="BL164" t="s">
        <v>173</v>
      </c>
      <c r="BM164" t="s">
        <v>173</v>
      </c>
      <c r="BN164" t="s">
        <v>173</v>
      </c>
      <c r="BO164" t="s">
        <v>173</v>
      </c>
      <c r="BP164" t="s">
        <v>173</v>
      </c>
      <c r="BQ164" t="s">
        <v>173</v>
      </c>
      <c r="BR164" t="s">
        <v>173</v>
      </c>
      <c r="BS164" t="s">
        <v>173</v>
      </c>
      <c r="BT164" t="s">
        <v>173</v>
      </c>
      <c r="BU164" t="s">
        <v>173</v>
      </c>
      <c r="BV164" t="s">
        <v>502</v>
      </c>
      <c r="BW164" t="s">
        <v>481</v>
      </c>
      <c r="BX164" t="s">
        <v>173</v>
      </c>
      <c r="BY164">
        <v>0.5</v>
      </c>
      <c r="BZ164" t="s">
        <v>499</v>
      </c>
      <c r="CA164">
        <f>_xlfn.XLOOKUP(Table7[[#This Row],[Reference_PO2_unit]],ConversionFactors!$B$13:$B$19,ConversionFactors!$S$13:$S$19)</f>
        <v>986.9</v>
      </c>
      <c r="CB164">
        <f>Table7[[#This Row],[Reference_PO2_value]]*Table7[[#This Row],[Reference_PO2_conversion_factor]]</f>
        <v>493.45</v>
      </c>
      <c r="CC164">
        <v>23</v>
      </c>
      <c r="CD164">
        <v>50</v>
      </c>
      <c r="CE164">
        <f>Table7[[#This Row],[Reference_PO2_cm³·µm·m⁻²·d⁻¹·bar⁻¹ ]]/100</f>
        <v>4.9344999999999999</v>
      </c>
      <c r="CF164">
        <f>Table7[[#This Row],[Reference_PO2_T_°C]]</f>
        <v>23</v>
      </c>
      <c r="CG164">
        <f>Table7[[#This Row],[Reference_PO2_RH_%]]</f>
        <v>50</v>
      </c>
      <c r="CH164" t="s">
        <v>173</v>
      </c>
      <c r="CI164" t="s">
        <v>173</v>
      </c>
      <c r="CJ164" t="s">
        <v>173</v>
      </c>
      <c r="CK164" t="s">
        <v>173</v>
      </c>
      <c r="CL164" t="s">
        <v>173</v>
      </c>
      <c r="CM164" t="s">
        <v>173</v>
      </c>
      <c r="CN164" t="s">
        <v>173</v>
      </c>
      <c r="CO164" t="s">
        <v>173</v>
      </c>
      <c r="CP164" t="s">
        <v>173</v>
      </c>
      <c r="CQ164">
        <v>0.7</v>
      </c>
      <c r="CR164" t="s">
        <v>500</v>
      </c>
      <c r="CS164">
        <f>_xlfn.XLOOKUP(Table7[[#This Row],[Reference_WVP_unit]],ConversionFactors!$B$3:$B$10,ConversionFactors!$S$3:$S$10)</f>
        <v>41841.004184100413</v>
      </c>
      <c r="CT164">
        <f>Table7[[#This Row],[Reference_WVP_value]]*Table7[[#This Row],[Reference_WVP_conversion_factor]]</f>
        <v>29288.702928870287</v>
      </c>
      <c r="CU164">
        <v>23</v>
      </c>
      <c r="CV164">
        <v>85</v>
      </c>
      <c r="CW164">
        <f>10^(8.07131-1730.63/(233.426+Table7[[#This Row],[Reference_WVP_temperature°C]]))*0.00133322368</f>
        <v>2.8000798091486985E-2</v>
      </c>
      <c r="CX164">
        <f>Table7[[#This Row],[Reference_WVP_psat_bar]]*Table7[[#This Row],[Reference_WVP_RH_%]]</f>
        <v>2.3800678377763935</v>
      </c>
      <c r="CY164" t="s">
        <v>173</v>
      </c>
      <c r="CZ164" t="s">
        <v>173</v>
      </c>
      <c r="DA164" t="s">
        <v>173</v>
      </c>
      <c r="DB164">
        <f>Table7[[#This Row],[Reference_WVP_g·µm·m-2·d-1 ]]*Table7[[#This Row],[Reference_WVP_Δp_bar]]/100</f>
        <v>697.09099851191422</v>
      </c>
      <c r="DC164">
        <f>Table7[[#This Row],[Reference_WVP_temperature°C]]</f>
        <v>23</v>
      </c>
      <c r="DD164">
        <f>Table7[[#This Row],[Reference_WVP_RH_%]]</f>
        <v>85</v>
      </c>
      <c r="DE164" t="s">
        <v>476</v>
      </c>
      <c r="DF164" t="s">
        <v>172</v>
      </c>
      <c r="DG164" t="s">
        <v>173</v>
      </c>
      <c r="DH164" t="s">
        <v>501</v>
      </c>
    </row>
    <row r="165" spans="1:112">
      <c r="A165">
        <v>5</v>
      </c>
      <c r="B165" t="s">
        <v>491</v>
      </c>
      <c r="C165" t="s">
        <v>492</v>
      </c>
      <c r="D165">
        <v>2025</v>
      </c>
      <c r="E165" t="s">
        <v>493</v>
      </c>
      <c r="F165" t="s">
        <v>494</v>
      </c>
      <c r="G165" t="s">
        <v>454</v>
      </c>
      <c r="H165">
        <v>0.86</v>
      </c>
      <c r="I165" t="s">
        <v>173</v>
      </c>
      <c r="J165" t="s">
        <v>173</v>
      </c>
      <c r="K165" t="s">
        <v>173</v>
      </c>
      <c r="L165" t="s">
        <v>173</v>
      </c>
      <c r="M165" t="s">
        <v>173</v>
      </c>
      <c r="N165" t="s">
        <v>173</v>
      </c>
      <c r="O165" t="s">
        <v>173</v>
      </c>
      <c r="P165" t="s">
        <v>173</v>
      </c>
      <c r="Q165" t="s">
        <v>173</v>
      </c>
      <c r="R165" t="s">
        <v>173</v>
      </c>
      <c r="S165" t="s">
        <v>173</v>
      </c>
      <c r="T165" t="s">
        <v>173</v>
      </c>
      <c r="U165" t="s">
        <v>173</v>
      </c>
      <c r="V165" t="s">
        <v>173</v>
      </c>
      <c r="W165" t="s">
        <v>173</v>
      </c>
      <c r="X165" t="s">
        <v>173</v>
      </c>
      <c r="Y165" t="s">
        <v>173</v>
      </c>
      <c r="Z165" t="s">
        <v>173</v>
      </c>
      <c r="AA165" t="s">
        <v>173</v>
      </c>
      <c r="AB165" t="s">
        <v>173</v>
      </c>
      <c r="AC165" t="s">
        <v>173</v>
      </c>
      <c r="AD165" t="s">
        <v>173</v>
      </c>
      <c r="AE165" t="s">
        <v>173</v>
      </c>
      <c r="AF165" t="s">
        <v>173</v>
      </c>
      <c r="AG165" t="s">
        <v>173</v>
      </c>
      <c r="AH165" t="s">
        <v>173</v>
      </c>
      <c r="AI165" t="s">
        <v>173</v>
      </c>
      <c r="AJ165" t="s">
        <v>173</v>
      </c>
      <c r="AK165" t="s">
        <v>173</v>
      </c>
      <c r="AL165" t="s">
        <v>173</v>
      </c>
      <c r="AM165" t="s">
        <v>173</v>
      </c>
      <c r="AN165" t="s">
        <v>173</v>
      </c>
      <c r="AO165" t="s">
        <v>173</v>
      </c>
      <c r="AP165" t="s">
        <v>173</v>
      </c>
      <c r="AQ165" t="s">
        <v>173</v>
      </c>
      <c r="AR165" t="s">
        <v>173</v>
      </c>
      <c r="AS165" t="s">
        <v>173</v>
      </c>
      <c r="AT165" t="s">
        <v>173</v>
      </c>
      <c r="AU165" t="s">
        <v>173</v>
      </c>
      <c r="AV165" t="s">
        <v>173</v>
      </c>
      <c r="AW165" t="s">
        <v>173</v>
      </c>
      <c r="AX165" t="s">
        <v>173</v>
      </c>
      <c r="AY165" t="s">
        <v>173</v>
      </c>
      <c r="AZ165" t="s">
        <v>173</v>
      </c>
      <c r="BA165" t="s">
        <v>173</v>
      </c>
      <c r="BB165" t="s">
        <v>173</v>
      </c>
      <c r="BC165" t="s">
        <v>173</v>
      </c>
      <c r="BD165" t="s">
        <v>173</v>
      </c>
      <c r="BE165" t="s">
        <v>173</v>
      </c>
      <c r="BF165" t="s">
        <v>173</v>
      </c>
      <c r="BG165" t="s">
        <v>173</v>
      </c>
      <c r="BH165" t="s">
        <v>173</v>
      </c>
      <c r="BI165" t="s">
        <v>173</v>
      </c>
      <c r="BJ165" t="s">
        <v>173</v>
      </c>
      <c r="BK165" t="s">
        <v>173</v>
      </c>
      <c r="BL165" t="s">
        <v>173</v>
      </c>
      <c r="BM165" t="s">
        <v>173</v>
      </c>
      <c r="BN165" t="s">
        <v>173</v>
      </c>
      <c r="BO165" t="s">
        <v>173</v>
      </c>
      <c r="BP165" t="s">
        <v>173</v>
      </c>
      <c r="BQ165" t="s">
        <v>173</v>
      </c>
      <c r="BR165" t="s">
        <v>173</v>
      </c>
      <c r="BS165" t="s">
        <v>173</v>
      </c>
      <c r="BT165" t="s">
        <v>173</v>
      </c>
      <c r="BU165" t="s">
        <v>173</v>
      </c>
      <c r="BV165" t="s">
        <v>489</v>
      </c>
      <c r="BW165" t="s">
        <v>490</v>
      </c>
      <c r="BX165" t="s">
        <v>173</v>
      </c>
      <c r="BY165">
        <v>0.55000000000000004</v>
      </c>
      <c r="BZ165" t="s">
        <v>499</v>
      </c>
      <c r="CA165">
        <f>_xlfn.XLOOKUP(Table7[[#This Row],[Reference_PO2_unit]],ConversionFactors!$B$13:$B$19,ConversionFactors!$S$13:$S$19)</f>
        <v>986.9</v>
      </c>
      <c r="CB165">
        <f>Table7[[#This Row],[Reference_PO2_value]]*Table7[[#This Row],[Reference_PO2_conversion_factor]]</f>
        <v>542.79500000000007</v>
      </c>
      <c r="CC165">
        <v>23</v>
      </c>
      <c r="CD165">
        <v>0</v>
      </c>
      <c r="CE165">
        <f>Table7[[#This Row],[Reference_PO2_cm³·µm·m⁻²·d⁻¹·bar⁻¹ ]]/100</f>
        <v>5.4279500000000009</v>
      </c>
      <c r="CF165">
        <f>Table7[[#This Row],[Reference_PO2_T_°C]]</f>
        <v>23</v>
      </c>
      <c r="CG165">
        <f>Table7[[#This Row],[Reference_PO2_RH_%]]</f>
        <v>0</v>
      </c>
      <c r="CH165" t="s">
        <v>173</v>
      </c>
      <c r="CI165" t="s">
        <v>173</v>
      </c>
      <c r="CJ165" t="s">
        <v>173</v>
      </c>
      <c r="CK165" t="s">
        <v>173</v>
      </c>
      <c r="CL165" t="s">
        <v>173</v>
      </c>
      <c r="CM165" t="s">
        <v>173</v>
      </c>
      <c r="CN165" t="s">
        <v>173</v>
      </c>
      <c r="CO165" t="s">
        <v>173</v>
      </c>
      <c r="CP165" t="s">
        <v>173</v>
      </c>
      <c r="CQ165">
        <v>5.25</v>
      </c>
      <c r="CR165" t="s">
        <v>500</v>
      </c>
      <c r="CS165">
        <f>_xlfn.XLOOKUP(Table7[[#This Row],[Reference_WVP_unit]],ConversionFactors!$B$3:$B$10,ConversionFactors!$S$3:$S$10)</f>
        <v>41841.004184100413</v>
      </c>
      <c r="CT165">
        <f>Table7[[#This Row],[Reference_WVP_value]]*Table7[[#This Row],[Reference_WVP_conversion_factor]]</f>
        <v>219665.27196652716</v>
      </c>
      <c r="CU165">
        <v>23</v>
      </c>
      <c r="CV165">
        <v>85</v>
      </c>
      <c r="CW165">
        <f>10^(8.07131-1730.63/(233.426+Table7[[#This Row],[Reference_WVP_temperature°C]]))*0.00133322368</f>
        <v>2.8000798091486985E-2</v>
      </c>
      <c r="CX165">
        <f>Table7[[#This Row],[Reference_WVP_psat_bar]]*Table7[[#This Row],[Reference_WVP_RH_%]]</f>
        <v>2.3800678377763935</v>
      </c>
      <c r="CY165" t="s">
        <v>173</v>
      </c>
      <c r="CZ165" t="s">
        <v>173</v>
      </c>
      <c r="DA165" t="s">
        <v>173</v>
      </c>
      <c r="DB165">
        <f>Table7[[#This Row],[Reference_WVP_g·µm·m-2·d-1 ]]*Table7[[#This Row],[Reference_WVP_Δp_bar]]/100</f>
        <v>5228.1824888393576</v>
      </c>
      <c r="DC165">
        <f>Table7[[#This Row],[Reference_WVP_temperature°C]]</f>
        <v>23</v>
      </c>
      <c r="DD165">
        <f>Table7[[#This Row],[Reference_WVP_RH_%]]</f>
        <v>85</v>
      </c>
      <c r="DE165" t="s">
        <v>476</v>
      </c>
      <c r="DF165" t="s">
        <v>172</v>
      </c>
      <c r="DG165" t="s">
        <v>173</v>
      </c>
      <c r="DH165" t="s">
        <v>501</v>
      </c>
    </row>
    <row r="166" spans="1:112">
      <c r="A166">
        <v>5</v>
      </c>
      <c r="B166" t="s">
        <v>491</v>
      </c>
      <c r="C166" t="s">
        <v>492</v>
      </c>
      <c r="D166">
        <v>2025</v>
      </c>
      <c r="E166" t="s">
        <v>493</v>
      </c>
      <c r="F166" t="s">
        <v>494</v>
      </c>
      <c r="G166" t="s">
        <v>454</v>
      </c>
      <c r="H166">
        <v>0.86</v>
      </c>
      <c r="I166" t="s">
        <v>173</v>
      </c>
      <c r="J166" t="s">
        <v>173</v>
      </c>
      <c r="K166" t="s">
        <v>173</v>
      </c>
      <c r="L166" t="s">
        <v>173</v>
      </c>
      <c r="M166" t="s">
        <v>173</v>
      </c>
      <c r="N166" t="s">
        <v>173</v>
      </c>
      <c r="O166" t="s">
        <v>173</v>
      </c>
      <c r="P166" t="s">
        <v>173</v>
      </c>
      <c r="Q166" t="s">
        <v>173</v>
      </c>
      <c r="R166" t="s">
        <v>173</v>
      </c>
      <c r="S166" t="s">
        <v>173</v>
      </c>
      <c r="T166" t="s">
        <v>173</v>
      </c>
      <c r="U166" t="s">
        <v>173</v>
      </c>
      <c r="V166" t="s">
        <v>173</v>
      </c>
      <c r="W166" t="s">
        <v>173</v>
      </c>
      <c r="X166" t="s">
        <v>173</v>
      </c>
      <c r="Y166" t="s">
        <v>173</v>
      </c>
      <c r="Z166" t="s">
        <v>173</v>
      </c>
      <c r="AA166" t="s">
        <v>173</v>
      </c>
      <c r="AB166" t="s">
        <v>173</v>
      </c>
      <c r="AC166" t="s">
        <v>173</v>
      </c>
      <c r="AD166" t="s">
        <v>173</v>
      </c>
      <c r="AE166" t="s">
        <v>173</v>
      </c>
      <c r="AF166" t="s">
        <v>173</v>
      </c>
      <c r="AG166" t="s">
        <v>173</v>
      </c>
      <c r="AH166" t="s">
        <v>173</v>
      </c>
      <c r="AI166" t="s">
        <v>173</v>
      </c>
      <c r="AJ166" t="s">
        <v>173</v>
      </c>
      <c r="AK166" t="s">
        <v>173</v>
      </c>
      <c r="AL166" t="s">
        <v>173</v>
      </c>
      <c r="AM166" t="s">
        <v>173</v>
      </c>
      <c r="AN166" t="s">
        <v>173</v>
      </c>
      <c r="AO166" t="s">
        <v>173</v>
      </c>
      <c r="AP166" t="s">
        <v>173</v>
      </c>
      <c r="AQ166" t="s">
        <v>173</v>
      </c>
      <c r="AR166" t="s">
        <v>173</v>
      </c>
      <c r="AS166" t="s">
        <v>173</v>
      </c>
      <c r="AT166" t="s">
        <v>173</v>
      </c>
      <c r="AU166" t="s">
        <v>173</v>
      </c>
      <c r="AV166" t="s">
        <v>173</v>
      </c>
      <c r="AW166" t="s">
        <v>173</v>
      </c>
      <c r="AX166" t="s">
        <v>173</v>
      </c>
      <c r="AY166" t="s">
        <v>173</v>
      </c>
      <c r="AZ166" t="s">
        <v>173</v>
      </c>
      <c r="BA166" t="s">
        <v>173</v>
      </c>
      <c r="BB166" t="s">
        <v>173</v>
      </c>
      <c r="BC166" t="s">
        <v>173</v>
      </c>
      <c r="BD166" t="s">
        <v>173</v>
      </c>
      <c r="BE166" t="s">
        <v>173</v>
      </c>
      <c r="BF166" t="s">
        <v>173</v>
      </c>
      <c r="BG166" t="s">
        <v>173</v>
      </c>
      <c r="BH166" t="s">
        <v>173</v>
      </c>
      <c r="BI166" t="s">
        <v>173</v>
      </c>
      <c r="BJ166" t="s">
        <v>173</v>
      </c>
      <c r="BK166" t="s">
        <v>173</v>
      </c>
      <c r="BL166" t="s">
        <v>173</v>
      </c>
      <c r="BM166" t="s">
        <v>173</v>
      </c>
      <c r="BN166" t="s">
        <v>173</v>
      </c>
      <c r="BO166" t="s">
        <v>173</v>
      </c>
      <c r="BP166" t="s">
        <v>173</v>
      </c>
      <c r="BQ166" t="s">
        <v>173</v>
      </c>
      <c r="BR166" t="s">
        <v>173</v>
      </c>
      <c r="BS166" t="s">
        <v>173</v>
      </c>
      <c r="BT166" t="s">
        <v>173</v>
      </c>
      <c r="BU166" t="s">
        <v>173</v>
      </c>
      <c r="BV166" t="s">
        <v>503</v>
      </c>
      <c r="BW166" t="s">
        <v>485</v>
      </c>
      <c r="BX166" t="s">
        <v>173</v>
      </c>
      <c r="BY166">
        <v>0.02</v>
      </c>
      <c r="BZ166" t="s">
        <v>499</v>
      </c>
      <c r="CA166">
        <f>_xlfn.XLOOKUP(Table7[[#This Row],[Reference_PO2_unit]],ConversionFactors!$B$13:$B$19,ConversionFactors!$S$13:$S$19)</f>
        <v>986.9</v>
      </c>
      <c r="CB166">
        <f>Table7[[#This Row],[Reference_PO2_value]]*Table7[[#This Row],[Reference_PO2_conversion_factor]]</f>
        <v>19.738</v>
      </c>
      <c r="CC166">
        <v>23</v>
      </c>
      <c r="CD166">
        <v>0</v>
      </c>
      <c r="CE166">
        <f>Table7[[#This Row],[Reference_PO2_cm³·µm·m⁻²·d⁻¹·bar⁻¹ ]]/100</f>
        <v>0.19738</v>
      </c>
      <c r="CF166">
        <f>Table7[[#This Row],[Reference_PO2_T_°C]]</f>
        <v>23</v>
      </c>
      <c r="CG166">
        <f>Table7[[#This Row],[Reference_PO2_RH_%]]</f>
        <v>0</v>
      </c>
      <c r="CH166" t="s">
        <v>173</v>
      </c>
      <c r="CI166" t="s">
        <v>173</v>
      </c>
      <c r="CJ166" t="s">
        <v>173</v>
      </c>
      <c r="CK166" t="s">
        <v>173</v>
      </c>
      <c r="CL166" t="s">
        <v>173</v>
      </c>
      <c r="CM166" t="s">
        <v>173</v>
      </c>
      <c r="CN166" t="s">
        <v>173</v>
      </c>
      <c r="CO166" t="s">
        <v>173</v>
      </c>
      <c r="CP166" t="s">
        <v>173</v>
      </c>
      <c r="CQ166">
        <v>30</v>
      </c>
      <c r="CR166" t="s">
        <v>500</v>
      </c>
      <c r="CS166">
        <f>_xlfn.XLOOKUP(Table7[[#This Row],[Reference_WVP_unit]],ConversionFactors!$B$3:$B$10,ConversionFactors!$S$3:$S$10)</f>
        <v>41841.004184100413</v>
      </c>
      <c r="CT166">
        <f>Table7[[#This Row],[Reference_WVP_value]]*Table7[[#This Row],[Reference_WVP_conversion_factor]]</f>
        <v>1255230.1255230124</v>
      </c>
      <c r="CU166">
        <v>23</v>
      </c>
      <c r="CV166">
        <v>85</v>
      </c>
      <c r="CW166">
        <f>10^(8.07131-1730.63/(233.426+Table7[[#This Row],[Reference_WVP_temperature°C]]))*0.00133322368</f>
        <v>2.8000798091486985E-2</v>
      </c>
      <c r="CX166">
        <f>Table7[[#This Row],[Reference_WVP_psat_bar]]*Table7[[#This Row],[Reference_WVP_RH_%]]</f>
        <v>2.3800678377763935</v>
      </c>
      <c r="CY166" t="s">
        <v>173</v>
      </c>
      <c r="CZ166" t="s">
        <v>173</v>
      </c>
      <c r="DA166" t="s">
        <v>173</v>
      </c>
      <c r="DB166">
        <f>Table7[[#This Row],[Reference_WVP_g·µm·m-2·d-1 ]]*Table7[[#This Row],[Reference_WVP_Δp_bar]]/100</f>
        <v>29875.32850765347</v>
      </c>
      <c r="DC166">
        <f>Table7[[#This Row],[Reference_WVP_temperature°C]]</f>
        <v>23</v>
      </c>
      <c r="DD166">
        <f>Table7[[#This Row],[Reference_WVP_RH_%]]</f>
        <v>85</v>
      </c>
      <c r="DE166" t="s">
        <v>476</v>
      </c>
      <c r="DF166" t="s">
        <v>172</v>
      </c>
      <c r="DG166" t="s">
        <v>173</v>
      </c>
      <c r="DH166" t="s">
        <v>501</v>
      </c>
    </row>
    <row r="167" spans="1:112">
      <c r="A167">
        <v>5</v>
      </c>
      <c r="B167" t="s">
        <v>491</v>
      </c>
      <c r="C167" t="s">
        <v>492</v>
      </c>
      <c r="D167">
        <v>2025</v>
      </c>
      <c r="E167" t="s">
        <v>493</v>
      </c>
      <c r="F167" t="s">
        <v>494</v>
      </c>
      <c r="G167" t="s">
        <v>454</v>
      </c>
      <c r="H167">
        <v>0.86</v>
      </c>
      <c r="I167" t="s">
        <v>173</v>
      </c>
      <c r="J167" t="s">
        <v>173</v>
      </c>
      <c r="K167" t="s">
        <v>173</v>
      </c>
      <c r="L167" t="s">
        <v>173</v>
      </c>
      <c r="M167" t="s">
        <v>173</v>
      </c>
      <c r="N167" t="s">
        <v>173</v>
      </c>
      <c r="O167" t="s">
        <v>173</v>
      </c>
      <c r="P167" t="s">
        <v>173</v>
      </c>
      <c r="Q167" t="s">
        <v>173</v>
      </c>
      <c r="R167" t="s">
        <v>173</v>
      </c>
      <c r="S167" t="s">
        <v>173</v>
      </c>
      <c r="T167" t="s">
        <v>173</v>
      </c>
      <c r="U167" t="s">
        <v>173</v>
      </c>
      <c r="V167" t="s">
        <v>173</v>
      </c>
      <c r="W167" t="s">
        <v>173</v>
      </c>
      <c r="X167" t="s">
        <v>173</v>
      </c>
      <c r="Y167" t="s">
        <v>173</v>
      </c>
      <c r="Z167" t="s">
        <v>173</v>
      </c>
      <c r="AA167" t="s">
        <v>173</v>
      </c>
      <c r="AB167" t="s">
        <v>173</v>
      </c>
      <c r="AC167" t="s">
        <v>173</v>
      </c>
      <c r="AD167" t="s">
        <v>173</v>
      </c>
      <c r="AE167" t="s">
        <v>173</v>
      </c>
      <c r="AF167" t="s">
        <v>173</v>
      </c>
      <c r="AG167" t="s">
        <v>173</v>
      </c>
      <c r="AH167" t="s">
        <v>173</v>
      </c>
      <c r="AI167" t="s">
        <v>173</v>
      </c>
      <c r="AJ167" t="s">
        <v>173</v>
      </c>
      <c r="AK167" t="s">
        <v>173</v>
      </c>
      <c r="AL167" t="s">
        <v>173</v>
      </c>
      <c r="AM167" t="s">
        <v>173</v>
      </c>
      <c r="AN167" t="s">
        <v>173</v>
      </c>
      <c r="AO167" t="s">
        <v>173</v>
      </c>
      <c r="AP167" t="s">
        <v>173</v>
      </c>
      <c r="AQ167" t="s">
        <v>173</v>
      </c>
      <c r="AR167" t="s">
        <v>173</v>
      </c>
      <c r="AS167" t="s">
        <v>173</v>
      </c>
      <c r="AT167" t="s">
        <v>173</v>
      </c>
      <c r="AU167" t="s">
        <v>173</v>
      </c>
      <c r="AV167" t="s">
        <v>173</v>
      </c>
      <c r="AW167" t="s">
        <v>173</v>
      </c>
      <c r="AX167" t="s">
        <v>173</v>
      </c>
      <c r="AY167" t="s">
        <v>173</v>
      </c>
      <c r="AZ167" t="s">
        <v>173</v>
      </c>
      <c r="BA167" t="s">
        <v>173</v>
      </c>
      <c r="BB167" t="s">
        <v>173</v>
      </c>
      <c r="BC167" t="s">
        <v>173</v>
      </c>
      <c r="BD167" t="s">
        <v>173</v>
      </c>
      <c r="BE167" t="s">
        <v>173</v>
      </c>
      <c r="BF167" t="s">
        <v>173</v>
      </c>
      <c r="BG167" t="s">
        <v>173</v>
      </c>
      <c r="BH167" t="s">
        <v>173</v>
      </c>
      <c r="BI167" t="s">
        <v>173</v>
      </c>
      <c r="BJ167" t="s">
        <v>173</v>
      </c>
      <c r="BK167" t="s">
        <v>173</v>
      </c>
      <c r="BL167" t="s">
        <v>173</v>
      </c>
      <c r="BM167" t="s">
        <v>173</v>
      </c>
      <c r="BN167" t="s">
        <v>173</v>
      </c>
      <c r="BO167" t="s">
        <v>173</v>
      </c>
      <c r="BP167" t="s">
        <v>173</v>
      </c>
      <c r="BQ167" t="s">
        <v>173</v>
      </c>
      <c r="BR167" t="s">
        <v>173</v>
      </c>
      <c r="BS167" t="s">
        <v>173</v>
      </c>
      <c r="BT167" t="s">
        <v>173</v>
      </c>
      <c r="BU167" t="s">
        <v>173</v>
      </c>
      <c r="BV167" t="s">
        <v>504</v>
      </c>
      <c r="BW167" t="s">
        <v>485</v>
      </c>
      <c r="BX167" t="s">
        <v>173</v>
      </c>
      <c r="BY167">
        <v>5.4999999999999997E-3</v>
      </c>
      <c r="BZ167" t="s">
        <v>499</v>
      </c>
      <c r="CA167">
        <f>_xlfn.XLOOKUP(Table7[[#This Row],[Reference_PO2_unit]],ConversionFactors!$B$13:$B$19,ConversionFactors!$S$13:$S$19)</f>
        <v>986.9</v>
      </c>
      <c r="CB167">
        <f>Table7[[#This Row],[Reference_PO2_value]]*Table7[[#This Row],[Reference_PO2_conversion_factor]]</f>
        <v>5.4279499999999992</v>
      </c>
      <c r="CC167">
        <v>23</v>
      </c>
      <c r="CD167">
        <v>0</v>
      </c>
      <c r="CE167">
        <f>Table7[[#This Row],[Reference_PO2_cm³·µm·m⁻²·d⁻¹·bar⁻¹ ]]/100</f>
        <v>5.4279499999999994E-2</v>
      </c>
      <c r="CF167">
        <f>Table7[[#This Row],[Reference_PO2_T_°C]]</f>
        <v>23</v>
      </c>
      <c r="CG167">
        <f>Table7[[#This Row],[Reference_PO2_RH_%]]</f>
        <v>0</v>
      </c>
      <c r="CH167" t="s">
        <v>173</v>
      </c>
      <c r="CI167" t="s">
        <v>173</v>
      </c>
      <c r="CJ167" t="s">
        <v>173</v>
      </c>
      <c r="CK167" t="s">
        <v>173</v>
      </c>
      <c r="CL167" t="s">
        <v>173</v>
      </c>
      <c r="CM167" t="s">
        <v>173</v>
      </c>
      <c r="CN167" t="s">
        <v>173</v>
      </c>
      <c r="CO167" t="s">
        <v>173</v>
      </c>
      <c r="CP167" t="s">
        <v>173</v>
      </c>
      <c r="CQ167">
        <v>2</v>
      </c>
      <c r="CR167" t="s">
        <v>500</v>
      </c>
      <c r="CS167">
        <f>_xlfn.XLOOKUP(Table7[[#This Row],[Reference_WVP_unit]],ConversionFactors!$B$3:$B$10,ConversionFactors!$S$3:$S$10)</f>
        <v>41841.004184100413</v>
      </c>
      <c r="CT167">
        <f>Table7[[#This Row],[Reference_WVP_value]]*Table7[[#This Row],[Reference_WVP_conversion_factor]]</f>
        <v>83682.008368200826</v>
      </c>
      <c r="CU167">
        <v>23</v>
      </c>
      <c r="CV167">
        <v>85</v>
      </c>
      <c r="CW167">
        <f>10^(8.07131-1730.63/(233.426+Table7[[#This Row],[Reference_WVP_temperature°C]]))*0.00133322368</f>
        <v>2.8000798091486985E-2</v>
      </c>
      <c r="CX167">
        <f>Table7[[#This Row],[Reference_WVP_psat_bar]]*Table7[[#This Row],[Reference_WVP_RH_%]]</f>
        <v>2.3800678377763935</v>
      </c>
      <c r="CY167" t="s">
        <v>173</v>
      </c>
      <c r="CZ167" t="s">
        <v>173</v>
      </c>
      <c r="DA167" t="s">
        <v>173</v>
      </c>
      <c r="DB167">
        <f>Table7[[#This Row],[Reference_WVP_g·µm·m-2·d-1 ]]*Table7[[#This Row],[Reference_WVP_Δp_bar]]/100</f>
        <v>1991.688567176898</v>
      </c>
      <c r="DC167">
        <f>Table7[[#This Row],[Reference_WVP_temperature°C]]</f>
        <v>23</v>
      </c>
      <c r="DD167">
        <f>Table7[[#This Row],[Reference_WVP_RH_%]]</f>
        <v>85</v>
      </c>
      <c r="DE167" t="s">
        <v>476</v>
      </c>
      <c r="DF167" t="s">
        <v>172</v>
      </c>
      <c r="DG167" t="s">
        <v>173</v>
      </c>
      <c r="DH167" t="s">
        <v>501</v>
      </c>
    </row>
    <row r="168" spans="1:112">
      <c r="A168">
        <v>5</v>
      </c>
      <c r="B168" t="s">
        <v>491</v>
      </c>
      <c r="C168" t="s">
        <v>492</v>
      </c>
      <c r="D168">
        <v>2025</v>
      </c>
      <c r="E168" t="s">
        <v>493</v>
      </c>
      <c r="F168" t="s">
        <v>494</v>
      </c>
      <c r="G168" t="s">
        <v>454</v>
      </c>
      <c r="H168">
        <v>0.86</v>
      </c>
      <c r="I168" t="s">
        <v>173</v>
      </c>
      <c r="J168" t="s">
        <v>173</v>
      </c>
      <c r="K168" t="s">
        <v>173</v>
      </c>
      <c r="L168" t="s">
        <v>173</v>
      </c>
      <c r="M168" t="s">
        <v>173</v>
      </c>
      <c r="N168" t="s">
        <v>173</v>
      </c>
      <c r="O168" t="s">
        <v>173</v>
      </c>
      <c r="P168" t="s">
        <v>173</v>
      </c>
      <c r="Q168" t="s">
        <v>173</v>
      </c>
      <c r="R168" t="s">
        <v>173</v>
      </c>
      <c r="S168" t="s">
        <v>173</v>
      </c>
      <c r="T168" t="s">
        <v>173</v>
      </c>
      <c r="U168" t="s">
        <v>173</v>
      </c>
      <c r="V168" t="s">
        <v>173</v>
      </c>
      <c r="W168" t="s">
        <v>173</v>
      </c>
      <c r="X168" t="s">
        <v>173</v>
      </c>
      <c r="Y168" t="s">
        <v>173</v>
      </c>
      <c r="Z168" t="s">
        <v>173</v>
      </c>
      <c r="AA168" t="s">
        <v>173</v>
      </c>
      <c r="AB168" t="s">
        <v>173</v>
      </c>
      <c r="AC168" t="s">
        <v>173</v>
      </c>
      <c r="AD168" t="s">
        <v>173</v>
      </c>
      <c r="AE168" t="s">
        <v>173</v>
      </c>
      <c r="AF168" t="s">
        <v>173</v>
      </c>
      <c r="AG168" t="s">
        <v>173</v>
      </c>
      <c r="AH168" t="s">
        <v>173</v>
      </c>
      <c r="AI168" t="s">
        <v>173</v>
      </c>
      <c r="AJ168" t="s">
        <v>173</v>
      </c>
      <c r="AK168" t="s">
        <v>173</v>
      </c>
      <c r="AL168" t="s">
        <v>173</v>
      </c>
      <c r="AM168" t="s">
        <v>173</v>
      </c>
      <c r="AN168" t="s">
        <v>173</v>
      </c>
      <c r="AO168" t="s">
        <v>173</v>
      </c>
      <c r="AP168" t="s">
        <v>173</v>
      </c>
      <c r="AQ168" t="s">
        <v>173</v>
      </c>
      <c r="AR168" t="s">
        <v>173</v>
      </c>
      <c r="AS168" t="s">
        <v>173</v>
      </c>
      <c r="AT168" t="s">
        <v>173</v>
      </c>
      <c r="AU168" t="s">
        <v>173</v>
      </c>
      <c r="AV168" t="s">
        <v>173</v>
      </c>
      <c r="AW168" t="s">
        <v>173</v>
      </c>
      <c r="AX168" t="s">
        <v>173</v>
      </c>
      <c r="AY168" t="s">
        <v>173</v>
      </c>
      <c r="AZ168" t="s">
        <v>173</v>
      </c>
      <c r="BA168" t="s">
        <v>173</v>
      </c>
      <c r="BB168" t="s">
        <v>173</v>
      </c>
      <c r="BC168" t="s">
        <v>173</v>
      </c>
      <c r="BD168" t="s">
        <v>173</v>
      </c>
      <c r="BE168" t="s">
        <v>173</v>
      </c>
      <c r="BF168" t="s">
        <v>173</v>
      </c>
      <c r="BG168" t="s">
        <v>173</v>
      </c>
      <c r="BH168" t="s">
        <v>173</v>
      </c>
      <c r="BI168" t="s">
        <v>173</v>
      </c>
      <c r="BJ168" t="s">
        <v>173</v>
      </c>
      <c r="BK168" t="s">
        <v>173</v>
      </c>
      <c r="BL168" t="s">
        <v>173</v>
      </c>
      <c r="BM168" t="s">
        <v>173</v>
      </c>
      <c r="BN168" t="s">
        <v>173</v>
      </c>
      <c r="BO168" t="s">
        <v>173</v>
      </c>
      <c r="BP168" t="s">
        <v>173</v>
      </c>
      <c r="BQ168" t="s">
        <v>173</v>
      </c>
      <c r="BR168" t="s">
        <v>173</v>
      </c>
      <c r="BS168" t="s">
        <v>173</v>
      </c>
      <c r="BT168" t="s">
        <v>173</v>
      </c>
      <c r="BU168" t="s">
        <v>173</v>
      </c>
      <c r="BV168" t="s">
        <v>488</v>
      </c>
      <c r="BW168" t="s">
        <v>485</v>
      </c>
      <c r="BX168" t="s">
        <v>173</v>
      </c>
      <c r="BY168">
        <v>0.155</v>
      </c>
      <c r="BZ168" t="s">
        <v>499</v>
      </c>
      <c r="CA168">
        <f>_xlfn.XLOOKUP(Table7[[#This Row],[Reference_PO2_unit]],ConversionFactors!$B$13:$B$19,ConversionFactors!$S$13:$S$19)</f>
        <v>986.9</v>
      </c>
      <c r="CB168">
        <f>Table7[[#This Row],[Reference_PO2_value]]*Table7[[#This Row],[Reference_PO2_conversion_factor]]</f>
        <v>152.96949999999998</v>
      </c>
      <c r="CC168">
        <v>23</v>
      </c>
      <c r="CD168">
        <v>50</v>
      </c>
      <c r="CE168">
        <f>Table7[[#This Row],[Reference_PO2_cm³·µm·m⁻²·d⁻¹·bar⁻¹ ]]/100</f>
        <v>1.5296949999999998</v>
      </c>
      <c r="CF168">
        <f>Table7[[#This Row],[Reference_PO2_T_°C]]</f>
        <v>23</v>
      </c>
      <c r="CG168">
        <f>Table7[[#This Row],[Reference_PO2_RH_%]]</f>
        <v>50</v>
      </c>
      <c r="CH168" t="s">
        <v>173</v>
      </c>
      <c r="CI168" t="s">
        <v>173</v>
      </c>
      <c r="CJ168" t="s">
        <v>173</v>
      </c>
      <c r="CK168" t="s">
        <v>173</v>
      </c>
      <c r="CL168" t="s">
        <v>173</v>
      </c>
      <c r="CM168" t="s">
        <v>173</v>
      </c>
      <c r="CN168" t="s">
        <v>173</v>
      </c>
      <c r="CO168" t="s">
        <v>173</v>
      </c>
      <c r="CP168" t="s">
        <v>173</v>
      </c>
      <c r="CQ168">
        <v>0.1</v>
      </c>
      <c r="CR168" t="s">
        <v>500</v>
      </c>
      <c r="CS168">
        <f>_xlfn.XLOOKUP(Table7[[#This Row],[Reference_WVP_unit]],ConversionFactors!$B$3:$B$10,ConversionFactors!$S$3:$S$10)</f>
        <v>41841.004184100413</v>
      </c>
      <c r="CT168">
        <f>Table7[[#This Row],[Reference_WVP_value]]*Table7[[#This Row],[Reference_WVP_conversion_factor]]</f>
        <v>4184.1004184100411</v>
      </c>
      <c r="CU168">
        <v>23</v>
      </c>
      <c r="CV168">
        <v>85</v>
      </c>
      <c r="CW168">
        <f>10^(8.07131-1730.63/(233.426+Table7[[#This Row],[Reference_WVP_temperature°C]]))*0.00133322368</f>
        <v>2.8000798091486985E-2</v>
      </c>
      <c r="CX168">
        <f>Table7[[#This Row],[Reference_WVP_psat_bar]]*Table7[[#This Row],[Reference_WVP_RH_%]]</f>
        <v>2.3800678377763935</v>
      </c>
      <c r="CY168" t="s">
        <v>173</v>
      </c>
      <c r="CZ168" t="s">
        <v>173</v>
      </c>
      <c r="DA168" t="s">
        <v>173</v>
      </c>
      <c r="DB168">
        <f>Table7[[#This Row],[Reference_WVP_g·µm·m-2·d-1 ]]*Table7[[#This Row],[Reference_WVP_Δp_bar]]/100</f>
        <v>99.584428358844903</v>
      </c>
      <c r="DC168">
        <f>Table7[[#This Row],[Reference_WVP_temperature°C]]</f>
        <v>23</v>
      </c>
      <c r="DD168">
        <f>Table7[[#This Row],[Reference_WVP_RH_%]]</f>
        <v>85</v>
      </c>
      <c r="DE168" t="s">
        <v>476</v>
      </c>
      <c r="DF168" t="s">
        <v>172</v>
      </c>
      <c r="DG168" t="s">
        <v>173</v>
      </c>
      <c r="DH168" t="s">
        <v>501</v>
      </c>
    </row>
    <row r="169" spans="1:112">
      <c r="A169">
        <v>18</v>
      </c>
      <c r="B169" t="s">
        <v>505</v>
      </c>
      <c r="C169" t="s">
        <v>506</v>
      </c>
      <c r="D169">
        <v>2025</v>
      </c>
      <c r="E169" t="s">
        <v>253</v>
      </c>
      <c r="F169" t="s">
        <v>507</v>
      </c>
      <c r="G169" t="s">
        <v>454</v>
      </c>
      <c r="H169">
        <v>0.86</v>
      </c>
      <c r="I169" t="s">
        <v>173</v>
      </c>
      <c r="J169" t="s">
        <v>173</v>
      </c>
      <c r="K169" t="s">
        <v>173</v>
      </c>
      <c r="L169" t="s">
        <v>173</v>
      </c>
      <c r="M169" t="s">
        <v>173</v>
      </c>
      <c r="N169" t="s">
        <v>173</v>
      </c>
      <c r="O169" t="s">
        <v>173</v>
      </c>
      <c r="P169" t="s">
        <v>173</v>
      </c>
      <c r="Q169" t="s">
        <v>173</v>
      </c>
      <c r="R169" t="s">
        <v>173</v>
      </c>
      <c r="S169" t="s">
        <v>173</v>
      </c>
      <c r="T169" t="s">
        <v>173</v>
      </c>
      <c r="U169" t="s">
        <v>173</v>
      </c>
      <c r="V169" t="s">
        <v>173</v>
      </c>
      <c r="W169" t="s">
        <v>173</v>
      </c>
      <c r="X169" t="s">
        <v>173</v>
      </c>
      <c r="Y169" t="s">
        <v>173</v>
      </c>
      <c r="Z169" t="s">
        <v>173</v>
      </c>
      <c r="AA169" t="s">
        <v>173</v>
      </c>
      <c r="AB169" t="s">
        <v>173</v>
      </c>
      <c r="AC169" t="s">
        <v>173</v>
      </c>
      <c r="AD169" t="s">
        <v>173</v>
      </c>
      <c r="AE169" t="s">
        <v>173</v>
      </c>
      <c r="AF169" t="s">
        <v>173</v>
      </c>
      <c r="AG169" t="s">
        <v>173</v>
      </c>
      <c r="AH169" t="s">
        <v>173</v>
      </c>
      <c r="AI169" t="s">
        <v>173</v>
      </c>
      <c r="AJ169" t="s">
        <v>173</v>
      </c>
      <c r="AK169" t="s">
        <v>173</v>
      </c>
      <c r="AL169" t="s">
        <v>173</v>
      </c>
      <c r="AM169" t="s">
        <v>173</v>
      </c>
      <c r="AN169" t="s">
        <v>173</v>
      </c>
      <c r="AO169" t="s">
        <v>173</v>
      </c>
      <c r="AP169" t="s">
        <v>173</v>
      </c>
      <c r="AQ169" t="s">
        <v>173</v>
      </c>
      <c r="AR169" t="s">
        <v>173</v>
      </c>
      <c r="AS169" t="s">
        <v>173</v>
      </c>
      <c r="AT169" t="s">
        <v>173</v>
      </c>
      <c r="AU169" t="s">
        <v>173</v>
      </c>
      <c r="AV169" t="s">
        <v>173</v>
      </c>
      <c r="AW169" t="s">
        <v>173</v>
      </c>
      <c r="AX169" t="s">
        <v>173</v>
      </c>
      <c r="AY169" t="s">
        <v>173</v>
      </c>
      <c r="AZ169" t="s">
        <v>173</v>
      </c>
      <c r="BA169" t="s">
        <v>173</v>
      </c>
      <c r="BB169" t="s">
        <v>173</v>
      </c>
      <c r="BC169" t="s">
        <v>173</v>
      </c>
      <c r="BD169" t="s">
        <v>173</v>
      </c>
      <c r="BE169" t="s">
        <v>173</v>
      </c>
      <c r="BF169" t="s">
        <v>173</v>
      </c>
      <c r="BG169" t="s">
        <v>173</v>
      </c>
      <c r="BH169" t="s">
        <v>173</v>
      </c>
      <c r="BI169" t="s">
        <v>173</v>
      </c>
      <c r="BJ169" t="s">
        <v>173</v>
      </c>
      <c r="BK169" t="s">
        <v>173</v>
      </c>
      <c r="BL169" t="s">
        <v>173</v>
      </c>
      <c r="BM169" t="s">
        <v>173</v>
      </c>
      <c r="BN169" t="s">
        <v>173</v>
      </c>
      <c r="BO169" t="s">
        <v>173</v>
      </c>
      <c r="BP169" t="s">
        <v>173</v>
      </c>
      <c r="BQ169" t="s">
        <v>173</v>
      </c>
      <c r="BR169" t="s">
        <v>173</v>
      </c>
      <c r="BS169" t="s">
        <v>173</v>
      </c>
      <c r="BT169" t="s">
        <v>173</v>
      </c>
      <c r="BU169" t="s">
        <v>173</v>
      </c>
      <c r="BV169" t="s">
        <v>508</v>
      </c>
      <c r="BW169" t="s">
        <v>473</v>
      </c>
      <c r="BX169">
        <v>25</v>
      </c>
      <c r="BY169" t="s">
        <v>173</v>
      </c>
      <c r="BZ169" t="s">
        <v>173</v>
      </c>
      <c r="CA169" t="s">
        <v>173</v>
      </c>
      <c r="CB169" t="s">
        <v>173</v>
      </c>
      <c r="CC169" t="s">
        <v>173</v>
      </c>
      <c r="CD169" t="s">
        <v>173</v>
      </c>
      <c r="CE169" t="s">
        <v>173</v>
      </c>
      <c r="CF169" t="s">
        <v>173</v>
      </c>
      <c r="CG169" t="s">
        <v>173</v>
      </c>
      <c r="CH169" t="s">
        <v>173</v>
      </c>
      <c r="CI169" t="s">
        <v>173</v>
      </c>
      <c r="CJ169" t="s">
        <v>173</v>
      </c>
      <c r="CK169" t="s">
        <v>173</v>
      </c>
      <c r="CL169" t="s">
        <v>173</v>
      </c>
      <c r="CM169" t="s">
        <v>173</v>
      </c>
      <c r="CN169" t="s">
        <v>173</v>
      </c>
      <c r="CO169" t="s">
        <v>173</v>
      </c>
      <c r="CP169" t="s">
        <v>173</v>
      </c>
      <c r="CQ169" t="s">
        <v>173</v>
      </c>
      <c r="CR169" t="s">
        <v>173</v>
      </c>
      <c r="CS169" t="s">
        <v>173</v>
      </c>
      <c r="CT169" t="s">
        <v>173</v>
      </c>
      <c r="CU169" t="s">
        <v>173</v>
      </c>
      <c r="CV169" t="s">
        <v>173</v>
      </c>
      <c r="CW169" t="s">
        <v>173</v>
      </c>
      <c r="CX169" t="s">
        <v>173</v>
      </c>
      <c r="CY169">
        <v>6</v>
      </c>
      <c r="CZ169" t="s">
        <v>509</v>
      </c>
      <c r="DA169">
        <f>_xlfn.XLOOKUP(Table7[[#This Row],[Reference_WVTR_unit]],ConversionFactors!$B$11:$B$12,ConversionFactors!$S$11:$S$12)</f>
        <v>1</v>
      </c>
      <c r="DB169">
        <f>Table7[[#This Row],[Reference_WVTR_value]]*Table7[[#This Row],[Reference_WVTR_conversion_factor]]*Table7[[#This Row],[Reference_thickness_µm]]/100</f>
        <v>1.5</v>
      </c>
      <c r="DC169">
        <v>25</v>
      </c>
      <c r="DD169">
        <v>75</v>
      </c>
      <c r="DE169" t="s">
        <v>510</v>
      </c>
      <c r="DF169" t="s">
        <v>454</v>
      </c>
      <c r="DG169" t="s">
        <v>511</v>
      </c>
      <c r="DH169" t="s">
        <v>173</v>
      </c>
    </row>
    <row r="170" spans="1:112">
      <c r="A170">
        <v>18</v>
      </c>
      <c r="B170" t="s">
        <v>505</v>
      </c>
      <c r="C170" t="s">
        <v>506</v>
      </c>
      <c r="D170">
        <v>2025</v>
      </c>
      <c r="E170" t="s">
        <v>253</v>
      </c>
      <c r="F170" t="s">
        <v>507</v>
      </c>
      <c r="G170" t="s">
        <v>454</v>
      </c>
      <c r="H170">
        <v>0.86</v>
      </c>
      <c r="I170" t="s">
        <v>173</v>
      </c>
      <c r="J170" t="s">
        <v>173</v>
      </c>
      <c r="K170" t="s">
        <v>173</v>
      </c>
      <c r="L170" t="s">
        <v>173</v>
      </c>
      <c r="M170" t="s">
        <v>173</v>
      </c>
      <c r="N170" t="s">
        <v>173</v>
      </c>
      <c r="O170" t="s">
        <v>173</v>
      </c>
      <c r="P170" t="s">
        <v>173</v>
      </c>
      <c r="Q170" t="s">
        <v>173</v>
      </c>
      <c r="R170" t="s">
        <v>173</v>
      </c>
      <c r="S170" t="s">
        <v>173</v>
      </c>
      <c r="T170" t="s">
        <v>173</v>
      </c>
      <c r="U170" t="s">
        <v>173</v>
      </c>
      <c r="V170" t="s">
        <v>173</v>
      </c>
      <c r="W170" t="s">
        <v>173</v>
      </c>
      <c r="X170" t="s">
        <v>173</v>
      </c>
      <c r="Y170" t="s">
        <v>173</v>
      </c>
      <c r="Z170" t="s">
        <v>173</v>
      </c>
      <c r="AA170" t="s">
        <v>173</v>
      </c>
      <c r="AB170" t="s">
        <v>173</v>
      </c>
      <c r="AC170" t="s">
        <v>173</v>
      </c>
      <c r="AD170" t="s">
        <v>173</v>
      </c>
      <c r="AE170" t="s">
        <v>173</v>
      </c>
      <c r="AF170" t="s">
        <v>173</v>
      </c>
      <c r="AG170" t="s">
        <v>173</v>
      </c>
      <c r="AH170" t="s">
        <v>173</v>
      </c>
      <c r="AI170" t="s">
        <v>173</v>
      </c>
      <c r="AJ170" t="s">
        <v>173</v>
      </c>
      <c r="AK170" t="s">
        <v>173</v>
      </c>
      <c r="AL170" t="s">
        <v>173</v>
      </c>
      <c r="AM170" t="s">
        <v>173</v>
      </c>
      <c r="AN170" t="s">
        <v>173</v>
      </c>
      <c r="AO170" t="s">
        <v>173</v>
      </c>
      <c r="AP170" t="s">
        <v>173</v>
      </c>
      <c r="AQ170" t="s">
        <v>173</v>
      </c>
      <c r="AR170" t="s">
        <v>173</v>
      </c>
      <c r="AS170" t="s">
        <v>173</v>
      </c>
      <c r="AT170" t="s">
        <v>173</v>
      </c>
      <c r="AU170" t="s">
        <v>173</v>
      </c>
      <c r="AV170" t="s">
        <v>173</v>
      </c>
      <c r="AW170" t="s">
        <v>173</v>
      </c>
      <c r="AX170" t="s">
        <v>173</v>
      </c>
      <c r="AY170" t="s">
        <v>173</v>
      </c>
      <c r="AZ170" t="s">
        <v>173</v>
      </c>
      <c r="BA170" t="s">
        <v>173</v>
      </c>
      <c r="BB170" t="s">
        <v>173</v>
      </c>
      <c r="BC170" t="s">
        <v>173</v>
      </c>
      <c r="BD170" t="s">
        <v>173</v>
      </c>
      <c r="BE170" t="s">
        <v>173</v>
      </c>
      <c r="BF170" t="s">
        <v>173</v>
      </c>
      <c r="BG170" t="s">
        <v>173</v>
      </c>
      <c r="BH170" t="s">
        <v>173</v>
      </c>
      <c r="BI170" t="s">
        <v>173</v>
      </c>
      <c r="BJ170" t="s">
        <v>173</v>
      </c>
      <c r="BK170" t="s">
        <v>173</v>
      </c>
      <c r="BL170" t="s">
        <v>173</v>
      </c>
      <c r="BM170" t="s">
        <v>173</v>
      </c>
      <c r="BN170" t="s">
        <v>173</v>
      </c>
      <c r="BO170" t="s">
        <v>173</v>
      </c>
      <c r="BP170" t="s">
        <v>173</v>
      </c>
      <c r="BQ170" t="s">
        <v>173</v>
      </c>
      <c r="BR170" t="s">
        <v>173</v>
      </c>
      <c r="BS170" t="s">
        <v>173</v>
      </c>
      <c r="BT170" t="s">
        <v>173</v>
      </c>
      <c r="BU170" t="s">
        <v>173</v>
      </c>
      <c r="BV170" t="s">
        <v>508</v>
      </c>
      <c r="BW170" t="s">
        <v>473</v>
      </c>
      <c r="BX170">
        <v>25</v>
      </c>
      <c r="BY170" t="s">
        <v>173</v>
      </c>
      <c r="BZ170" t="s">
        <v>173</v>
      </c>
      <c r="CA170" t="s">
        <v>173</v>
      </c>
      <c r="CB170" t="s">
        <v>173</v>
      </c>
      <c r="CC170" t="s">
        <v>173</v>
      </c>
      <c r="CD170" t="s">
        <v>173</v>
      </c>
      <c r="CE170" t="s">
        <v>173</v>
      </c>
      <c r="CF170" t="s">
        <v>173</v>
      </c>
      <c r="CG170" t="s">
        <v>173</v>
      </c>
      <c r="CH170" t="s">
        <v>173</v>
      </c>
      <c r="CI170" t="s">
        <v>173</v>
      </c>
      <c r="CJ170" t="s">
        <v>173</v>
      </c>
      <c r="CK170" t="s">
        <v>173</v>
      </c>
      <c r="CL170" t="s">
        <v>173</v>
      </c>
      <c r="CM170" t="s">
        <v>173</v>
      </c>
      <c r="CN170" t="s">
        <v>173</v>
      </c>
      <c r="CO170" t="s">
        <v>173</v>
      </c>
      <c r="CP170" t="s">
        <v>173</v>
      </c>
      <c r="CQ170" t="s">
        <v>173</v>
      </c>
      <c r="CR170" t="s">
        <v>173</v>
      </c>
      <c r="CS170" t="s">
        <v>173</v>
      </c>
      <c r="CT170" t="s">
        <v>173</v>
      </c>
      <c r="CU170" t="s">
        <v>173</v>
      </c>
      <c r="CV170" t="s">
        <v>173</v>
      </c>
      <c r="CW170" t="s">
        <v>173</v>
      </c>
      <c r="CX170" t="s">
        <v>173</v>
      </c>
      <c r="CY170">
        <v>6</v>
      </c>
      <c r="CZ170" t="s">
        <v>509</v>
      </c>
      <c r="DA170">
        <f>_xlfn.XLOOKUP(Table7[[#This Row],[Reference_WVTR_unit]],ConversionFactors!$B$11:$B$12,ConversionFactors!$S$11:$S$12)</f>
        <v>1</v>
      </c>
      <c r="DB170">
        <f>Table7[[#This Row],[Reference_WVTR_value]]*Table7[[#This Row],[Reference_WVTR_conversion_factor]]*Table7[[#This Row],[Reference_thickness_µm]]/100</f>
        <v>1.5</v>
      </c>
      <c r="DC170">
        <v>25</v>
      </c>
      <c r="DD170">
        <v>75</v>
      </c>
      <c r="DE170" t="s">
        <v>510</v>
      </c>
      <c r="DF170" t="s">
        <v>454</v>
      </c>
      <c r="DG170" t="s">
        <v>511</v>
      </c>
      <c r="DH170" t="s">
        <v>173</v>
      </c>
    </row>
    <row r="171" spans="1:112">
      <c r="A171">
        <v>18</v>
      </c>
      <c r="B171" t="s">
        <v>505</v>
      </c>
      <c r="C171" t="s">
        <v>506</v>
      </c>
      <c r="D171">
        <v>2025</v>
      </c>
      <c r="E171" t="s">
        <v>253</v>
      </c>
      <c r="F171" t="s">
        <v>507</v>
      </c>
      <c r="G171" t="s">
        <v>454</v>
      </c>
      <c r="H171">
        <v>0.86</v>
      </c>
      <c r="I171" t="s">
        <v>173</v>
      </c>
      <c r="J171" t="s">
        <v>512</v>
      </c>
      <c r="K171" t="s">
        <v>512</v>
      </c>
      <c r="L171" t="s">
        <v>496</v>
      </c>
      <c r="M171" t="s">
        <v>454</v>
      </c>
      <c r="N171" t="s">
        <v>454</v>
      </c>
      <c r="O171" t="s">
        <v>173</v>
      </c>
      <c r="P171" t="s">
        <v>173</v>
      </c>
      <c r="Q171" t="s">
        <v>459</v>
      </c>
      <c r="R171">
        <v>24</v>
      </c>
      <c r="S171">
        <v>2</v>
      </c>
      <c r="T171">
        <v>10</v>
      </c>
      <c r="U171" t="s">
        <v>173</v>
      </c>
      <c r="V171" t="s">
        <v>173</v>
      </c>
      <c r="W171" t="s">
        <v>173</v>
      </c>
      <c r="X171" t="s">
        <v>173</v>
      </c>
      <c r="Y171" t="s">
        <v>173</v>
      </c>
      <c r="Z171" t="s">
        <v>173</v>
      </c>
      <c r="AA171" t="s">
        <v>173</v>
      </c>
      <c r="AB171" t="s">
        <v>173</v>
      </c>
      <c r="AC171" t="s">
        <v>173</v>
      </c>
      <c r="AD171" t="s">
        <v>173</v>
      </c>
      <c r="AE171" t="s">
        <v>173</v>
      </c>
      <c r="AF171" t="s">
        <v>173</v>
      </c>
      <c r="AG171" t="s">
        <v>173</v>
      </c>
      <c r="AH171" t="s">
        <v>173</v>
      </c>
      <c r="AI171" t="s">
        <v>173</v>
      </c>
      <c r="AJ171" t="s">
        <v>173</v>
      </c>
      <c r="AK171" t="s">
        <v>173</v>
      </c>
      <c r="AL171" t="s">
        <v>173</v>
      </c>
      <c r="AM171" t="s">
        <v>173</v>
      </c>
      <c r="AN171" t="s">
        <v>173</v>
      </c>
      <c r="AO171" t="s">
        <v>173</v>
      </c>
      <c r="AP171" t="s">
        <v>173</v>
      </c>
      <c r="AQ171" t="s">
        <v>173</v>
      </c>
      <c r="AR171" t="s">
        <v>173</v>
      </c>
      <c r="AS171" t="s">
        <v>173</v>
      </c>
      <c r="AT171" t="s">
        <v>173</v>
      </c>
      <c r="AU171" t="s">
        <v>173</v>
      </c>
      <c r="AV171" t="s">
        <v>173</v>
      </c>
      <c r="AW171" t="s">
        <v>173</v>
      </c>
      <c r="AX171" t="s">
        <v>173</v>
      </c>
      <c r="AY171" t="s">
        <v>173</v>
      </c>
      <c r="AZ171" t="s">
        <v>173</v>
      </c>
      <c r="BA171" t="s">
        <v>173</v>
      </c>
      <c r="BB171" t="s">
        <v>173</v>
      </c>
      <c r="BC171" t="s">
        <v>173</v>
      </c>
      <c r="BD171" t="s">
        <v>173</v>
      </c>
      <c r="BE171" t="s">
        <v>173</v>
      </c>
      <c r="BF171" t="s">
        <v>173</v>
      </c>
      <c r="BG171" t="s">
        <v>173</v>
      </c>
      <c r="BH171" t="s">
        <v>173</v>
      </c>
      <c r="BI171" t="s">
        <v>173</v>
      </c>
      <c r="BJ171" t="s">
        <v>173</v>
      </c>
      <c r="BK171" t="s">
        <v>173</v>
      </c>
      <c r="BL171">
        <v>1350</v>
      </c>
      <c r="BM171">
        <v>294</v>
      </c>
      <c r="BN171" t="s">
        <v>509</v>
      </c>
      <c r="BO171">
        <f>_xlfn.XLOOKUP(Table7[[#This Row],[WVTR_unit]],ConversionFactors!$B$11:$B$12,ConversionFactors!$S$11:$S$12)</f>
        <v>1</v>
      </c>
      <c r="BP171">
        <f>Table7[[#This Row],[WVTR_value]]*Table7[[#This Row],[WVTR_conversion_factor]]*Table7[[#This Row],[Film_thickness_µm]]/100</f>
        <v>324</v>
      </c>
      <c r="BQ171">
        <f>Table7[[#This Row],[WVTR100_g·m-2·d-1 ]]*SQRT((Table7[[#This Row],[WVTR_SD]]/Table7[[#This Row],[WVTR_value]])^2+(Table7[[#This Row],[Film_thickness_SD_µm]]/Table7[[#This Row],[Film_thickness_µm]])^2)</f>
        <v>75.549411645624346</v>
      </c>
      <c r="BR171" t="s">
        <v>461</v>
      </c>
      <c r="BS171">
        <v>23</v>
      </c>
      <c r="BT171">
        <v>50</v>
      </c>
      <c r="BU171">
        <v>3</v>
      </c>
      <c r="BV171" t="s">
        <v>173</v>
      </c>
      <c r="BX171" t="s">
        <v>173</v>
      </c>
      <c r="BY171" t="s">
        <v>173</v>
      </c>
      <c r="BZ171" t="s">
        <v>173</v>
      </c>
      <c r="CA171" t="s">
        <v>173</v>
      </c>
      <c r="CB171" t="s">
        <v>173</v>
      </c>
      <c r="CC171" t="s">
        <v>173</v>
      </c>
      <c r="CD171" t="s">
        <v>173</v>
      </c>
      <c r="CE171" t="s">
        <v>173</v>
      </c>
      <c r="CF171" t="s">
        <v>173</v>
      </c>
      <c r="CG171" t="s">
        <v>173</v>
      </c>
      <c r="CH171" t="s">
        <v>173</v>
      </c>
      <c r="CI171" t="s">
        <v>173</v>
      </c>
      <c r="CJ171" t="s">
        <v>173</v>
      </c>
      <c r="CK171" t="s">
        <v>173</v>
      </c>
      <c r="CL171" t="s">
        <v>173</v>
      </c>
      <c r="CM171" t="s">
        <v>173</v>
      </c>
      <c r="CN171" t="s">
        <v>173</v>
      </c>
      <c r="CO171" t="s">
        <v>173</v>
      </c>
      <c r="CP171" t="s">
        <v>173</v>
      </c>
      <c r="CQ171" t="s">
        <v>173</v>
      </c>
      <c r="CR171" t="s">
        <v>173</v>
      </c>
      <c r="CS171" t="s">
        <v>173</v>
      </c>
      <c r="CT171" t="s">
        <v>173</v>
      </c>
      <c r="CU171" t="s">
        <v>173</v>
      </c>
      <c r="CV171" t="s">
        <v>173</v>
      </c>
      <c r="CW171" t="s">
        <v>173</v>
      </c>
      <c r="CX171" t="s">
        <v>173</v>
      </c>
      <c r="CY171" t="s">
        <v>173</v>
      </c>
      <c r="CZ171" t="s">
        <v>173</v>
      </c>
      <c r="DA171" t="s">
        <v>173</v>
      </c>
      <c r="DB171" t="s">
        <v>173</v>
      </c>
      <c r="DC171" t="s">
        <v>173</v>
      </c>
      <c r="DD171" t="s">
        <v>173</v>
      </c>
      <c r="DE171" t="s">
        <v>173</v>
      </c>
      <c r="DF171" t="s">
        <v>454</v>
      </c>
      <c r="DG171" t="s">
        <v>511</v>
      </c>
      <c r="DH171" t="s">
        <v>173</v>
      </c>
    </row>
    <row r="172" spans="1:112">
      <c r="A172">
        <v>18</v>
      </c>
      <c r="B172" t="s">
        <v>505</v>
      </c>
      <c r="C172" t="s">
        <v>506</v>
      </c>
      <c r="D172">
        <v>2025</v>
      </c>
      <c r="E172" t="s">
        <v>253</v>
      </c>
      <c r="F172" t="s">
        <v>507</v>
      </c>
      <c r="G172" t="s">
        <v>454</v>
      </c>
      <c r="H172">
        <v>0.86</v>
      </c>
      <c r="I172" t="s">
        <v>173</v>
      </c>
      <c r="J172" t="s">
        <v>513</v>
      </c>
      <c r="K172" t="s">
        <v>512</v>
      </c>
      <c r="L172" t="s">
        <v>496</v>
      </c>
      <c r="M172" t="s">
        <v>454</v>
      </c>
      <c r="N172" t="s">
        <v>454</v>
      </c>
      <c r="O172" t="s">
        <v>173</v>
      </c>
      <c r="P172" t="s">
        <v>173</v>
      </c>
      <c r="Q172" t="s">
        <v>459</v>
      </c>
      <c r="R172">
        <v>35</v>
      </c>
      <c r="S172">
        <v>4</v>
      </c>
      <c r="T172">
        <v>10</v>
      </c>
      <c r="U172" t="s">
        <v>173</v>
      </c>
      <c r="V172" t="s">
        <v>173</v>
      </c>
      <c r="W172" t="s">
        <v>173</v>
      </c>
      <c r="X172" t="s">
        <v>173</v>
      </c>
      <c r="Y172" t="s">
        <v>173</v>
      </c>
      <c r="Z172" t="s">
        <v>173</v>
      </c>
      <c r="AA172" t="s">
        <v>173</v>
      </c>
      <c r="AB172" t="s">
        <v>173</v>
      </c>
      <c r="AC172" t="s">
        <v>173</v>
      </c>
      <c r="AD172" t="s">
        <v>173</v>
      </c>
      <c r="AE172" t="s">
        <v>173</v>
      </c>
      <c r="AF172" t="s">
        <v>173</v>
      </c>
      <c r="AG172" t="s">
        <v>173</v>
      </c>
      <c r="AH172" t="s">
        <v>173</v>
      </c>
      <c r="AI172" t="s">
        <v>173</v>
      </c>
      <c r="AJ172" t="s">
        <v>173</v>
      </c>
      <c r="AK172" t="s">
        <v>173</v>
      </c>
      <c r="AL172" t="s">
        <v>173</v>
      </c>
      <c r="AM172" t="s">
        <v>173</v>
      </c>
      <c r="AN172" t="s">
        <v>173</v>
      </c>
      <c r="AO172" t="s">
        <v>173</v>
      </c>
      <c r="AP172" t="s">
        <v>173</v>
      </c>
      <c r="AQ172" t="s">
        <v>173</v>
      </c>
      <c r="AR172" t="s">
        <v>173</v>
      </c>
      <c r="AS172" t="s">
        <v>173</v>
      </c>
      <c r="AT172" t="s">
        <v>173</v>
      </c>
      <c r="AU172" t="s">
        <v>173</v>
      </c>
      <c r="AV172" t="s">
        <v>173</v>
      </c>
      <c r="AW172" t="s">
        <v>173</v>
      </c>
      <c r="AX172" t="s">
        <v>173</v>
      </c>
      <c r="AY172" t="s">
        <v>173</v>
      </c>
      <c r="AZ172" t="s">
        <v>173</v>
      </c>
      <c r="BA172" t="s">
        <v>173</v>
      </c>
      <c r="BB172" t="s">
        <v>173</v>
      </c>
      <c r="BC172" t="s">
        <v>173</v>
      </c>
      <c r="BD172" t="s">
        <v>173</v>
      </c>
      <c r="BE172" t="s">
        <v>173</v>
      </c>
      <c r="BF172" t="s">
        <v>173</v>
      </c>
      <c r="BG172" t="s">
        <v>173</v>
      </c>
      <c r="BH172" t="s">
        <v>173</v>
      </c>
      <c r="BI172" t="s">
        <v>173</v>
      </c>
      <c r="BJ172" t="s">
        <v>173</v>
      </c>
      <c r="BK172" t="s">
        <v>173</v>
      </c>
      <c r="BL172">
        <v>288</v>
      </c>
      <c r="BM172">
        <v>26</v>
      </c>
      <c r="BN172" t="s">
        <v>509</v>
      </c>
      <c r="BO172">
        <f>_xlfn.XLOOKUP(Table7[[#This Row],[WVTR_unit]],ConversionFactors!$B$11:$B$12,ConversionFactors!$S$11:$S$12)</f>
        <v>1</v>
      </c>
      <c r="BP172">
        <f>Table7[[#This Row],[WVTR_value]]*Table7[[#This Row],[WVTR_conversion_factor]]*Table7[[#This Row],[Film_thickness_µm]]/100</f>
        <v>100.8</v>
      </c>
      <c r="BQ172">
        <f>Table7[[#This Row],[WVTR100_g·m-2·d-1 ]]*SQRT((Table7[[#This Row],[WVTR_SD]]/Table7[[#This Row],[WVTR_value]])^2+(Table7[[#This Row],[Film_thickness_SD_µm]]/Table7[[#This Row],[Film_thickness_µm]])^2)</f>
        <v>14.680613066217637</v>
      </c>
      <c r="BR172" t="s">
        <v>461</v>
      </c>
      <c r="BS172">
        <v>23</v>
      </c>
      <c r="BT172">
        <v>50</v>
      </c>
      <c r="BU172">
        <v>3</v>
      </c>
      <c r="BV172" t="s">
        <v>173</v>
      </c>
      <c r="BX172" t="s">
        <v>173</v>
      </c>
      <c r="BY172" t="s">
        <v>173</v>
      </c>
      <c r="BZ172" t="s">
        <v>173</v>
      </c>
      <c r="CA172" t="s">
        <v>173</v>
      </c>
      <c r="CB172" t="s">
        <v>173</v>
      </c>
      <c r="CC172" t="s">
        <v>173</v>
      </c>
      <c r="CD172" t="s">
        <v>173</v>
      </c>
      <c r="CE172" t="s">
        <v>173</v>
      </c>
      <c r="CF172" t="s">
        <v>173</v>
      </c>
      <c r="CG172" t="s">
        <v>173</v>
      </c>
      <c r="CH172" t="s">
        <v>173</v>
      </c>
      <c r="CI172" t="s">
        <v>173</v>
      </c>
      <c r="CJ172" t="s">
        <v>173</v>
      </c>
      <c r="CK172" t="s">
        <v>173</v>
      </c>
      <c r="CL172" t="s">
        <v>173</v>
      </c>
      <c r="CM172" t="s">
        <v>173</v>
      </c>
      <c r="CN172" t="s">
        <v>173</v>
      </c>
      <c r="CO172" t="s">
        <v>173</v>
      </c>
      <c r="CP172" t="s">
        <v>173</v>
      </c>
      <c r="CQ172" t="s">
        <v>173</v>
      </c>
      <c r="CR172" t="s">
        <v>173</v>
      </c>
      <c r="CS172" t="s">
        <v>173</v>
      </c>
      <c r="CT172" t="s">
        <v>173</v>
      </c>
      <c r="CU172" t="s">
        <v>173</v>
      </c>
      <c r="CV172" t="s">
        <v>173</v>
      </c>
      <c r="CW172" t="s">
        <v>173</v>
      </c>
      <c r="CX172" t="s">
        <v>173</v>
      </c>
      <c r="CY172" t="s">
        <v>173</v>
      </c>
      <c r="CZ172" t="s">
        <v>173</v>
      </c>
      <c r="DA172" t="s">
        <v>173</v>
      </c>
      <c r="DB172" t="s">
        <v>173</v>
      </c>
      <c r="DC172" t="s">
        <v>173</v>
      </c>
      <c r="DD172" t="s">
        <v>173</v>
      </c>
      <c r="DE172" t="s">
        <v>173</v>
      </c>
      <c r="DF172" t="s">
        <v>454</v>
      </c>
      <c r="DG172" t="s">
        <v>511</v>
      </c>
      <c r="DH172" t="s">
        <v>173</v>
      </c>
    </row>
    <row r="173" spans="1:112">
      <c r="A173">
        <v>20</v>
      </c>
      <c r="B173" t="s">
        <v>514</v>
      </c>
      <c r="C173" t="s">
        <v>515</v>
      </c>
      <c r="D173">
        <v>2025</v>
      </c>
      <c r="E173" t="s">
        <v>177</v>
      </c>
      <c r="F173" t="s">
        <v>516</v>
      </c>
      <c r="G173" t="s">
        <v>454</v>
      </c>
      <c r="H173">
        <v>0.86</v>
      </c>
      <c r="I173" t="s">
        <v>173</v>
      </c>
      <c r="J173" t="s">
        <v>495</v>
      </c>
      <c r="K173" t="s">
        <v>495</v>
      </c>
      <c r="L173" t="s">
        <v>496</v>
      </c>
      <c r="M173" t="s">
        <v>454</v>
      </c>
      <c r="N173" t="s">
        <v>454</v>
      </c>
      <c r="O173" t="s">
        <v>173</v>
      </c>
      <c r="P173" t="s">
        <v>173</v>
      </c>
      <c r="Q173" t="s">
        <v>517</v>
      </c>
      <c r="R173">
        <v>100</v>
      </c>
      <c r="S173" t="s">
        <v>173</v>
      </c>
      <c r="T173" t="s">
        <v>173</v>
      </c>
      <c r="U173">
        <v>19.600000000000001</v>
      </c>
      <c r="V173">
        <v>1.3</v>
      </c>
      <c r="W173" t="s">
        <v>518</v>
      </c>
      <c r="X173">
        <f>_xlfn.XLOOKUP(Table7[[#This Row],[PO2_unit]],ConversionFactors!$B$13:$B$19,ConversionFactors!$S$13:$S$19)</f>
        <v>1000</v>
      </c>
      <c r="Y173">
        <f>Table7[[#This Row],[PO2_value]]*Table7[[#This Row],[PO2_conversion_factor]]</f>
        <v>19600</v>
      </c>
      <c r="Z173">
        <f>Table7[[#This Row],[PO2_SD]]*Table7[[#This Row],[PO2_conversion_factor]]</f>
        <v>1300</v>
      </c>
      <c r="AA173" t="s">
        <v>173</v>
      </c>
      <c r="AB173">
        <v>23</v>
      </c>
      <c r="AC173">
        <v>0</v>
      </c>
      <c r="AD173" t="s">
        <v>173</v>
      </c>
      <c r="AE173" t="s">
        <v>173</v>
      </c>
      <c r="AF173" t="s">
        <v>173</v>
      </c>
      <c r="AG173" t="s">
        <v>173</v>
      </c>
      <c r="AH173">
        <f>Table7[[#This Row],[PO2_cm³·µm·m⁻²·d⁻¹·bar⁻¹ ]]/100</f>
        <v>196</v>
      </c>
      <c r="AI173">
        <f>Table7[[#This Row],[PO2_SD_cm³·µm·m⁻²·d⁻¹·bar⁻¹ ]]/100</f>
        <v>13</v>
      </c>
      <c r="AJ173" t="str">
        <f>Table7[[#This Row],[PO2_standard]]</f>
        <v>NaN</v>
      </c>
      <c r="AK173">
        <f>Table7[[#This Row],[PO2_temperature_°C]]</f>
        <v>23</v>
      </c>
      <c r="AL173">
        <f>Table7[[#This Row],[PO2_RH_%]]</f>
        <v>0</v>
      </c>
      <c r="AM173" t="s">
        <v>173</v>
      </c>
      <c r="AN173" t="s">
        <v>173</v>
      </c>
      <c r="AO173" t="s">
        <v>173</v>
      </c>
      <c r="AP173" t="s">
        <v>173</v>
      </c>
      <c r="AQ173" t="s">
        <v>173</v>
      </c>
      <c r="AR173" t="s">
        <v>173</v>
      </c>
      <c r="AS173" t="s">
        <v>173</v>
      </c>
      <c r="AT173" t="s">
        <v>173</v>
      </c>
      <c r="AU173" t="s">
        <v>173</v>
      </c>
      <c r="AV173" t="s">
        <v>173</v>
      </c>
      <c r="AW173" t="s">
        <v>173</v>
      </c>
      <c r="AX173" t="s">
        <v>173</v>
      </c>
      <c r="AY173" t="s">
        <v>173</v>
      </c>
      <c r="AZ173" t="s">
        <v>173</v>
      </c>
      <c r="BA173" t="s">
        <v>173</v>
      </c>
      <c r="BB173" t="s">
        <v>173</v>
      </c>
      <c r="BC173" t="s">
        <v>173</v>
      </c>
      <c r="BD173" t="s">
        <v>173</v>
      </c>
      <c r="BE173" t="s">
        <v>173</v>
      </c>
      <c r="BF173" t="s">
        <v>173</v>
      </c>
      <c r="BG173" t="s">
        <v>173</v>
      </c>
      <c r="BH173" t="s">
        <v>173</v>
      </c>
      <c r="BI173" t="s">
        <v>173</v>
      </c>
      <c r="BJ173" t="s">
        <v>173</v>
      </c>
      <c r="BK173" t="s">
        <v>173</v>
      </c>
      <c r="BL173">
        <v>31.2</v>
      </c>
      <c r="BM173">
        <v>1.1000000000000001</v>
      </c>
      <c r="BN173" t="s">
        <v>509</v>
      </c>
      <c r="BO173">
        <f>_xlfn.XLOOKUP(Table7[[#This Row],[WVTR_unit]],ConversionFactors!$B$11:$B$12,ConversionFactors!$S$11:$S$12)</f>
        <v>1</v>
      </c>
      <c r="BP173">
        <f>Table7[[#This Row],[WVTR_value]]*Table7[[#This Row],[WVTR_conversion_factor]]*Table7[[#This Row],[Film_thickness_µm]]/100</f>
        <v>31.2</v>
      </c>
      <c r="BQ173" t="s">
        <v>173</v>
      </c>
      <c r="BR173" t="s">
        <v>519</v>
      </c>
      <c r="BS173">
        <v>25</v>
      </c>
      <c r="BT173">
        <v>60</v>
      </c>
      <c r="BU173">
        <v>3</v>
      </c>
      <c r="BV173" t="s">
        <v>173</v>
      </c>
      <c r="BX173" t="s">
        <v>173</v>
      </c>
      <c r="BY173" t="s">
        <v>173</v>
      </c>
      <c r="BZ173" t="s">
        <v>173</v>
      </c>
      <c r="CA173" t="s">
        <v>173</v>
      </c>
      <c r="CB173" t="s">
        <v>173</v>
      </c>
      <c r="CC173" t="s">
        <v>173</v>
      </c>
      <c r="CD173" t="s">
        <v>173</v>
      </c>
      <c r="CE173" t="s">
        <v>173</v>
      </c>
      <c r="CF173" t="s">
        <v>173</v>
      </c>
      <c r="CG173" t="s">
        <v>173</v>
      </c>
      <c r="CH173" t="s">
        <v>173</v>
      </c>
      <c r="CI173" t="s">
        <v>173</v>
      </c>
      <c r="CJ173" t="s">
        <v>173</v>
      </c>
      <c r="CK173" t="s">
        <v>173</v>
      </c>
      <c r="CL173" t="s">
        <v>173</v>
      </c>
      <c r="CM173" t="s">
        <v>173</v>
      </c>
      <c r="CN173" t="s">
        <v>173</v>
      </c>
      <c r="CO173" t="s">
        <v>173</v>
      </c>
      <c r="CP173" t="s">
        <v>173</v>
      </c>
      <c r="CQ173" t="s">
        <v>173</v>
      </c>
      <c r="CR173" t="s">
        <v>173</v>
      </c>
      <c r="CS173" t="s">
        <v>173</v>
      </c>
      <c r="CT173" t="s">
        <v>173</v>
      </c>
      <c r="CU173" t="s">
        <v>173</v>
      </c>
      <c r="CV173" t="s">
        <v>173</v>
      </c>
      <c r="CW173" t="s">
        <v>173</v>
      </c>
      <c r="CX173" t="s">
        <v>173</v>
      </c>
      <c r="CY173" t="s">
        <v>173</v>
      </c>
      <c r="CZ173" t="s">
        <v>173</v>
      </c>
      <c r="DA173" t="s">
        <v>173</v>
      </c>
      <c r="DB173" t="s">
        <v>173</v>
      </c>
      <c r="DC173" t="s">
        <v>173</v>
      </c>
      <c r="DD173" t="s">
        <v>173</v>
      </c>
      <c r="DE173" t="s">
        <v>173</v>
      </c>
      <c r="DF173" t="s">
        <v>172</v>
      </c>
      <c r="DG173" t="s">
        <v>520</v>
      </c>
      <c r="DH173" t="s">
        <v>173</v>
      </c>
    </row>
    <row r="174" spans="1:112">
      <c r="A174">
        <v>20</v>
      </c>
      <c r="B174" t="s">
        <v>514</v>
      </c>
      <c r="C174" t="s">
        <v>515</v>
      </c>
      <c r="D174">
        <v>2025</v>
      </c>
      <c r="E174" t="s">
        <v>177</v>
      </c>
      <c r="F174" t="s">
        <v>516</v>
      </c>
      <c r="G174" t="s">
        <v>454</v>
      </c>
      <c r="H174">
        <v>0.86</v>
      </c>
      <c r="I174" t="s">
        <v>173</v>
      </c>
      <c r="J174" t="s">
        <v>521</v>
      </c>
      <c r="K174" t="s">
        <v>495</v>
      </c>
      <c r="L174" t="s">
        <v>496</v>
      </c>
      <c r="M174" t="s">
        <v>454</v>
      </c>
      <c r="N174" t="s">
        <v>454</v>
      </c>
      <c r="O174" t="s">
        <v>173</v>
      </c>
      <c r="P174" t="s">
        <v>173</v>
      </c>
      <c r="Q174" t="s">
        <v>517</v>
      </c>
      <c r="R174">
        <v>100</v>
      </c>
      <c r="S174" t="s">
        <v>173</v>
      </c>
      <c r="T174" t="s">
        <v>173</v>
      </c>
      <c r="U174">
        <v>22.3</v>
      </c>
      <c r="V174">
        <v>1.1000000000000001</v>
      </c>
      <c r="W174" t="s">
        <v>518</v>
      </c>
      <c r="X174">
        <f>_xlfn.XLOOKUP(Table7[[#This Row],[PO2_unit]],ConversionFactors!$B$13:$B$19,ConversionFactors!$S$13:$S$19)</f>
        <v>1000</v>
      </c>
      <c r="Y174">
        <f>Table7[[#This Row],[PO2_value]]*Table7[[#This Row],[PO2_conversion_factor]]</f>
        <v>22300</v>
      </c>
      <c r="Z174">
        <f>Table7[[#This Row],[PO2_SD]]*Table7[[#This Row],[PO2_conversion_factor]]</f>
        <v>1100</v>
      </c>
      <c r="AA174" t="s">
        <v>173</v>
      </c>
      <c r="AB174">
        <v>23</v>
      </c>
      <c r="AC174">
        <v>0</v>
      </c>
      <c r="AD174" t="s">
        <v>173</v>
      </c>
      <c r="AE174" t="s">
        <v>173</v>
      </c>
      <c r="AF174" t="s">
        <v>173</v>
      </c>
      <c r="AG174" t="s">
        <v>173</v>
      </c>
      <c r="AH174">
        <f>Table7[[#This Row],[PO2_cm³·µm·m⁻²·d⁻¹·bar⁻¹ ]]/100</f>
        <v>223</v>
      </c>
      <c r="AI174">
        <f>Table7[[#This Row],[PO2_SD_cm³·µm·m⁻²·d⁻¹·bar⁻¹ ]]/100</f>
        <v>11</v>
      </c>
      <c r="AJ174" t="str">
        <f>Table7[[#This Row],[PO2_standard]]</f>
        <v>NaN</v>
      </c>
      <c r="AK174">
        <f>Table7[[#This Row],[PO2_temperature_°C]]</f>
        <v>23</v>
      </c>
      <c r="AL174">
        <f>Table7[[#This Row],[PO2_RH_%]]</f>
        <v>0</v>
      </c>
      <c r="AM174" t="s">
        <v>173</v>
      </c>
      <c r="AN174" t="s">
        <v>173</v>
      </c>
      <c r="AO174" t="s">
        <v>173</v>
      </c>
      <c r="AP174" t="s">
        <v>173</v>
      </c>
      <c r="AQ174" t="s">
        <v>173</v>
      </c>
      <c r="AR174" t="s">
        <v>173</v>
      </c>
      <c r="AS174" t="s">
        <v>173</v>
      </c>
      <c r="AT174" t="s">
        <v>173</v>
      </c>
      <c r="AU174" t="s">
        <v>173</v>
      </c>
      <c r="AV174" t="s">
        <v>173</v>
      </c>
      <c r="AW174" t="s">
        <v>173</v>
      </c>
      <c r="AX174" t="s">
        <v>173</v>
      </c>
      <c r="AY174" t="s">
        <v>173</v>
      </c>
      <c r="AZ174" t="s">
        <v>173</v>
      </c>
      <c r="BA174" t="s">
        <v>173</v>
      </c>
      <c r="BB174" t="s">
        <v>173</v>
      </c>
      <c r="BC174" t="s">
        <v>173</v>
      </c>
      <c r="BD174" t="s">
        <v>173</v>
      </c>
      <c r="BE174" t="s">
        <v>173</v>
      </c>
      <c r="BF174" t="s">
        <v>173</v>
      </c>
      <c r="BG174" t="s">
        <v>173</v>
      </c>
      <c r="BH174" t="s">
        <v>173</v>
      </c>
      <c r="BI174" t="s">
        <v>173</v>
      </c>
      <c r="BJ174" t="s">
        <v>173</v>
      </c>
      <c r="BK174" t="s">
        <v>173</v>
      </c>
      <c r="BL174">
        <v>32.700000000000003</v>
      </c>
      <c r="BM174">
        <v>1.9</v>
      </c>
      <c r="BN174" t="s">
        <v>509</v>
      </c>
      <c r="BO174">
        <f>_xlfn.XLOOKUP(Table7[[#This Row],[WVTR_unit]],ConversionFactors!$B$11:$B$12,ConversionFactors!$S$11:$S$12)</f>
        <v>1</v>
      </c>
      <c r="BP174">
        <f>Table7[[#This Row],[WVTR_value]]*Table7[[#This Row],[WVTR_conversion_factor]]*Table7[[#This Row],[Film_thickness_µm]]/100</f>
        <v>32.700000000000003</v>
      </c>
      <c r="BQ174" t="s">
        <v>173</v>
      </c>
      <c r="BR174" t="s">
        <v>519</v>
      </c>
      <c r="BS174">
        <v>25</v>
      </c>
      <c r="BT174">
        <v>60</v>
      </c>
      <c r="BU174">
        <v>3</v>
      </c>
      <c r="BV174" t="s">
        <v>173</v>
      </c>
      <c r="BX174" t="s">
        <v>173</v>
      </c>
      <c r="BY174" t="s">
        <v>173</v>
      </c>
      <c r="BZ174" t="s">
        <v>173</v>
      </c>
      <c r="CA174" t="s">
        <v>173</v>
      </c>
      <c r="CB174" t="s">
        <v>173</v>
      </c>
      <c r="CC174" t="s">
        <v>173</v>
      </c>
      <c r="CD174" t="s">
        <v>173</v>
      </c>
      <c r="CE174" t="s">
        <v>173</v>
      </c>
      <c r="CF174" t="s">
        <v>173</v>
      </c>
      <c r="CG174" t="s">
        <v>173</v>
      </c>
      <c r="CH174" t="s">
        <v>173</v>
      </c>
      <c r="CI174" t="s">
        <v>173</v>
      </c>
      <c r="CJ174" t="s">
        <v>173</v>
      </c>
      <c r="CK174" t="s">
        <v>173</v>
      </c>
      <c r="CL174" t="s">
        <v>173</v>
      </c>
      <c r="CM174" t="s">
        <v>173</v>
      </c>
      <c r="CN174" t="s">
        <v>173</v>
      </c>
      <c r="CO174" t="s">
        <v>173</v>
      </c>
      <c r="CP174" t="s">
        <v>173</v>
      </c>
      <c r="CQ174" t="s">
        <v>173</v>
      </c>
      <c r="CR174" t="s">
        <v>173</v>
      </c>
      <c r="CS174" t="s">
        <v>173</v>
      </c>
      <c r="CT174" t="s">
        <v>173</v>
      </c>
      <c r="CU174" t="s">
        <v>173</v>
      </c>
      <c r="CV174" t="s">
        <v>173</v>
      </c>
      <c r="CW174" t="s">
        <v>173</v>
      </c>
      <c r="CX174" t="s">
        <v>173</v>
      </c>
      <c r="CY174" t="s">
        <v>173</v>
      </c>
      <c r="CZ174" t="s">
        <v>173</v>
      </c>
      <c r="DA174" t="s">
        <v>173</v>
      </c>
      <c r="DB174" t="s">
        <v>173</v>
      </c>
      <c r="DC174" t="s">
        <v>173</v>
      </c>
      <c r="DD174" t="s">
        <v>173</v>
      </c>
      <c r="DE174" t="s">
        <v>173</v>
      </c>
      <c r="DF174" t="s">
        <v>172</v>
      </c>
      <c r="DG174" t="s">
        <v>520</v>
      </c>
      <c r="DH174" t="s">
        <v>173</v>
      </c>
    </row>
    <row r="175" spans="1:112">
      <c r="A175">
        <v>21</v>
      </c>
      <c r="B175" t="s">
        <v>236</v>
      </c>
      <c r="C175" t="s">
        <v>237</v>
      </c>
      <c r="D175">
        <v>2025</v>
      </c>
      <c r="E175" t="s">
        <v>238</v>
      </c>
      <c r="F175" t="s">
        <v>239</v>
      </c>
      <c r="G175" t="s">
        <v>454</v>
      </c>
      <c r="H175">
        <v>0.86</v>
      </c>
      <c r="I175" t="s">
        <v>173</v>
      </c>
      <c r="J175" t="s">
        <v>522</v>
      </c>
      <c r="K175" t="s">
        <v>523</v>
      </c>
      <c r="L175" t="s">
        <v>524</v>
      </c>
      <c r="M175" t="s">
        <v>454</v>
      </c>
      <c r="N175" t="s">
        <v>454</v>
      </c>
      <c r="O175" t="s">
        <v>173</v>
      </c>
      <c r="P175" t="s">
        <v>173</v>
      </c>
      <c r="Q175" t="s">
        <v>459</v>
      </c>
      <c r="R175">
        <v>75</v>
      </c>
      <c r="S175">
        <v>5</v>
      </c>
      <c r="T175">
        <v>5</v>
      </c>
      <c r="U175" t="s">
        <v>173</v>
      </c>
      <c r="V175" t="s">
        <v>173</v>
      </c>
      <c r="W175" t="s">
        <v>173</v>
      </c>
      <c r="X175" t="s">
        <v>173</v>
      </c>
      <c r="Y175" t="s">
        <v>173</v>
      </c>
      <c r="Z175" t="s">
        <v>173</v>
      </c>
      <c r="AA175" t="s">
        <v>173</v>
      </c>
      <c r="AB175" t="s">
        <v>173</v>
      </c>
      <c r="AC175" t="s">
        <v>173</v>
      </c>
      <c r="AD175" t="s">
        <v>173</v>
      </c>
      <c r="AE175" t="s">
        <v>173</v>
      </c>
      <c r="AF175" t="s">
        <v>173</v>
      </c>
      <c r="AG175">
        <v>10000</v>
      </c>
      <c r="AH175" t="s">
        <v>173</v>
      </c>
      <c r="AI175" t="s">
        <v>173</v>
      </c>
      <c r="AJ175" t="s">
        <v>173</v>
      </c>
      <c r="AK175" t="s">
        <v>173</v>
      </c>
      <c r="AL175" t="s">
        <v>173</v>
      </c>
      <c r="AM175" t="s">
        <v>173</v>
      </c>
      <c r="AN175" t="s">
        <v>173</v>
      </c>
      <c r="AO175" t="s">
        <v>173</v>
      </c>
      <c r="AP175" t="s">
        <v>173</v>
      </c>
      <c r="AQ175" t="s">
        <v>173</v>
      </c>
      <c r="AR175" t="s">
        <v>173</v>
      </c>
      <c r="AS175" t="s">
        <v>173</v>
      </c>
      <c r="AT175" t="s">
        <v>173</v>
      </c>
      <c r="AU175" t="s">
        <v>173</v>
      </c>
      <c r="AV175" t="s">
        <v>173</v>
      </c>
      <c r="AW175" t="s">
        <v>173</v>
      </c>
      <c r="AX175" t="s">
        <v>173</v>
      </c>
      <c r="AY175" t="s">
        <v>173</v>
      </c>
      <c r="AZ175" t="s">
        <v>173</v>
      </c>
      <c r="BA175">
        <v>1.6779999999999999E-8</v>
      </c>
      <c r="BB175" t="s">
        <v>173</v>
      </c>
      <c r="BC175" t="s">
        <v>525</v>
      </c>
      <c r="BD175">
        <f>_xlfn.XLOOKUP(Table7[[#This Row],[WVP_unit]],ConversionFactors!$B$3:$B$10,ConversionFactors!$S$3:$S$10)</f>
        <v>2400000000000</v>
      </c>
      <c r="BE175">
        <f>Table7[[#This Row],[WVP_value]]*Table7[[#This Row],[WVP_conversion_factor]]</f>
        <v>40272</v>
      </c>
      <c r="BF175" t="s">
        <v>173</v>
      </c>
      <c r="BG175" t="s">
        <v>461</v>
      </c>
      <c r="BH175">
        <v>30</v>
      </c>
      <c r="BI175">
        <v>75</v>
      </c>
      <c r="BJ175">
        <f>10^(8.07131-1730.63/(233.426+Table7[[#This Row],[WVP_temperature_°C]]))*0.00133322368</f>
        <v>4.2316742613104592E-2</v>
      </c>
      <c r="BK175">
        <f>Table7[[#This Row],[WVP_RH_%]]/100*Table7[[#This Row],[WVP_psat_bar]]</f>
        <v>3.1737556959828446E-2</v>
      </c>
      <c r="BL175" t="s">
        <v>173</v>
      </c>
      <c r="BM175" t="s">
        <v>173</v>
      </c>
      <c r="BN175" t="s">
        <v>173</v>
      </c>
      <c r="BO175" t="s">
        <v>173</v>
      </c>
      <c r="BP175">
        <f>Table7[[#This Row],[WVP_g·µm·m-2·d-1·bar-1]]*Table7[[#This Row],[WVP_Δp_bar]]/100</f>
        <v>12.781348938862111</v>
      </c>
      <c r="BQ175" t="s">
        <v>173</v>
      </c>
      <c r="BR175" t="s">
        <v>461</v>
      </c>
      <c r="BS175">
        <v>30</v>
      </c>
      <c r="BT175">
        <v>75</v>
      </c>
      <c r="BU175">
        <v>5</v>
      </c>
      <c r="BV175" t="s">
        <v>173</v>
      </c>
      <c r="BX175" t="s">
        <v>173</v>
      </c>
      <c r="BY175" t="s">
        <v>173</v>
      </c>
      <c r="BZ175" t="s">
        <v>173</v>
      </c>
      <c r="CA175" t="s">
        <v>173</v>
      </c>
      <c r="CB175" t="s">
        <v>173</v>
      </c>
      <c r="CC175" t="s">
        <v>173</v>
      </c>
      <c r="CD175" t="s">
        <v>173</v>
      </c>
      <c r="CE175" t="s">
        <v>173</v>
      </c>
      <c r="CF175" t="s">
        <v>173</v>
      </c>
      <c r="CG175" t="s">
        <v>173</v>
      </c>
      <c r="CH175" t="s">
        <v>173</v>
      </c>
      <c r="CI175" t="s">
        <v>173</v>
      </c>
      <c r="CJ175" t="s">
        <v>173</v>
      </c>
      <c r="CK175" t="s">
        <v>173</v>
      </c>
      <c r="CL175" t="s">
        <v>173</v>
      </c>
      <c r="CM175" t="s">
        <v>173</v>
      </c>
      <c r="CN175" t="s">
        <v>173</v>
      </c>
      <c r="CO175" t="s">
        <v>173</v>
      </c>
      <c r="CP175" t="s">
        <v>173</v>
      </c>
      <c r="CQ175" t="s">
        <v>173</v>
      </c>
      <c r="CR175" t="s">
        <v>173</v>
      </c>
      <c r="CS175" t="s">
        <v>173</v>
      </c>
      <c r="CT175" t="s">
        <v>173</v>
      </c>
      <c r="CU175" t="s">
        <v>173</v>
      </c>
      <c r="CV175" t="s">
        <v>173</v>
      </c>
      <c r="CW175" t="s">
        <v>173</v>
      </c>
      <c r="CX175" t="s">
        <v>173</v>
      </c>
      <c r="CY175" t="s">
        <v>173</v>
      </c>
      <c r="CZ175" t="s">
        <v>173</v>
      </c>
      <c r="DA175" t="s">
        <v>173</v>
      </c>
      <c r="DB175" t="s">
        <v>173</v>
      </c>
      <c r="DC175" t="s">
        <v>173</v>
      </c>
      <c r="DD175" t="s">
        <v>173</v>
      </c>
      <c r="DE175" t="s">
        <v>173</v>
      </c>
      <c r="DF175" t="s">
        <v>454</v>
      </c>
      <c r="DG175" t="s">
        <v>526</v>
      </c>
      <c r="DH175" t="s">
        <v>173</v>
      </c>
    </row>
    <row r="176" spans="1:112">
      <c r="A176">
        <v>21</v>
      </c>
      <c r="B176" t="s">
        <v>236</v>
      </c>
      <c r="C176" t="s">
        <v>237</v>
      </c>
      <c r="D176">
        <v>2025</v>
      </c>
      <c r="E176" t="s">
        <v>238</v>
      </c>
      <c r="F176" t="s">
        <v>239</v>
      </c>
      <c r="G176" t="s">
        <v>454</v>
      </c>
      <c r="H176">
        <v>0.86</v>
      </c>
      <c r="I176" t="s">
        <v>173</v>
      </c>
      <c r="J176" t="s">
        <v>527</v>
      </c>
      <c r="K176" t="s">
        <v>527</v>
      </c>
      <c r="L176" t="s">
        <v>524</v>
      </c>
      <c r="M176" t="s">
        <v>454</v>
      </c>
      <c r="N176" t="s">
        <v>454</v>
      </c>
      <c r="O176" t="s">
        <v>173</v>
      </c>
      <c r="P176" t="s">
        <v>173</v>
      </c>
      <c r="Q176" t="s">
        <v>459</v>
      </c>
      <c r="R176">
        <v>75</v>
      </c>
      <c r="S176">
        <v>5</v>
      </c>
      <c r="T176">
        <v>5</v>
      </c>
      <c r="U176" t="s">
        <v>173</v>
      </c>
      <c r="V176" t="s">
        <v>173</v>
      </c>
      <c r="W176" t="s">
        <v>173</v>
      </c>
      <c r="X176" t="s">
        <v>173</v>
      </c>
      <c r="Y176" t="s">
        <v>173</v>
      </c>
      <c r="Z176" t="s">
        <v>173</v>
      </c>
      <c r="AA176" t="s">
        <v>173</v>
      </c>
      <c r="AB176" t="s">
        <v>173</v>
      </c>
      <c r="AC176" t="s">
        <v>173</v>
      </c>
      <c r="AD176" t="s">
        <v>173</v>
      </c>
      <c r="AE176" t="s">
        <v>173</v>
      </c>
      <c r="AF176" t="s">
        <v>173</v>
      </c>
      <c r="AG176" t="s">
        <v>173</v>
      </c>
      <c r="AH176" t="s">
        <v>173</v>
      </c>
      <c r="AI176" t="s">
        <v>173</v>
      </c>
      <c r="AJ176" t="s">
        <v>173</v>
      </c>
      <c r="AK176" t="s">
        <v>173</v>
      </c>
      <c r="AL176" t="s">
        <v>173</v>
      </c>
      <c r="AM176" t="s">
        <v>173</v>
      </c>
      <c r="AN176" t="s">
        <v>173</v>
      </c>
      <c r="AO176" t="s">
        <v>173</v>
      </c>
      <c r="AP176" t="s">
        <v>173</v>
      </c>
      <c r="AQ176" t="s">
        <v>173</v>
      </c>
      <c r="AR176" t="s">
        <v>173</v>
      </c>
      <c r="AS176" t="s">
        <v>173</v>
      </c>
      <c r="AT176" t="s">
        <v>173</v>
      </c>
      <c r="AU176" t="s">
        <v>173</v>
      </c>
      <c r="AV176" t="s">
        <v>173</v>
      </c>
      <c r="AW176" t="s">
        <v>173</v>
      </c>
      <c r="AX176" t="s">
        <v>173</v>
      </c>
      <c r="AY176" t="s">
        <v>173</v>
      </c>
      <c r="AZ176" t="s">
        <v>173</v>
      </c>
      <c r="BA176">
        <v>2.8299999999999999E-9</v>
      </c>
      <c r="BB176" t="s">
        <v>173</v>
      </c>
      <c r="BC176" t="s">
        <v>525</v>
      </c>
      <c r="BD176">
        <f>_xlfn.XLOOKUP(Table7[[#This Row],[WVP_unit]],ConversionFactors!$B$3:$B$10,ConversionFactors!$S$3:$S$10)</f>
        <v>2400000000000</v>
      </c>
      <c r="BE176">
        <f>Table7[[#This Row],[WVP_value]]*Table7[[#This Row],[WVP_conversion_factor]]</f>
        <v>6792</v>
      </c>
      <c r="BF176" t="s">
        <v>173</v>
      </c>
      <c r="BG176" t="s">
        <v>461</v>
      </c>
      <c r="BH176">
        <v>30</v>
      </c>
      <c r="BI176">
        <v>75</v>
      </c>
      <c r="BJ176">
        <f>10^(8.07131-1730.63/(233.426+Table7[[#This Row],[WVP_temperature_°C]]))*0.00133322368</f>
        <v>4.2316742613104592E-2</v>
      </c>
      <c r="BK176">
        <f>Table7[[#This Row],[WVP_RH_%]]/100*Table7[[#This Row],[WVP_psat_bar]]</f>
        <v>3.1737556959828446E-2</v>
      </c>
      <c r="BL176" t="s">
        <v>173</v>
      </c>
      <c r="BM176" t="s">
        <v>173</v>
      </c>
      <c r="BN176" t="s">
        <v>173</v>
      </c>
      <c r="BO176" t="s">
        <v>173</v>
      </c>
      <c r="BP176">
        <f>Table7[[#This Row],[WVP_g·µm·m-2·d-1·bar-1]]*Table7[[#This Row],[WVP_Δp_bar]]/100</f>
        <v>2.1556148687115479</v>
      </c>
      <c r="BQ176" t="s">
        <v>173</v>
      </c>
      <c r="BR176" t="s">
        <v>461</v>
      </c>
      <c r="BS176">
        <v>30</v>
      </c>
      <c r="BT176">
        <v>75</v>
      </c>
      <c r="BU176">
        <v>5</v>
      </c>
      <c r="BV176" t="s">
        <v>173</v>
      </c>
      <c r="BX176" t="s">
        <v>173</v>
      </c>
      <c r="BY176" t="s">
        <v>173</v>
      </c>
      <c r="BZ176" t="s">
        <v>173</v>
      </c>
      <c r="CA176" t="s">
        <v>173</v>
      </c>
      <c r="CB176" t="s">
        <v>173</v>
      </c>
      <c r="CC176" t="s">
        <v>173</v>
      </c>
      <c r="CD176" t="s">
        <v>173</v>
      </c>
      <c r="CE176" t="s">
        <v>173</v>
      </c>
      <c r="CF176" t="s">
        <v>173</v>
      </c>
      <c r="CG176" t="s">
        <v>173</v>
      </c>
      <c r="CH176" t="s">
        <v>173</v>
      </c>
      <c r="CI176" t="s">
        <v>173</v>
      </c>
      <c r="CJ176" t="s">
        <v>173</v>
      </c>
      <c r="CK176" t="s">
        <v>173</v>
      </c>
      <c r="CL176" t="s">
        <v>173</v>
      </c>
      <c r="CM176" t="s">
        <v>173</v>
      </c>
      <c r="CN176" t="s">
        <v>173</v>
      </c>
      <c r="CO176" t="s">
        <v>173</v>
      </c>
      <c r="CP176" t="s">
        <v>173</v>
      </c>
      <c r="CQ176" t="s">
        <v>173</v>
      </c>
      <c r="CR176" t="s">
        <v>173</v>
      </c>
      <c r="CS176" t="s">
        <v>173</v>
      </c>
      <c r="CT176" t="s">
        <v>173</v>
      </c>
      <c r="CU176" t="s">
        <v>173</v>
      </c>
      <c r="CV176" t="s">
        <v>173</v>
      </c>
      <c r="CW176" t="s">
        <v>173</v>
      </c>
      <c r="CX176" t="s">
        <v>173</v>
      </c>
      <c r="CY176" t="s">
        <v>173</v>
      </c>
      <c r="CZ176" t="s">
        <v>173</v>
      </c>
      <c r="DA176" t="s">
        <v>173</v>
      </c>
      <c r="DB176" t="s">
        <v>173</v>
      </c>
      <c r="DC176" t="s">
        <v>173</v>
      </c>
      <c r="DD176" t="s">
        <v>173</v>
      </c>
      <c r="DE176" t="s">
        <v>173</v>
      </c>
      <c r="DF176" t="s">
        <v>454</v>
      </c>
      <c r="DG176" t="s">
        <v>526</v>
      </c>
      <c r="DH176" t="s">
        <v>173</v>
      </c>
    </row>
    <row r="177" spans="1:112">
      <c r="A177">
        <v>22</v>
      </c>
      <c r="B177" t="s">
        <v>240</v>
      </c>
      <c r="C177" t="s">
        <v>241</v>
      </c>
      <c r="D177">
        <v>2025</v>
      </c>
      <c r="E177" t="s">
        <v>242</v>
      </c>
      <c r="F177" t="s">
        <v>243</v>
      </c>
      <c r="G177" t="s">
        <v>454</v>
      </c>
      <c r="H177">
        <v>0.93</v>
      </c>
      <c r="I177" t="s">
        <v>173</v>
      </c>
      <c r="J177" t="s">
        <v>528</v>
      </c>
      <c r="K177" t="s">
        <v>528</v>
      </c>
      <c r="L177" t="s">
        <v>524</v>
      </c>
      <c r="M177" t="s">
        <v>454</v>
      </c>
      <c r="N177" t="s">
        <v>454</v>
      </c>
      <c r="O177" t="s">
        <v>458</v>
      </c>
      <c r="P177">
        <v>5</v>
      </c>
      <c r="Q177" t="s">
        <v>459</v>
      </c>
      <c r="R177">
        <v>23</v>
      </c>
      <c r="S177">
        <v>5</v>
      </c>
      <c r="T177">
        <v>3</v>
      </c>
      <c r="U177" t="s">
        <v>173</v>
      </c>
      <c r="V177" t="s">
        <v>173</v>
      </c>
      <c r="W177" t="s">
        <v>173</v>
      </c>
      <c r="X177" t="s">
        <v>173</v>
      </c>
      <c r="Y177" t="s">
        <v>173</v>
      </c>
      <c r="Z177" t="s">
        <v>173</v>
      </c>
      <c r="AA177" t="s">
        <v>173</v>
      </c>
      <c r="AB177" t="s">
        <v>173</v>
      </c>
      <c r="AC177" t="s">
        <v>173</v>
      </c>
      <c r="AD177" t="s">
        <v>173</v>
      </c>
      <c r="AE177" t="s">
        <v>173</v>
      </c>
      <c r="AF177" t="s">
        <v>173</v>
      </c>
      <c r="AG177" t="s">
        <v>173</v>
      </c>
      <c r="AH177" t="s">
        <v>173</v>
      </c>
      <c r="AI177" t="s">
        <v>173</v>
      </c>
      <c r="AJ177" t="s">
        <v>173</v>
      </c>
      <c r="AK177" t="s">
        <v>173</v>
      </c>
      <c r="AL177" t="s">
        <v>173</v>
      </c>
      <c r="AM177" t="s">
        <v>173</v>
      </c>
      <c r="AN177" t="s">
        <v>173</v>
      </c>
      <c r="AO177" t="s">
        <v>173</v>
      </c>
      <c r="AP177" t="s">
        <v>173</v>
      </c>
      <c r="AQ177" t="s">
        <v>173</v>
      </c>
      <c r="AR177" t="s">
        <v>173</v>
      </c>
      <c r="AS177" t="s">
        <v>173</v>
      </c>
      <c r="AT177" t="s">
        <v>173</v>
      </c>
      <c r="AU177" t="s">
        <v>173</v>
      </c>
      <c r="AV177" t="s">
        <v>173</v>
      </c>
      <c r="AW177" t="s">
        <v>173</v>
      </c>
      <c r="AX177" t="s">
        <v>173</v>
      </c>
      <c r="AY177" t="s">
        <v>173</v>
      </c>
      <c r="AZ177" t="s">
        <v>173</v>
      </c>
      <c r="BA177">
        <v>7.5999999999999996E-11</v>
      </c>
      <c r="BB177">
        <v>4.9999999999999997E-12</v>
      </c>
      <c r="BC177" t="s">
        <v>475</v>
      </c>
      <c r="BD177">
        <f>_xlfn.XLOOKUP(Table7[[#This Row],[WVP_unit]],ConversionFactors!$B$3:$B$10,ConversionFactors!$S$3:$S$10)</f>
        <v>8640000000000000</v>
      </c>
      <c r="BE177">
        <f>Table7[[#This Row],[WVP_value]]*Table7[[#This Row],[WVP_conversion_factor]]</f>
        <v>656640</v>
      </c>
      <c r="BF177">
        <f>Table7[[#This Row],[WVP_SD]]*Table7[[#This Row],[WVP_conversion_factor]]</f>
        <v>43200</v>
      </c>
      <c r="BG177" t="s">
        <v>461</v>
      </c>
      <c r="BH177">
        <v>25</v>
      </c>
      <c r="BI177">
        <v>75</v>
      </c>
      <c r="BJ177">
        <f>10^(8.07131-1730.63/(233.426+Table7[[#This Row],[WVP_temperature_°C]]))*0.00133322368</f>
        <v>3.1579287443259496E-2</v>
      </c>
      <c r="BK177">
        <f>Table7[[#This Row],[WVP_RH_%]]/100*Table7[[#This Row],[WVP_psat_bar]]</f>
        <v>2.3684465582444622E-2</v>
      </c>
      <c r="BL177" t="s">
        <v>173</v>
      </c>
      <c r="BM177" t="s">
        <v>173</v>
      </c>
      <c r="BN177" t="s">
        <v>173</v>
      </c>
      <c r="BO177" t="s">
        <v>173</v>
      </c>
      <c r="BP177">
        <f>Table7[[#This Row],[WVP_g·µm·m-2·d-1·bar-1]]*Table7[[#This Row],[WVP_Δp_bar]]/100</f>
        <v>155.52167480056437</v>
      </c>
      <c r="BQ177">
        <f>Table7[[#This Row],[WVP_SD_g·µm·m-2·d-1 ]]*Table7[[#This Row],[WVP_Δp_bar]]/100</f>
        <v>10.231689131616076</v>
      </c>
      <c r="BR177" t="s">
        <v>461</v>
      </c>
      <c r="BS177">
        <v>25</v>
      </c>
      <c r="BT177">
        <v>75</v>
      </c>
      <c r="BU177">
        <v>3</v>
      </c>
      <c r="BV177" t="s">
        <v>173</v>
      </c>
      <c r="BX177" t="s">
        <v>173</v>
      </c>
      <c r="BY177" t="s">
        <v>173</v>
      </c>
      <c r="BZ177" t="s">
        <v>173</v>
      </c>
      <c r="CA177" t="s">
        <v>173</v>
      </c>
      <c r="CB177" t="s">
        <v>173</v>
      </c>
      <c r="CC177" t="s">
        <v>173</v>
      </c>
      <c r="CD177" t="s">
        <v>173</v>
      </c>
      <c r="CE177" t="s">
        <v>173</v>
      </c>
      <c r="CF177" t="s">
        <v>173</v>
      </c>
      <c r="CG177" t="s">
        <v>173</v>
      </c>
      <c r="CH177" t="s">
        <v>173</v>
      </c>
      <c r="CI177" t="s">
        <v>173</v>
      </c>
      <c r="CJ177" t="s">
        <v>173</v>
      </c>
      <c r="CK177" t="s">
        <v>173</v>
      </c>
      <c r="CL177" t="s">
        <v>173</v>
      </c>
      <c r="CM177" t="s">
        <v>173</v>
      </c>
      <c r="CN177" t="s">
        <v>173</v>
      </c>
      <c r="CO177" t="s">
        <v>173</v>
      </c>
      <c r="CP177" t="s">
        <v>173</v>
      </c>
      <c r="CQ177" t="s">
        <v>173</v>
      </c>
      <c r="CR177" t="s">
        <v>173</v>
      </c>
      <c r="CS177" t="s">
        <v>173</v>
      </c>
      <c r="CT177" t="s">
        <v>173</v>
      </c>
      <c r="CU177" t="s">
        <v>173</v>
      </c>
      <c r="CV177" t="s">
        <v>173</v>
      </c>
      <c r="CW177" t="s">
        <v>173</v>
      </c>
      <c r="CX177" t="s">
        <v>173</v>
      </c>
      <c r="CY177" t="s">
        <v>173</v>
      </c>
      <c r="CZ177" t="s">
        <v>173</v>
      </c>
      <c r="DA177" t="s">
        <v>173</v>
      </c>
      <c r="DB177" t="s">
        <v>173</v>
      </c>
      <c r="DC177" t="s">
        <v>173</v>
      </c>
      <c r="DD177" t="s">
        <v>173</v>
      </c>
      <c r="DE177" t="s">
        <v>173</v>
      </c>
      <c r="DF177" t="s">
        <v>172</v>
      </c>
      <c r="DG177" t="s">
        <v>529</v>
      </c>
      <c r="DH177" t="s">
        <v>173</v>
      </c>
    </row>
    <row r="178" spans="1:112">
      <c r="A178">
        <v>22</v>
      </c>
      <c r="B178" t="s">
        <v>240</v>
      </c>
      <c r="C178" t="s">
        <v>241</v>
      </c>
      <c r="D178">
        <v>2025</v>
      </c>
      <c r="E178" t="s">
        <v>242</v>
      </c>
      <c r="F178" t="s">
        <v>243</v>
      </c>
      <c r="G178" t="s">
        <v>454</v>
      </c>
      <c r="H178">
        <v>0.93</v>
      </c>
      <c r="I178" t="s">
        <v>173</v>
      </c>
      <c r="J178" t="s">
        <v>528</v>
      </c>
      <c r="K178" t="s">
        <v>528</v>
      </c>
      <c r="L178" t="s">
        <v>524</v>
      </c>
      <c r="M178" t="s">
        <v>454</v>
      </c>
      <c r="N178" t="s">
        <v>454</v>
      </c>
      <c r="O178" t="s">
        <v>458</v>
      </c>
      <c r="P178">
        <v>10</v>
      </c>
      <c r="Q178" t="s">
        <v>459</v>
      </c>
      <c r="R178">
        <v>69</v>
      </c>
      <c r="S178">
        <v>2</v>
      </c>
      <c r="T178">
        <v>3</v>
      </c>
      <c r="U178" t="s">
        <v>173</v>
      </c>
      <c r="V178" t="s">
        <v>173</v>
      </c>
      <c r="W178" t="s">
        <v>173</v>
      </c>
      <c r="X178" t="s">
        <v>173</v>
      </c>
      <c r="Y178" t="s">
        <v>173</v>
      </c>
      <c r="Z178" t="s">
        <v>173</v>
      </c>
      <c r="AA178" t="s">
        <v>173</v>
      </c>
      <c r="AB178" t="s">
        <v>173</v>
      </c>
      <c r="AC178" t="s">
        <v>173</v>
      </c>
      <c r="AD178" t="s">
        <v>173</v>
      </c>
      <c r="AE178" t="s">
        <v>173</v>
      </c>
      <c r="AF178" t="s">
        <v>173</v>
      </c>
      <c r="AG178" t="s">
        <v>173</v>
      </c>
      <c r="AH178" t="s">
        <v>173</v>
      </c>
      <c r="AI178" t="s">
        <v>173</v>
      </c>
      <c r="AJ178" t="s">
        <v>173</v>
      </c>
      <c r="AK178" t="s">
        <v>173</v>
      </c>
      <c r="AL178" t="s">
        <v>173</v>
      </c>
      <c r="AM178" t="s">
        <v>173</v>
      </c>
      <c r="AN178" t="s">
        <v>173</v>
      </c>
      <c r="AO178" t="s">
        <v>173</v>
      </c>
      <c r="AP178" t="s">
        <v>173</v>
      </c>
      <c r="AQ178" t="s">
        <v>173</v>
      </c>
      <c r="AR178" t="s">
        <v>173</v>
      </c>
      <c r="AS178" t="s">
        <v>173</v>
      </c>
      <c r="AT178" t="s">
        <v>173</v>
      </c>
      <c r="AU178" t="s">
        <v>173</v>
      </c>
      <c r="AV178" t="s">
        <v>173</v>
      </c>
      <c r="AW178" t="s">
        <v>173</v>
      </c>
      <c r="AX178" t="s">
        <v>173</v>
      </c>
      <c r="AY178" t="s">
        <v>173</v>
      </c>
      <c r="AZ178" t="s">
        <v>173</v>
      </c>
      <c r="BA178">
        <v>3.3599999999999998E-10</v>
      </c>
      <c r="BB178">
        <v>2.0999999999999999E-11</v>
      </c>
      <c r="BC178" t="s">
        <v>475</v>
      </c>
      <c r="BD178">
        <f>_xlfn.XLOOKUP(Table7[[#This Row],[WVP_unit]],ConversionFactors!$B$3:$B$10,ConversionFactors!$S$3:$S$10)</f>
        <v>8640000000000000</v>
      </c>
      <c r="BE178">
        <f>Table7[[#This Row],[WVP_value]]*Table7[[#This Row],[WVP_conversion_factor]]</f>
        <v>2903040</v>
      </c>
      <c r="BF178">
        <f>Table7[[#This Row],[WVP_SD]]*Table7[[#This Row],[WVP_conversion_factor]]</f>
        <v>181440</v>
      </c>
      <c r="BG178" t="s">
        <v>461</v>
      </c>
      <c r="BH178">
        <v>25</v>
      </c>
      <c r="BI178">
        <v>75</v>
      </c>
      <c r="BJ178">
        <f>10^(8.07131-1730.63/(233.426+Table7[[#This Row],[WVP_temperature_°C]]))*0.00133322368</f>
        <v>3.1579287443259496E-2</v>
      </c>
      <c r="BK178">
        <f>Table7[[#This Row],[WVP_RH_%]]/100*Table7[[#This Row],[WVP_psat_bar]]</f>
        <v>2.3684465582444622E-2</v>
      </c>
      <c r="BL178" t="s">
        <v>173</v>
      </c>
      <c r="BM178" t="s">
        <v>173</v>
      </c>
      <c r="BN178" t="s">
        <v>173</v>
      </c>
      <c r="BO178" t="s">
        <v>173</v>
      </c>
      <c r="BP178">
        <f>Table7[[#This Row],[WVP_g·µm·m-2·d-1·bar-1]]*Table7[[#This Row],[WVP_Δp_bar]]/100</f>
        <v>687.56950964460032</v>
      </c>
      <c r="BQ178">
        <f>Table7[[#This Row],[WVP_SD_g·µm·m-2·d-1 ]]*Table7[[#This Row],[WVP_Δp_bar]]/100</f>
        <v>42.97309435278752</v>
      </c>
      <c r="BR178" t="s">
        <v>461</v>
      </c>
      <c r="BS178">
        <v>25</v>
      </c>
      <c r="BT178">
        <v>75</v>
      </c>
      <c r="BU178">
        <v>3</v>
      </c>
      <c r="BV178" t="s">
        <v>173</v>
      </c>
      <c r="BX178" t="s">
        <v>173</v>
      </c>
      <c r="BY178" t="s">
        <v>173</v>
      </c>
      <c r="BZ178" t="s">
        <v>173</v>
      </c>
      <c r="CA178" t="s">
        <v>173</v>
      </c>
      <c r="CB178" t="s">
        <v>173</v>
      </c>
      <c r="CC178" t="s">
        <v>173</v>
      </c>
      <c r="CD178" t="s">
        <v>173</v>
      </c>
      <c r="CE178" t="s">
        <v>173</v>
      </c>
      <c r="CF178" t="s">
        <v>173</v>
      </c>
      <c r="CG178" t="s">
        <v>173</v>
      </c>
      <c r="CH178" t="s">
        <v>173</v>
      </c>
      <c r="CI178" t="s">
        <v>173</v>
      </c>
      <c r="CJ178" t="s">
        <v>173</v>
      </c>
      <c r="CK178" t="s">
        <v>173</v>
      </c>
      <c r="CL178" t="s">
        <v>173</v>
      </c>
      <c r="CM178" t="s">
        <v>173</v>
      </c>
      <c r="CN178" t="s">
        <v>173</v>
      </c>
      <c r="CO178" t="s">
        <v>173</v>
      </c>
      <c r="CP178" t="s">
        <v>173</v>
      </c>
      <c r="CQ178" t="s">
        <v>173</v>
      </c>
      <c r="CR178" t="s">
        <v>173</v>
      </c>
      <c r="CS178" t="s">
        <v>173</v>
      </c>
      <c r="CT178" t="s">
        <v>173</v>
      </c>
      <c r="CU178" t="s">
        <v>173</v>
      </c>
      <c r="CV178" t="s">
        <v>173</v>
      </c>
      <c r="CW178" t="s">
        <v>173</v>
      </c>
      <c r="CX178" t="s">
        <v>173</v>
      </c>
      <c r="CY178" t="s">
        <v>173</v>
      </c>
      <c r="CZ178" t="s">
        <v>173</v>
      </c>
      <c r="DA178" t="s">
        <v>173</v>
      </c>
      <c r="DB178" t="s">
        <v>173</v>
      </c>
      <c r="DC178" t="s">
        <v>173</v>
      </c>
      <c r="DD178" t="s">
        <v>173</v>
      </c>
      <c r="DE178" t="s">
        <v>173</v>
      </c>
      <c r="DF178" t="s">
        <v>172</v>
      </c>
      <c r="DG178" t="s">
        <v>529</v>
      </c>
      <c r="DH178" t="s">
        <v>173</v>
      </c>
    </row>
    <row r="179" spans="1:112">
      <c r="A179">
        <v>22</v>
      </c>
      <c r="B179" t="s">
        <v>240</v>
      </c>
      <c r="C179" t="s">
        <v>241</v>
      </c>
      <c r="D179">
        <v>2025</v>
      </c>
      <c r="E179" t="s">
        <v>242</v>
      </c>
      <c r="F179" t="s">
        <v>243</v>
      </c>
      <c r="G179" t="s">
        <v>454</v>
      </c>
      <c r="H179">
        <v>0.93</v>
      </c>
      <c r="I179" t="s">
        <v>173</v>
      </c>
      <c r="J179" t="s">
        <v>528</v>
      </c>
      <c r="K179" t="s">
        <v>528</v>
      </c>
      <c r="L179" t="s">
        <v>524</v>
      </c>
      <c r="M179" t="s">
        <v>454</v>
      </c>
      <c r="N179" t="s">
        <v>454</v>
      </c>
      <c r="O179" t="s">
        <v>530</v>
      </c>
      <c r="P179">
        <v>5</v>
      </c>
      <c r="Q179" t="s">
        <v>459</v>
      </c>
      <c r="R179">
        <v>19</v>
      </c>
      <c r="S179">
        <v>7</v>
      </c>
      <c r="T179">
        <v>3</v>
      </c>
      <c r="U179" t="s">
        <v>173</v>
      </c>
      <c r="V179" t="s">
        <v>173</v>
      </c>
      <c r="W179" t="s">
        <v>173</v>
      </c>
      <c r="X179" t="s">
        <v>173</v>
      </c>
      <c r="Y179" t="s">
        <v>173</v>
      </c>
      <c r="Z179" t="s">
        <v>173</v>
      </c>
      <c r="AA179" t="s">
        <v>173</v>
      </c>
      <c r="AB179" t="s">
        <v>173</v>
      </c>
      <c r="AC179" t="s">
        <v>173</v>
      </c>
      <c r="AD179" t="s">
        <v>173</v>
      </c>
      <c r="AE179" t="s">
        <v>173</v>
      </c>
      <c r="AF179" t="s">
        <v>173</v>
      </c>
      <c r="AG179" t="s">
        <v>173</v>
      </c>
      <c r="AH179" t="s">
        <v>173</v>
      </c>
      <c r="AI179" t="s">
        <v>173</v>
      </c>
      <c r="AJ179" t="s">
        <v>173</v>
      </c>
      <c r="AK179" t="s">
        <v>173</v>
      </c>
      <c r="AL179" t="s">
        <v>173</v>
      </c>
      <c r="AM179" t="s">
        <v>173</v>
      </c>
      <c r="AN179" t="s">
        <v>173</v>
      </c>
      <c r="AO179" t="s">
        <v>173</v>
      </c>
      <c r="AP179" t="s">
        <v>173</v>
      </c>
      <c r="AQ179" t="s">
        <v>173</v>
      </c>
      <c r="AR179" t="s">
        <v>173</v>
      </c>
      <c r="AS179" t="s">
        <v>173</v>
      </c>
      <c r="AT179" t="s">
        <v>173</v>
      </c>
      <c r="AU179" t="s">
        <v>173</v>
      </c>
      <c r="AV179" t="s">
        <v>173</v>
      </c>
      <c r="AW179" t="s">
        <v>173</v>
      </c>
      <c r="AX179" t="s">
        <v>173</v>
      </c>
      <c r="AY179" t="s">
        <v>173</v>
      </c>
      <c r="AZ179" t="s">
        <v>173</v>
      </c>
      <c r="BA179">
        <v>5.0999999999999998E-11</v>
      </c>
      <c r="BB179">
        <v>3.9999999999999999E-12</v>
      </c>
      <c r="BC179" t="s">
        <v>475</v>
      </c>
      <c r="BD179">
        <f>_xlfn.XLOOKUP(Table7[[#This Row],[WVP_unit]],ConversionFactors!$B$3:$B$10,ConversionFactors!$S$3:$S$10)</f>
        <v>8640000000000000</v>
      </c>
      <c r="BE179">
        <f>Table7[[#This Row],[WVP_value]]*Table7[[#This Row],[WVP_conversion_factor]]</f>
        <v>440640</v>
      </c>
      <c r="BF179">
        <f>Table7[[#This Row],[WVP_SD]]*Table7[[#This Row],[WVP_conversion_factor]]</f>
        <v>34560</v>
      </c>
      <c r="BG179" t="s">
        <v>461</v>
      </c>
      <c r="BH179">
        <v>25</v>
      </c>
      <c r="BI179">
        <v>75</v>
      </c>
      <c r="BJ179">
        <f>10^(8.07131-1730.63/(233.426+Table7[[#This Row],[WVP_temperature_°C]]))*0.00133322368</f>
        <v>3.1579287443259496E-2</v>
      </c>
      <c r="BK179">
        <f>Table7[[#This Row],[WVP_RH_%]]/100*Table7[[#This Row],[WVP_psat_bar]]</f>
        <v>2.3684465582444622E-2</v>
      </c>
      <c r="BL179" t="s">
        <v>173</v>
      </c>
      <c r="BM179" t="s">
        <v>173</v>
      </c>
      <c r="BN179" t="s">
        <v>173</v>
      </c>
      <c r="BO179" t="s">
        <v>173</v>
      </c>
      <c r="BP179">
        <f>Table7[[#This Row],[WVP_g·µm·m-2·d-1·bar-1]]*Table7[[#This Row],[WVP_Δp_bar]]/100</f>
        <v>104.36322914248397</v>
      </c>
      <c r="BQ179">
        <f>Table7[[#This Row],[WVP_SD_g·µm·m-2·d-1 ]]*Table7[[#This Row],[WVP_Δp_bar]]/100</f>
        <v>8.1853513052928619</v>
      </c>
      <c r="BR179" t="s">
        <v>461</v>
      </c>
      <c r="BS179">
        <v>25</v>
      </c>
      <c r="BT179">
        <v>75</v>
      </c>
      <c r="BU179">
        <v>3</v>
      </c>
      <c r="BV179" t="s">
        <v>173</v>
      </c>
      <c r="BX179" t="s">
        <v>173</v>
      </c>
      <c r="BY179" t="s">
        <v>173</v>
      </c>
      <c r="BZ179" t="s">
        <v>173</v>
      </c>
      <c r="CA179" t="s">
        <v>173</v>
      </c>
      <c r="CB179" t="s">
        <v>173</v>
      </c>
      <c r="CC179" t="s">
        <v>173</v>
      </c>
      <c r="CD179" t="s">
        <v>173</v>
      </c>
      <c r="CE179" t="s">
        <v>173</v>
      </c>
      <c r="CF179" t="s">
        <v>173</v>
      </c>
      <c r="CG179" t="s">
        <v>173</v>
      </c>
      <c r="CH179" t="s">
        <v>173</v>
      </c>
      <c r="CI179" t="s">
        <v>173</v>
      </c>
      <c r="CJ179" t="s">
        <v>173</v>
      </c>
      <c r="CK179" t="s">
        <v>173</v>
      </c>
      <c r="CL179" t="s">
        <v>173</v>
      </c>
      <c r="CM179" t="s">
        <v>173</v>
      </c>
      <c r="CN179" t="s">
        <v>173</v>
      </c>
      <c r="CO179" t="s">
        <v>173</v>
      </c>
      <c r="CP179" t="s">
        <v>173</v>
      </c>
      <c r="CQ179" t="s">
        <v>173</v>
      </c>
      <c r="CR179" t="s">
        <v>173</v>
      </c>
      <c r="CS179" t="s">
        <v>173</v>
      </c>
      <c r="CT179" t="s">
        <v>173</v>
      </c>
      <c r="CU179" t="s">
        <v>173</v>
      </c>
      <c r="CV179" t="s">
        <v>173</v>
      </c>
      <c r="CW179" t="s">
        <v>173</v>
      </c>
      <c r="CX179" t="s">
        <v>173</v>
      </c>
      <c r="CY179" t="s">
        <v>173</v>
      </c>
      <c r="CZ179" t="s">
        <v>173</v>
      </c>
      <c r="DA179" t="s">
        <v>173</v>
      </c>
      <c r="DB179" t="s">
        <v>173</v>
      </c>
      <c r="DC179" t="s">
        <v>173</v>
      </c>
      <c r="DD179" t="s">
        <v>173</v>
      </c>
      <c r="DE179" t="s">
        <v>173</v>
      </c>
      <c r="DF179" t="s">
        <v>172</v>
      </c>
      <c r="DG179" t="s">
        <v>529</v>
      </c>
      <c r="DH179" t="s">
        <v>173</v>
      </c>
    </row>
    <row r="180" spans="1:112">
      <c r="A180">
        <v>22</v>
      </c>
      <c r="B180" t="s">
        <v>240</v>
      </c>
      <c r="C180" t="s">
        <v>241</v>
      </c>
      <c r="D180">
        <v>2025</v>
      </c>
      <c r="E180" t="s">
        <v>242</v>
      </c>
      <c r="F180" t="s">
        <v>243</v>
      </c>
      <c r="G180" t="s">
        <v>454</v>
      </c>
      <c r="H180">
        <v>0.93</v>
      </c>
      <c r="I180" t="s">
        <v>173</v>
      </c>
      <c r="J180" t="s">
        <v>528</v>
      </c>
      <c r="K180" t="s">
        <v>528</v>
      </c>
      <c r="L180" t="s">
        <v>524</v>
      </c>
      <c r="M180" t="s">
        <v>454</v>
      </c>
      <c r="N180" t="s">
        <v>454</v>
      </c>
      <c r="O180" t="s">
        <v>530</v>
      </c>
      <c r="P180">
        <v>10</v>
      </c>
      <c r="Q180" t="s">
        <v>459</v>
      </c>
      <c r="R180">
        <v>64</v>
      </c>
      <c r="S180">
        <v>3</v>
      </c>
      <c r="T180">
        <v>3</v>
      </c>
      <c r="U180" t="s">
        <v>173</v>
      </c>
      <c r="V180" t="s">
        <v>173</v>
      </c>
      <c r="W180" t="s">
        <v>173</v>
      </c>
      <c r="X180" t="s">
        <v>173</v>
      </c>
      <c r="Y180" t="s">
        <v>173</v>
      </c>
      <c r="Z180" t="s">
        <v>173</v>
      </c>
      <c r="AA180" t="s">
        <v>173</v>
      </c>
      <c r="AB180" t="s">
        <v>173</v>
      </c>
      <c r="AC180" t="s">
        <v>173</v>
      </c>
      <c r="AD180" t="s">
        <v>173</v>
      </c>
      <c r="AE180" t="s">
        <v>173</v>
      </c>
      <c r="AF180" t="s">
        <v>173</v>
      </c>
      <c r="AG180" t="s">
        <v>173</v>
      </c>
      <c r="AH180" t="s">
        <v>173</v>
      </c>
      <c r="AI180" t="s">
        <v>173</v>
      </c>
      <c r="AJ180" t="s">
        <v>173</v>
      </c>
      <c r="AK180" t="s">
        <v>173</v>
      </c>
      <c r="AL180" t="s">
        <v>173</v>
      </c>
      <c r="AM180" t="s">
        <v>173</v>
      </c>
      <c r="AN180" t="s">
        <v>173</v>
      </c>
      <c r="AO180" t="s">
        <v>173</v>
      </c>
      <c r="AP180" t="s">
        <v>173</v>
      </c>
      <c r="AQ180" t="s">
        <v>173</v>
      </c>
      <c r="AR180" t="s">
        <v>173</v>
      </c>
      <c r="AS180" t="s">
        <v>173</v>
      </c>
      <c r="AT180" t="s">
        <v>173</v>
      </c>
      <c r="AU180" t="s">
        <v>173</v>
      </c>
      <c r="AV180" t="s">
        <v>173</v>
      </c>
      <c r="AW180" t="s">
        <v>173</v>
      </c>
      <c r="AX180" t="s">
        <v>173</v>
      </c>
      <c r="AY180" t="s">
        <v>173</v>
      </c>
      <c r="AZ180" t="s">
        <v>173</v>
      </c>
      <c r="BA180">
        <v>1.9200000000000001E-10</v>
      </c>
      <c r="BB180">
        <v>7.0000000000000001E-12</v>
      </c>
      <c r="BC180" t="s">
        <v>475</v>
      </c>
      <c r="BD180">
        <f>_xlfn.XLOOKUP(Table7[[#This Row],[WVP_unit]],ConversionFactors!$B$3:$B$10,ConversionFactors!$S$3:$S$10)</f>
        <v>8640000000000000</v>
      </c>
      <c r="BE180">
        <f>Table7[[#This Row],[WVP_value]]*Table7[[#This Row],[WVP_conversion_factor]]</f>
        <v>1658880</v>
      </c>
      <c r="BF180">
        <f>Table7[[#This Row],[WVP_SD]]*Table7[[#This Row],[WVP_conversion_factor]]</f>
        <v>60480</v>
      </c>
      <c r="BG180" t="s">
        <v>461</v>
      </c>
      <c r="BH180">
        <v>25</v>
      </c>
      <c r="BI180">
        <v>75</v>
      </c>
      <c r="BJ180">
        <f>10^(8.07131-1730.63/(233.426+Table7[[#This Row],[WVP_temperature_°C]]))*0.00133322368</f>
        <v>3.1579287443259496E-2</v>
      </c>
      <c r="BK180">
        <f>Table7[[#This Row],[WVP_RH_%]]/100*Table7[[#This Row],[WVP_psat_bar]]</f>
        <v>2.3684465582444622E-2</v>
      </c>
      <c r="BL180" t="s">
        <v>173</v>
      </c>
      <c r="BM180" t="s">
        <v>173</v>
      </c>
      <c r="BN180" t="s">
        <v>173</v>
      </c>
      <c r="BO180" t="s">
        <v>173</v>
      </c>
      <c r="BP180">
        <f>Table7[[#This Row],[WVP_g·µm·m-2·d-1·bar-1]]*Table7[[#This Row],[WVP_Δp_bar]]/100</f>
        <v>392.89686265405732</v>
      </c>
      <c r="BQ180">
        <f>Table7[[#This Row],[WVP_SD_g·µm·m-2·d-1 ]]*Table7[[#This Row],[WVP_Δp_bar]]/100</f>
        <v>14.324364784262507</v>
      </c>
      <c r="BR180" t="s">
        <v>461</v>
      </c>
      <c r="BS180">
        <v>25</v>
      </c>
      <c r="BT180">
        <v>75</v>
      </c>
      <c r="BU180">
        <v>3</v>
      </c>
      <c r="BV180" t="s">
        <v>173</v>
      </c>
      <c r="BX180" t="s">
        <v>173</v>
      </c>
      <c r="BY180" t="s">
        <v>173</v>
      </c>
      <c r="BZ180" t="s">
        <v>173</v>
      </c>
      <c r="CA180" t="s">
        <v>173</v>
      </c>
      <c r="CB180" t="s">
        <v>173</v>
      </c>
      <c r="CC180" t="s">
        <v>173</v>
      </c>
      <c r="CD180" t="s">
        <v>173</v>
      </c>
      <c r="CE180" t="s">
        <v>173</v>
      </c>
      <c r="CF180" t="s">
        <v>173</v>
      </c>
      <c r="CG180" t="s">
        <v>173</v>
      </c>
      <c r="CH180" t="s">
        <v>173</v>
      </c>
      <c r="CI180" t="s">
        <v>173</v>
      </c>
      <c r="CJ180" t="s">
        <v>173</v>
      </c>
      <c r="CK180" t="s">
        <v>173</v>
      </c>
      <c r="CL180" t="s">
        <v>173</v>
      </c>
      <c r="CM180" t="s">
        <v>173</v>
      </c>
      <c r="CN180" t="s">
        <v>173</v>
      </c>
      <c r="CO180" t="s">
        <v>173</v>
      </c>
      <c r="CP180" t="s">
        <v>173</v>
      </c>
      <c r="CQ180" t="s">
        <v>173</v>
      </c>
      <c r="CR180" t="s">
        <v>173</v>
      </c>
      <c r="CS180" t="s">
        <v>173</v>
      </c>
      <c r="CT180" t="s">
        <v>173</v>
      </c>
      <c r="CU180" t="s">
        <v>173</v>
      </c>
      <c r="CV180" t="s">
        <v>173</v>
      </c>
      <c r="CW180" t="s">
        <v>173</v>
      </c>
      <c r="CX180" t="s">
        <v>173</v>
      </c>
      <c r="CY180" t="s">
        <v>173</v>
      </c>
      <c r="CZ180" t="s">
        <v>173</v>
      </c>
      <c r="DA180" t="s">
        <v>173</v>
      </c>
      <c r="DB180" t="s">
        <v>173</v>
      </c>
      <c r="DC180" t="s">
        <v>173</v>
      </c>
      <c r="DD180" t="s">
        <v>173</v>
      </c>
      <c r="DE180" t="s">
        <v>173</v>
      </c>
      <c r="DF180" t="s">
        <v>172</v>
      </c>
      <c r="DG180" t="s">
        <v>529</v>
      </c>
      <c r="DH180" t="s">
        <v>173</v>
      </c>
    </row>
    <row r="181" spans="1:112">
      <c r="A181">
        <v>22</v>
      </c>
      <c r="B181" t="s">
        <v>240</v>
      </c>
      <c r="C181" t="s">
        <v>241</v>
      </c>
      <c r="D181">
        <v>2025</v>
      </c>
      <c r="E181" t="s">
        <v>242</v>
      </c>
      <c r="F181" t="s">
        <v>243</v>
      </c>
      <c r="G181" t="s">
        <v>454</v>
      </c>
      <c r="H181">
        <v>0.93</v>
      </c>
      <c r="I181" t="s">
        <v>173</v>
      </c>
      <c r="J181" t="s">
        <v>528</v>
      </c>
      <c r="K181" t="s">
        <v>528</v>
      </c>
      <c r="L181" t="s">
        <v>524</v>
      </c>
      <c r="M181" t="s">
        <v>454</v>
      </c>
      <c r="N181" t="s">
        <v>454</v>
      </c>
      <c r="O181" t="s">
        <v>531</v>
      </c>
      <c r="P181">
        <v>5</v>
      </c>
      <c r="Q181" t="s">
        <v>459</v>
      </c>
      <c r="R181">
        <v>15</v>
      </c>
      <c r="S181">
        <v>3</v>
      </c>
      <c r="T181">
        <v>3</v>
      </c>
      <c r="U181" t="s">
        <v>173</v>
      </c>
      <c r="V181" t="s">
        <v>173</v>
      </c>
      <c r="W181" t="s">
        <v>173</v>
      </c>
      <c r="X181" t="s">
        <v>173</v>
      </c>
      <c r="Y181" t="s">
        <v>173</v>
      </c>
      <c r="Z181" t="s">
        <v>173</v>
      </c>
      <c r="AA181" t="s">
        <v>173</v>
      </c>
      <c r="AB181" t="s">
        <v>173</v>
      </c>
      <c r="AC181" t="s">
        <v>173</v>
      </c>
      <c r="AD181" t="s">
        <v>173</v>
      </c>
      <c r="AE181" t="s">
        <v>173</v>
      </c>
      <c r="AF181" t="s">
        <v>173</v>
      </c>
      <c r="AG181" t="s">
        <v>173</v>
      </c>
      <c r="AH181" t="s">
        <v>173</v>
      </c>
      <c r="AI181" t="s">
        <v>173</v>
      </c>
      <c r="AJ181" t="s">
        <v>173</v>
      </c>
      <c r="AK181" t="s">
        <v>173</v>
      </c>
      <c r="AL181" t="s">
        <v>173</v>
      </c>
      <c r="AM181" t="s">
        <v>173</v>
      </c>
      <c r="AN181" t="s">
        <v>173</v>
      </c>
      <c r="AO181" t="s">
        <v>173</v>
      </c>
      <c r="AP181" t="s">
        <v>173</v>
      </c>
      <c r="AQ181" t="s">
        <v>173</v>
      </c>
      <c r="AR181" t="s">
        <v>173</v>
      </c>
      <c r="AS181" t="s">
        <v>173</v>
      </c>
      <c r="AT181" t="s">
        <v>173</v>
      </c>
      <c r="AU181" t="s">
        <v>173</v>
      </c>
      <c r="AV181" t="s">
        <v>173</v>
      </c>
      <c r="AW181" t="s">
        <v>173</v>
      </c>
      <c r="AX181" t="s">
        <v>173</v>
      </c>
      <c r="AY181" t="s">
        <v>173</v>
      </c>
      <c r="AZ181" t="s">
        <v>173</v>
      </c>
      <c r="BA181">
        <v>2.9E-11</v>
      </c>
      <c r="BB181">
        <v>6.0000000000000003E-12</v>
      </c>
      <c r="BC181" t="s">
        <v>475</v>
      </c>
      <c r="BD181">
        <f>_xlfn.XLOOKUP(Table7[[#This Row],[WVP_unit]],ConversionFactors!$B$3:$B$10,ConversionFactors!$S$3:$S$10)</f>
        <v>8640000000000000</v>
      </c>
      <c r="BE181">
        <f>Table7[[#This Row],[WVP_value]]*Table7[[#This Row],[WVP_conversion_factor]]</f>
        <v>250560</v>
      </c>
      <c r="BF181">
        <f>Table7[[#This Row],[WVP_SD]]*Table7[[#This Row],[WVP_conversion_factor]]</f>
        <v>51840</v>
      </c>
      <c r="BG181" t="s">
        <v>461</v>
      </c>
      <c r="BH181">
        <v>25</v>
      </c>
      <c r="BI181">
        <v>75</v>
      </c>
      <c r="BJ181">
        <f>10^(8.07131-1730.63/(233.426+Table7[[#This Row],[WVP_temperature_°C]]))*0.00133322368</f>
        <v>3.1579287443259496E-2</v>
      </c>
      <c r="BK181">
        <f>Table7[[#This Row],[WVP_RH_%]]/100*Table7[[#This Row],[WVP_psat_bar]]</f>
        <v>2.3684465582444622E-2</v>
      </c>
      <c r="BL181" t="s">
        <v>173</v>
      </c>
      <c r="BM181" t="s">
        <v>173</v>
      </c>
      <c r="BN181" t="s">
        <v>173</v>
      </c>
      <c r="BO181" t="s">
        <v>173</v>
      </c>
      <c r="BP181">
        <f>Table7[[#This Row],[WVP_g·µm·m-2·d-1·bar-1]]*Table7[[#This Row],[WVP_Δp_bar]]/100</f>
        <v>59.343796963373244</v>
      </c>
      <c r="BQ181">
        <f>Table7[[#This Row],[WVP_SD_g·µm·m-2·d-1 ]]*Table7[[#This Row],[WVP_Δp_bar]]/100</f>
        <v>12.278026957939291</v>
      </c>
      <c r="BR181" t="s">
        <v>461</v>
      </c>
      <c r="BS181">
        <v>25</v>
      </c>
      <c r="BT181">
        <v>75</v>
      </c>
      <c r="BU181">
        <v>3</v>
      </c>
      <c r="BV181" t="s">
        <v>173</v>
      </c>
      <c r="BX181" t="s">
        <v>173</v>
      </c>
      <c r="BY181" t="s">
        <v>173</v>
      </c>
      <c r="BZ181" t="s">
        <v>173</v>
      </c>
      <c r="CA181" t="s">
        <v>173</v>
      </c>
      <c r="CB181" t="s">
        <v>173</v>
      </c>
      <c r="CC181" t="s">
        <v>173</v>
      </c>
      <c r="CD181" t="s">
        <v>173</v>
      </c>
      <c r="CE181" t="s">
        <v>173</v>
      </c>
      <c r="CF181" t="s">
        <v>173</v>
      </c>
      <c r="CG181" t="s">
        <v>173</v>
      </c>
      <c r="CH181" t="s">
        <v>173</v>
      </c>
      <c r="CI181" t="s">
        <v>173</v>
      </c>
      <c r="CJ181" t="s">
        <v>173</v>
      </c>
      <c r="CK181" t="s">
        <v>173</v>
      </c>
      <c r="CL181" t="s">
        <v>173</v>
      </c>
      <c r="CM181" t="s">
        <v>173</v>
      </c>
      <c r="CN181" t="s">
        <v>173</v>
      </c>
      <c r="CO181" t="s">
        <v>173</v>
      </c>
      <c r="CP181" t="s">
        <v>173</v>
      </c>
      <c r="CQ181" t="s">
        <v>173</v>
      </c>
      <c r="CR181" t="s">
        <v>173</v>
      </c>
      <c r="CS181" t="s">
        <v>173</v>
      </c>
      <c r="CT181" t="s">
        <v>173</v>
      </c>
      <c r="CU181" t="s">
        <v>173</v>
      </c>
      <c r="CV181" t="s">
        <v>173</v>
      </c>
      <c r="CW181" t="s">
        <v>173</v>
      </c>
      <c r="CX181" t="s">
        <v>173</v>
      </c>
      <c r="CY181" t="s">
        <v>173</v>
      </c>
      <c r="CZ181" t="s">
        <v>173</v>
      </c>
      <c r="DA181" t="s">
        <v>173</v>
      </c>
      <c r="DB181" t="s">
        <v>173</v>
      </c>
      <c r="DC181" t="s">
        <v>173</v>
      </c>
      <c r="DD181" t="s">
        <v>173</v>
      </c>
      <c r="DE181" t="s">
        <v>173</v>
      </c>
      <c r="DF181" t="s">
        <v>172</v>
      </c>
      <c r="DG181" t="s">
        <v>529</v>
      </c>
      <c r="DH181" t="s">
        <v>173</v>
      </c>
    </row>
    <row r="182" spans="1:112">
      <c r="A182">
        <v>22</v>
      </c>
      <c r="B182" t="s">
        <v>240</v>
      </c>
      <c r="C182" t="s">
        <v>241</v>
      </c>
      <c r="D182">
        <v>2025</v>
      </c>
      <c r="E182" t="s">
        <v>242</v>
      </c>
      <c r="F182" t="s">
        <v>243</v>
      </c>
      <c r="G182" t="s">
        <v>454</v>
      </c>
      <c r="H182">
        <v>0.93</v>
      </c>
      <c r="I182" t="s">
        <v>173</v>
      </c>
      <c r="J182" t="s">
        <v>528</v>
      </c>
      <c r="K182" t="s">
        <v>528</v>
      </c>
      <c r="L182" t="s">
        <v>524</v>
      </c>
      <c r="M182" t="s">
        <v>454</v>
      </c>
      <c r="N182" t="s">
        <v>454</v>
      </c>
      <c r="O182" t="s">
        <v>531</v>
      </c>
      <c r="P182">
        <v>10</v>
      </c>
      <c r="Q182" t="s">
        <v>459</v>
      </c>
      <c r="R182">
        <v>60</v>
      </c>
      <c r="S182">
        <v>5</v>
      </c>
      <c r="T182">
        <v>3</v>
      </c>
      <c r="U182" t="s">
        <v>173</v>
      </c>
      <c r="V182" t="s">
        <v>173</v>
      </c>
      <c r="W182" t="s">
        <v>173</v>
      </c>
      <c r="X182" t="s">
        <v>173</v>
      </c>
      <c r="Y182" t="s">
        <v>173</v>
      </c>
      <c r="Z182" t="s">
        <v>173</v>
      </c>
      <c r="AA182" t="s">
        <v>173</v>
      </c>
      <c r="AB182" t="s">
        <v>173</v>
      </c>
      <c r="AC182" t="s">
        <v>173</v>
      </c>
      <c r="AD182" t="s">
        <v>173</v>
      </c>
      <c r="AE182" t="s">
        <v>173</v>
      </c>
      <c r="AF182" t="s">
        <v>173</v>
      </c>
      <c r="AG182" t="s">
        <v>173</v>
      </c>
      <c r="AH182" t="s">
        <v>173</v>
      </c>
      <c r="AI182" t="s">
        <v>173</v>
      </c>
      <c r="AJ182" t="s">
        <v>173</v>
      </c>
      <c r="AK182" t="s">
        <v>173</v>
      </c>
      <c r="AL182" t="s">
        <v>173</v>
      </c>
      <c r="AM182" t="s">
        <v>173</v>
      </c>
      <c r="AN182" t="s">
        <v>173</v>
      </c>
      <c r="AO182" t="s">
        <v>173</v>
      </c>
      <c r="AP182" t="s">
        <v>173</v>
      </c>
      <c r="AQ182" t="s">
        <v>173</v>
      </c>
      <c r="AR182" t="s">
        <v>173</v>
      </c>
      <c r="AS182" t="s">
        <v>173</v>
      </c>
      <c r="AT182" t="s">
        <v>173</v>
      </c>
      <c r="AU182" t="s">
        <v>173</v>
      </c>
      <c r="AV182" t="s">
        <v>173</v>
      </c>
      <c r="AW182" t="s">
        <v>173</v>
      </c>
      <c r="AX182" t="s">
        <v>173</v>
      </c>
      <c r="AY182" t="s">
        <v>173</v>
      </c>
      <c r="AZ182" t="s">
        <v>173</v>
      </c>
      <c r="BA182">
        <v>1.15E-10</v>
      </c>
      <c r="BB182">
        <v>1.4E-11</v>
      </c>
      <c r="BC182" t="s">
        <v>475</v>
      </c>
      <c r="BD182">
        <f>_xlfn.XLOOKUP(Table7[[#This Row],[WVP_unit]],ConversionFactors!$B$3:$B$10,ConversionFactors!$S$3:$S$10)</f>
        <v>8640000000000000</v>
      </c>
      <c r="BE182">
        <f>Table7[[#This Row],[WVP_value]]*Table7[[#This Row],[WVP_conversion_factor]]</f>
        <v>993600</v>
      </c>
      <c r="BF182">
        <f>Table7[[#This Row],[WVP_SD]]*Table7[[#This Row],[WVP_conversion_factor]]</f>
        <v>120960</v>
      </c>
      <c r="BG182" t="s">
        <v>461</v>
      </c>
      <c r="BH182">
        <v>25</v>
      </c>
      <c r="BI182">
        <v>75</v>
      </c>
      <c r="BJ182">
        <f>10^(8.07131-1730.63/(233.426+Table7[[#This Row],[WVP_temperature_°C]]))*0.00133322368</f>
        <v>3.1579287443259496E-2</v>
      </c>
      <c r="BK182">
        <f>Table7[[#This Row],[WVP_RH_%]]/100*Table7[[#This Row],[WVP_psat_bar]]</f>
        <v>2.3684465582444622E-2</v>
      </c>
      <c r="BL182" t="s">
        <v>173</v>
      </c>
      <c r="BM182" t="s">
        <v>173</v>
      </c>
      <c r="BN182" t="s">
        <v>173</v>
      </c>
      <c r="BO182" t="s">
        <v>173</v>
      </c>
      <c r="BP182">
        <f>Table7[[#This Row],[WVP_g·µm·m-2·d-1·bar-1]]*Table7[[#This Row],[WVP_Δp_bar]]/100</f>
        <v>235.32885002716975</v>
      </c>
      <c r="BQ182">
        <f>Table7[[#This Row],[WVP_SD_g·µm·m-2·d-1 ]]*Table7[[#This Row],[WVP_Δp_bar]]/100</f>
        <v>28.648729568525013</v>
      </c>
      <c r="BR182" t="s">
        <v>461</v>
      </c>
      <c r="BS182">
        <v>25</v>
      </c>
      <c r="BT182">
        <v>75</v>
      </c>
      <c r="BU182">
        <v>3</v>
      </c>
      <c r="BV182" t="s">
        <v>173</v>
      </c>
      <c r="BX182" t="s">
        <v>173</v>
      </c>
      <c r="BY182" t="s">
        <v>173</v>
      </c>
      <c r="BZ182" t="s">
        <v>173</v>
      </c>
      <c r="CA182" t="s">
        <v>173</v>
      </c>
      <c r="CB182" t="s">
        <v>173</v>
      </c>
      <c r="CC182" t="s">
        <v>173</v>
      </c>
      <c r="CD182" t="s">
        <v>173</v>
      </c>
      <c r="CE182" t="s">
        <v>173</v>
      </c>
      <c r="CF182" t="s">
        <v>173</v>
      </c>
      <c r="CG182" t="s">
        <v>173</v>
      </c>
      <c r="CH182" t="s">
        <v>173</v>
      </c>
      <c r="CI182" t="s">
        <v>173</v>
      </c>
      <c r="CJ182" t="s">
        <v>173</v>
      </c>
      <c r="CK182" t="s">
        <v>173</v>
      </c>
      <c r="CL182" t="s">
        <v>173</v>
      </c>
      <c r="CM182" t="s">
        <v>173</v>
      </c>
      <c r="CN182" t="s">
        <v>173</v>
      </c>
      <c r="CO182" t="s">
        <v>173</v>
      </c>
      <c r="CP182" t="s">
        <v>173</v>
      </c>
      <c r="CQ182" t="s">
        <v>173</v>
      </c>
      <c r="CR182" t="s">
        <v>173</v>
      </c>
      <c r="CS182" t="s">
        <v>173</v>
      </c>
      <c r="CT182" t="s">
        <v>173</v>
      </c>
      <c r="CU182" t="s">
        <v>173</v>
      </c>
      <c r="CV182" t="s">
        <v>173</v>
      </c>
      <c r="CW182" t="s">
        <v>173</v>
      </c>
      <c r="CX182" t="s">
        <v>173</v>
      </c>
      <c r="CY182" t="s">
        <v>173</v>
      </c>
      <c r="CZ182" t="s">
        <v>173</v>
      </c>
      <c r="DA182" t="s">
        <v>173</v>
      </c>
      <c r="DB182" t="s">
        <v>173</v>
      </c>
      <c r="DC182" t="s">
        <v>173</v>
      </c>
      <c r="DD182" t="s">
        <v>173</v>
      </c>
      <c r="DE182" t="s">
        <v>173</v>
      </c>
      <c r="DF182" t="s">
        <v>172</v>
      </c>
      <c r="DG182" t="s">
        <v>529</v>
      </c>
      <c r="DH182" t="s">
        <v>173</v>
      </c>
    </row>
    <row r="183" spans="1:112">
      <c r="A183">
        <v>22</v>
      </c>
      <c r="B183" t="s">
        <v>240</v>
      </c>
      <c r="C183" t="s">
        <v>241</v>
      </c>
      <c r="D183">
        <v>2025</v>
      </c>
      <c r="E183" t="s">
        <v>242</v>
      </c>
      <c r="F183" t="s">
        <v>243</v>
      </c>
      <c r="G183" t="s">
        <v>454</v>
      </c>
      <c r="H183">
        <v>0.93</v>
      </c>
      <c r="I183" t="s">
        <v>173</v>
      </c>
      <c r="J183" t="s">
        <v>528</v>
      </c>
      <c r="K183" t="s">
        <v>528</v>
      </c>
      <c r="L183" t="s">
        <v>524</v>
      </c>
      <c r="M183" t="s">
        <v>454</v>
      </c>
      <c r="N183" t="s">
        <v>454</v>
      </c>
      <c r="O183" t="s">
        <v>173</v>
      </c>
      <c r="P183" t="s">
        <v>173</v>
      </c>
      <c r="Q183" t="s">
        <v>459</v>
      </c>
      <c r="R183">
        <v>25</v>
      </c>
      <c r="S183">
        <v>8</v>
      </c>
      <c r="T183">
        <v>3</v>
      </c>
      <c r="U183" t="s">
        <v>173</v>
      </c>
      <c r="V183" t="s">
        <v>173</v>
      </c>
      <c r="W183" t="s">
        <v>173</v>
      </c>
      <c r="X183" t="s">
        <v>173</v>
      </c>
      <c r="Y183" t="s">
        <v>173</v>
      </c>
      <c r="Z183" t="s">
        <v>173</v>
      </c>
      <c r="AA183" t="s">
        <v>173</v>
      </c>
      <c r="AB183" t="s">
        <v>173</v>
      </c>
      <c r="AC183" t="s">
        <v>173</v>
      </c>
      <c r="AD183" t="s">
        <v>173</v>
      </c>
      <c r="AE183" t="s">
        <v>173</v>
      </c>
      <c r="AF183" t="s">
        <v>173</v>
      </c>
      <c r="AG183" t="s">
        <v>173</v>
      </c>
      <c r="AH183" t="s">
        <v>173</v>
      </c>
      <c r="AI183" t="s">
        <v>173</v>
      </c>
      <c r="AJ183" t="s">
        <v>173</v>
      </c>
      <c r="AK183" t="s">
        <v>173</v>
      </c>
      <c r="AL183" t="s">
        <v>173</v>
      </c>
      <c r="AM183" t="s">
        <v>173</v>
      </c>
      <c r="AN183" t="s">
        <v>173</v>
      </c>
      <c r="AO183" t="s">
        <v>173</v>
      </c>
      <c r="AP183" t="s">
        <v>173</v>
      </c>
      <c r="AQ183" t="s">
        <v>173</v>
      </c>
      <c r="AR183" t="s">
        <v>173</v>
      </c>
      <c r="AS183" t="s">
        <v>173</v>
      </c>
      <c r="AT183" t="s">
        <v>173</v>
      </c>
      <c r="AU183" t="s">
        <v>173</v>
      </c>
      <c r="AV183" t="s">
        <v>173</v>
      </c>
      <c r="AW183" t="s">
        <v>173</v>
      </c>
      <c r="AX183" t="s">
        <v>173</v>
      </c>
      <c r="AY183" t="s">
        <v>173</v>
      </c>
      <c r="AZ183" t="s">
        <v>173</v>
      </c>
      <c r="BA183">
        <v>8.2000000000000001E-11</v>
      </c>
      <c r="BB183">
        <v>3.9999999999999999E-12</v>
      </c>
      <c r="BC183" t="s">
        <v>475</v>
      </c>
      <c r="BD183">
        <f>_xlfn.XLOOKUP(Table7[[#This Row],[WVP_unit]],ConversionFactors!$B$3:$B$10,ConversionFactors!$S$3:$S$10)</f>
        <v>8640000000000000</v>
      </c>
      <c r="BE183">
        <f>Table7[[#This Row],[WVP_value]]*Table7[[#This Row],[WVP_conversion_factor]]</f>
        <v>708480</v>
      </c>
      <c r="BF183">
        <f>Table7[[#This Row],[WVP_SD]]*Table7[[#This Row],[WVP_conversion_factor]]</f>
        <v>34560</v>
      </c>
      <c r="BG183" t="s">
        <v>461</v>
      </c>
      <c r="BH183">
        <v>25</v>
      </c>
      <c r="BI183">
        <v>75</v>
      </c>
      <c r="BJ183">
        <f>10^(8.07131-1730.63/(233.426+Table7[[#This Row],[WVP_temperature_°C]]))*0.00133322368</f>
        <v>3.1579287443259496E-2</v>
      </c>
      <c r="BK183">
        <f>Table7[[#This Row],[WVP_RH_%]]/100*Table7[[#This Row],[WVP_psat_bar]]</f>
        <v>2.3684465582444622E-2</v>
      </c>
      <c r="BL183" t="s">
        <v>173</v>
      </c>
      <c r="BM183" t="s">
        <v>173</v>
      </c>
      <c r="BN183" t="s">
        <v>173</v>
      </c>
      <c r="BO183" t="s">
        <v>173</v>
      </c>
      <c r="BP183">
        <f>Table7[[#This Row],[WVP_g·µm·m-2·d-1·bar-1]]*Table7[[#This Row],[WVP_Δp_bar]]/100</f>
        <v>167.79970175850366</v>
      </c>
      <c r="BQ183">
        <f>Table7[[#This Row],[WVP_SD_g·µm·m-2·d-1 ]]*Table7[[#This Row],[WVP_Δp_bar]]/100</f>
        <v>8.1853513052928619</v>
      </c>
      <c r="BR183" t="s">
        <v>461</v>
      </c>
      <c r="BS183">
        <v>25</v>
      </c>
      <c r="BT183">
        <v>75</v>
      </c>
      <c r="BU183">
        <v>3</v>
      </c>
      <c r="BV183" t="s">
        <v>173</v>
      </c>
      <c r="BX183" t="s">
        <v>173</v>
      </c>
      <c r="BY183" t="s">
        <v>173</v>
      </c>
      <c r="BZ183" t="s">
        <v>173</v>
      </c>
      <c r="CA183" t="s">
        <v>173</v>
      </c>
      <c r="CB183" t="s">
        <v>173</v>
      </c>
      <c r="CC183" t="s">
        <v>173</v>
      </c>
      <c r="CD183" t="s">
        <v>173</v>
      </c>
      <c r="CE183" t="s">
        <v>173</v>
      </c>
      <c r="CF183" t="s">
        <v>173</v>
      </c>
      <c r="CG183" t="s">
        <v>173</v>
      </c>
      <c r="CH183" t="s">
        <v>173</v>
      </c>
      <c r="CI183" t="s">
        <v>173</v>
      </c>
      <c r="CJ183" t="s">
        <v>173</v>
      </c>
      <c r="CK183" t="s">
        <v>173</v>
      </c>
      <c r="CL183" t="s">
        <v>173</v>
      </c>
      <c r="CM183" t="s">
        <v>173</v>
      </c>
      <c r="CN183" t="s">
        <v>173</v>
      </c>
      <c r="CO183" t="s">
        <v>173</v>
      </c>
      <c r="CP183" t="s">
        <v>173</v>
      </c>
      <c r="CQ183" t="s">
        <v>173</v>
      </c>
      <c r="CR183" t="s">
        <v>173</v>
      </c>
      <c r="CS183" t="s">
        <v>173</v>
      </c>
      <c r="CT183" t="s">
        <v>173</v>
      </c>
      <c r="CU183" t="s">
        <v>173</v>
      </c>
      <c r="CV183" t="s">
        <v>173</v>
      </c>
      <c r="CW183" t="s">
        <v>173</v>
      </c>
      <c r="CX183" t="s">
        <v>173</v>
      </c>
      <c r="CY183" t="s">
        <v>173</v>
      </c>
      <c r="CZ183" t="s">
        <v>173</v>
      </c>
      <c r="DA183" t="s">
        <v>173</v>
      </c>
      <c r="DB183" t="s">
        <v>173</v>
      </c>
      <c r="DC183" t="s">
        <v>173</v>
      </c>
      <c r="DD183" t="s">
        <v>173</v>
      </c>
      <c r="DE183" t="s">
        <v>173</v>
      </c>
      <c r="DF183" t="s">
        <v>172</v>
      </c>
      <c r="DG183" t="s">
        <v>529</v>
      </c>
      <c r="DH183" t="s">
        <v>173</v>
      </c>
    </row>
    <row r="184" spans="1:112">
      <c r="A184">
        <v>24</v>
      </c>
      <c r="B184" t="s">
        <v>532</v>
      </c>
      <c r="C184" t="s">
        <v>533</v>
      </c>
      <c r="D184">
        <v>2025</v>
      </c>
      <c r="E184" t="s">
        <v>177</v>
      </c>
      <c r="F184" t="s">
        <v>534</v>
      </c>
      <c r="G184" t="s">
        <v>454</v>
      </c>
      <c r="H184">
        <v>0.93</v>
      </c>
      <c r="I184" t="s">
        <v>173</v>
      </c>
      <c r="J184" t="s">
        <v>495</v>
      </c>
      <c r="K184" t="s">
        <v>495</v>
      </c>
      <c r="L184" t="s">
        <v>496</v>
      </c>
      <c r="M184" t="s">
        <v>454</v>
      </c>
      <c r="N184" t="s">
        <v>454</v>
      </c>
      <c r="O184" t="s">
        <v>173</v>
      </c>
      <c r="P184" t="s">
        <v>173</v>
      </c>
      <c r="Q184" t="s">
        <v>517</v>
      </c>
      <c r="R184">
        <v>140</v>
      </c>
      <c r="S184">
        <v>0</v>
      </c>
      <c r="T184">
        <v>3</v>
      </c>
      <c r="U184" t="s">
        <v>173</v>
      </c>
      <c r="V184" t="s">
        <v>173</v>
      </c>
      <c r="W184" t="s">
        <v>173</v>
      </c>
      <c r="X184" t="s">
        <v>173</v>
      </c>
      <c r="Y184" t="s">
        <v>173</v>
      </c>
      <c r="Z184" t="s">
        <v>173</v>
      </c>
      <c r="AA184" t="s">
        <v>173</v>
      </c>
      <c r="AB184" t="s">
        <v>173</v>
      </c>
      <c r="AC184" t="s">
        <v>173</v>
      </c>
      <c r="AD184" t="s">
        <v>173</v>
      </c>
      <c r="AE184" t="s">
        <v>173</v>
      </c>
      <c r="AF184" t="s">
        <v>173</v>
      </c>
      <c r="AG184" t="s">
        <v>173</v>
      </c>
      <c r="AH184" t="s">
        <v>173</v>
      </c>
      <c r="AI184" t="s">
        <v>173</v>
      </c>
      <c r="AJ184" t="s">
        <v>173</v>
      </c>
      <c r="AK184" t="s">
        <v>173</v>
      </c>
      <c r="AL184" t="s">
        <v>173</v>
      </c>
      <c r="AM184" t="s">
        <v>173</v>
      </c>
      <c r="AN184" t="s">
        <v>173</v>
      </c>
      <c r="AO184" t="s">
        <v>173</v>
      </c>
      <c r="AP184" t="s">
        <v>173</v>
      </c>
      <c r="AQ184" t="s">
        <v>173</v>
      </c>
      <c r="AR184" t="s">
        <v>173</v>
      </c>
      <c r="AS184" t="s">
        <v>173</v>
      </c>
      <c r="AT184" t="s">
        <v>173</v>
      </c>
      <c r="AU184" t="s">
        <v>173</v>
      </c>
      <c r="AV184" t="s">
        <v>173</v>
      </c>
      <c r="AW184" t="s">
        <v>173</v>
      </c>
      <c r="AX184" t="s">
        <v>173</v>
      </c>
      <c r="AY184" t="s">
        <v>173</v>
      </c>
      <c r="AZ184" t="s">
        <v>173</v>
      </c>
      <c r="BA184" s="3">
        <v>4.8999999999999999E-11</v>
      </c>
      <c r="BB184" s="3">
        <v>1.1000000000000001E-11</v>
      </c>
      <c r="BC184" t="s">
        <v>475</v>
      </c>
      <c r="BD184">
        <f>_xlfn.XLOOKUP(Table7[[#This Row],[WVP_unit]],ConversionFactors!$B$3:$B$10,ConversionFactors!$S$3:$S$10)</f>
        <v>8640000000000000</v>
      </c>
      <c r="BE184">
        <f>Table7[[#This Row],[WVP_value]]*Table7[[#This Row],[WVP_conversion_factor]]</f>
        <v>423360</v>
      </c>
      <c r="BF184">
        <f>Table7[[#This Row],[WVP_SD]]*Table7[[#This Row],[WVP_conversion_factor]]</f>
        <v>95040</v>
      </c>
      <c r="BG184" t="s">
        <v>461</v>
      </c>
      <c r="BH184">
        <v>25</v>
      </c>
      <c r="BI184">
        <v>53</v>
      </c>
      <c r="BJ184">
        <f>10^(8.07131-1730.63/(233.426+Table7[[#This Row],[WVP_temperature_°C]]))*0.00133322368</f>
        <v>3.1579287443259496E-2</v>
      </c>
      <c r="BK184">
        <f>Table7[[#This Row],[WVP_RH_%]]/100*Table7[[#This Row],[WVP_psat_bar]]</f>
        <v>1.6737022344927535E-2</v>
      </c>
      <c r="BL184" t="s">
        <v>173</v>
      </c>
      <c r="BM184" t="s">
        <v>173</v>
      </c>
      <c r="BN184" t="s">
        <v>173</v>
      </c>
      <c r="BO184" t="s">
        <v>173</v>
      </c>
      <c r="BP184">
        <f>Table7[[#This Row],[WVP_g·µm·m-2·d-1·bar-1]]*Table7[[#This Row],[WVP_Δp_bar]]/100</f>
        <v>70.857857799485203</v>
      </c>
      <c r="BQ184">
        <f>Table7[[#This Row],[WVP_SD_g·µm·m-2·d-1 ]]*Table7[[#This Row],[WVP_Δp_bar]]/100</f>
        <v>15.906866036619128</v>
      </c>
      <c r="BR184" t="s">
        <v>461</v>
      </c>
      <c r="BS184">
        <v>25</v>
      </c>
      <c r="BT184">
        <v>53</v>
      </c>
      <c r="BU184">
        <v>3</v>
      </c>
      <c r="BV184" t="s">
        <v>173</v>
      </c>
      <c r="BX184" t="s">
        <v>173</v>
      </c>
      <c r="BY184" t="s">
        <v>173</v>
      </c>
      <c r="BZ184" t="s">
        <v>173</v>
      </c>
      <c r="CA184" t="s">
        <v>173</v>
      </c>
      <c r="CB184" t="s">
        <v>173</v>
      </c>
      <c r="CC184" t="s">
        <v>173</v>
      </c>
      <c r="CD184" t="s">
        <v>173</v>
      </c>
      <c r="CE184" t="s">
        <v>173</v>
      </c>
      <c r="CF184" t="s">
        <v>173</v>
      </c>
      <c r="CG184" t="s">
        <v>173</v>
      </c>
      <c r="CH184" t="s">
        <v>173</v>
      </c>
      <c r="CI184" t="s">
        <v>173</v>
      </c>
      <c r="CJ184" t="s">
        <v>173</v>
      </c>
      <c r="CK184" t="s">
        <v>173</v>
      </c>
      <c r="CL184" t="s">
        <v>173</v>
      </c>
      <c r="CM184" t="s">
        <v>173</v>
      </c>
      <c r="CN184" t="s">
        <v>173</v>
      </c>
      <c r="CO184" t="s">
        <v>173</v>
      </c>
      <c r="CP184" t="s">
        <v>173</v>
      </c>
      <c r="CQ184" t="s">
        <v>173</v>
      </c>
      <c r="CR184" t="s">
        <v>173</v>
      </c>
      <c r="CS184" t="s">
        <v>173</v>
      </c>
      <c r="CT184" t="s">
        <v>173</v>
      </c>
      <c r="CU184" t="s">
        <v>173</v>
      </c>
      <c r="CV184" t="s">
        <v>173</v>
      </c>
      <c r="CW184" t="s">
        <v>173</v>
      </c>
      <c r="CX184" t="s">
        <v>173</v>
      </c>
      <c r="CY184" t="s">
        <v>173</v>
      </c>
      <c r="CZ184" t="s">
        <v>173</v>
      </c>
      <c r="DA184" t="s">
        <v>173</v>
      </c>
      <c r="DB184" t="s">
        <v>173</v>
      </c>
      <c r="DC184" t="s">
        <v>173</v>
      </c>
      <c r="DD184" t="s">
        <v>173</v>
      </c>
      <c r="DE184" t="s">
        <v>173</v>
      </c>
      <c r="DF184" t="s">
        <v>172</v>
      </c>
      <c r="DG184" t="s">
        <v>535</v>
      </c>
      <c r="DH184" t="s">
        <v>173</v>
      </c>
    </row>
    <row r="185" spans="1:112">
      <c r="A185">
        <v>24</v>
      </c>
      <c r="B185" t="s">
        <v>532</v>
      </c>
      <c r="C185" t="s">
        <v>533</v>
      </c>
      <c r="D185">
        <v>2025</v>
      </c>
      <c r="E185" t="s">
        <v>177</v>
      </c>
      <c r="F185" t="s">
        <v>534</v>
      </c>
      <c r="G185" t="s">
        <v>454</v>
      </c>
      <c r="H185">
        <v>0.93</v>
      </c>
      <c r="I185" t="s">
        <v>173</v>
      </c>
      <c r="J185" t="s">
        <v>503</v>
      </c>
      <c r="K185" t="s">
        <v>503</v>
      </c>
      <c r="L185" t="s">
        <v>536</v>
      </c>
      <c r="M185" t="s">
        <v>172</v>
      </c>
      <c r="N185" t="s">
        <v>454</v>
      </c>
      <c r="O185" t="s">
        <v>458</v>
      </c>
      <c r="P185">
        <v>10</v>
      </c>
      <c r="Q185" t="s">
        <v>517</v>
      </c>
      <c r="R185">
        <v>170</v>
      </c>
      <c r="S185">
        <v>0</v>
      </c>
      <c r="T185">
        <v>3</v>
      </c>
      <c r="U185" t="s">
        <v>173</v>
      </c>
      <c r="V185" t="s">
        <v>173</v>
      </c>
      <c r="W185" t="s">
        <v>173</v>
      </c>
      <c r="X185" t="s">
        <v>173</v>
      </c>
      <c r="Y185" t="s">
        <v>173</v>
      </c>
      <c r="Z185" t="s">
        <v>173</v>
      </c>
      <c r="AA185" t="s">
        <v>173</v>
      </c>
      <c r="AB185" t="s">
        <v>173</v>
      </c>
      <c r="AC185" t="s">
        <v>173</v>
      </c>
      <c r="AD185" t="s">
        <v>173</v>
      </c>
      <c r="AE185" t="s">
        <v>173</v>
      </c>
      <c r="AF185" t="s">
        <v>173</v>
      </c>
      <c r="AG185" t="s">
        <v>173</v>
      </c>
      <c r="AH185" t="s">
        <v>173</v>
      </c>
      <c r="AI185" t="s">
        <v>173</v>
      </c>
      <c r="AJ185" t="s">
        <v>173</v>
      </c>
      <c r="AK185" t="s">
        <v>173</v>
      </c>
      <c r="AL185" t="s">
        <v>173</v>
      </c>
      <c r="AM185" t="s">
        <v>173</v>
      </c>
      <c r="AN185" t="s">
        <v>173</v>
      </c>
      <c r="AO185" t="s">
        <v>173</v>
      </c>
      <c r="AP185" t="s">
        <v>173</v>
      </c>
      <c r="AQ185" t="s">
        <v>173</v>
      </c>
      <c r="AR185" t="s">
        <v>173</v>
      </c>
      <c r="AS185" t="s">
        <v>173</v>
      </c>
      <c r="AT185" t="s">
        <v>173</v>
      </c>
      <c r="AU185" t="s">
        <v>173</v>
      </c>
      <c r="AV185" t="s">
        <v>173</v>
      </c>
      <c r="AW185" t="s">
        <v>173</v>
      </c>
      <c r="AX185" t="s">
        <v>173</v>
      </c>
      <c r="AY185" t="s">
        <v>173</v>
      </c>
      <c r="AZ185" t="s">
        <v>173</v>
      </c>
      <c r="BA185" s="3">
        <v>2.1900000000000001E-9</v>
      </c>
      <c r="BB185" s="3">
        <v>5.0000000000000002E-11</v>
      </c>
      <c r="BC185" t="s">
        <v>475</v>
      </c>
      <c r="BD185">
        <f>_xlfn.XLOOKUP(Table7[[#This Row],[WVP_unit]],ConversionFactors!$B$3:$B$10,ConversionFactors!$S$3:$S$10)</f>
        <v>8640000000000000</v>
      </c>
      <c r="BE185">
        <f>Table7[[#This Row],[WVP_value]]*Table7[[#This Row],[WVP_conversion_factor]]</f>
        <v>18921600</v>
      </c>
      <c r="BF185">
        <f>Table7[[#This Row],[WVP_SD]]*Table7[[#This Row],[WVP_conversion_factor]]</f>
        <v>432000</v>
      </c>
      <c r="BG185" t="s">
        <v>461</v>
      </c>
      <c r="BH185">
        <v>25</v>
      </c>
      <c r="BI185">
        <v>53</v>
      </c>
      <c r="BJ185">
        <f>10^(8.07131-1730.63/(233.426+Table7[[#This Row],[WVP_temperature_°C]]))*0.00133322368</f>
        <v>3.1579287443259496E-2</v>
      </c>
      <c r="BK185">
        <f>Table7[[#This Row],[WVP_RH_%]]/100*Table7[[#This Row],[WVP_psat_bar]]</f>
        <v>1.6737022344927535E-2</v>
      </c>
      <c r="BL185" t="s">
        <v>173</v>
      </c>
      <c r="BM185" t="s">
        <v>173</v>
      </c>
      <c r="BN185" t="s">
        <v>173</v>
      </c>
      <c r="BO185" t="s">
        <v>173</v>
      </c>
      <c r="BP185">
        <f>Table7[[#This Row],[WVP_g·µm·m-2·d-1·bar-1]]*Table7[[#This Row],[WVP_Δp_bar]]/100</f>
        <v>3166.9124200178085</v>
      </c>
      <c r="BQ185">
        <f>Table7[[#This Row],[WVP_SD_g·µm·m-2·d-1 ]]*Table7[[#This Row],[WVP_Δp_bar]]/100</f>
        <v>72.303936530086943</v>
      </c>
      <c r="BR185" t="s">
        <v>461</v>
      </c>
      <c r="BS185">
        <v>25</v>
      </c>
      <c r="BT185">
        <v>53</v>
      </c>
      <c r="BU185">
        <v>3</v>
      </c>
      <c r="BV185" t="s">
        <v>173</v>
      </c>
      <c r="BX185" t="s">
        <v>173</v>
      </c>
      <c r="BY185" t="s">
        <v>173</v>
      </c>
      <c r="BZ185" t="s">
        <v>173</v>
      </c>
      <c r="CA185" t="s">
        <v>173</v>
      </c>
      <c r="CB185" t="s">
        <v>173</v>
      </c>
      <c r="CC185" t="s">
        <v>173</v>
      </c>
      <c r="CD185" t="s">
        <v>173</v>
      </c>
      <c r="CE185" t="s">
        <v>173</v>
      </c>
      <c r="CF185" t="s">
        <v>173</v>
      </c>
      <c r="CG185" t="s">
        <v>173</v>
      </c>
      <c r="CH185" t="s">
        <v>173</v>
      </c>
      <c r="CI185" t="s">
        <v>173</v>
      </c>
      <c r="CJ185" t="s">
        <v>173</v>
      </c>
      <c r="CK185" t="s">
        <v>173</v>
      </c>
      <c r="CL185" t="s">
        <v>173</v>
      </c>
      <c r="CM185" t="s">
        <v>173</v>
      </c>
      <c r="CN185" t="s">
        <v>173</v>
      </c>
      <c r="CO185" t="s">
        <v>173</v>
      </c>
      <c r="CP185" t="s">
        <v>173</v>
      </c>
      <c r="CQ185" t="s">
        <v>173</v>
      </c>
      <c r="CR185" t="s">
        <v>173</v>
      </c>
      <c r="CS185" t="s">
        <v>173</v>
      </c>
      <c r="CT185" t="s">
        <v>173</v>
      </c>
      <c r="CU185" t="s">
        <v>173</v>
      </c>
      <c r="CV185" t="s">
        <v>173</v>
      </c>
      <c r="CW185" t="s">
        <v>173</v>
      </c>
      <c r="CX185" t="s">
        <v>173</v>
      </c>
      <c r="CY185" t="s">
        <v>173</v>
      </c>
      <c r="CZ185" t="s">
        <v>173</v>
      </c>
      <c r="DA185" t="s">
        <v>173</v>
      </c>
      <c r="DB185" t="s">
        <v>173</v>
      </c>
      <c r="DC185" t="s">
        <v>173</v>
      </c>
      <c r="DD185" t="s">
        <v>173</v>
      </c>
      <c r="DE185" t="s">
        <v>173</v>
      </c>
      <c r="DF185" t="s">
        <v>172</v>
      </c>
      <c r="DG185" t="s">
        <v>535</v>
      </c>
      <c r="DH185" t="s">
        <v>173</v>
      </c>
    </row>
    <row r="186" spans="1:112">
      <c r="A186">
        <v>27</v>
      </c>
      <c r="B186" t="s">
        <v>255</v>
      </c>
      <c r="C186" t="s">
        <v>256</v>
      </c>
      <c r="D186">
        <v>2025</v>
      </c>
      <c r="E186" t="s">
        <v>195</v>
      </c>
      <c r="F186" t="s">
        <v>257</v>
      </c>
      <c r="G186" t="s">
        <v>454</v>
      </c>
      <c r="H186">
        <v>1</v>
      </c>
      <c r="I186" t="s">
        <v>173</v>
      </c>
      <c r="J186" t="s">
        <v>537</v>
      </c>
      <c r="K186" t="s">
        <v>537</v>
      </c>
      <c r="L186" t="s">
        <v>457</v>
      </c>
      <c r="M186" t="s">
        <v>454</v>
      </c>
      <c r="N186" t="s">
        <v>454</v>
      </c>
      <c r="O186" t="s">
        <v>173</v>
      </c>
      <c r="P186" t="s">
        <v>173</v>
      </c>
      <c r="Q186" t="s">
        <v>459</v>
      </c>
      <c r="R186">
        <v>39.369999999999997</v>
      </c>
      <c r="S186">
        <v>1.59</v>
      </c>
      <c r="T186">
        <v>10</v>
      </c>
      <c r="U186" t="s">
        <v>173</v>
      </c>
      <c r="V186" t="s">
        <v>173</v>
      </c>
      <c r="W186" t="s">
        <v>173</v>
      </c>
      <c r="X186" t="s">
        <v>173</v>
      </c>
      <c r="Y186" t="s">
        <v>173</v>
      </c>
      <c r="Z186" t="s">
        <v>173</v>
      </c>
      <c r="AA186" t="s">
        <v>173</v>
      </c>
      <c r="AB186" t="s">
        <v>173</v>
      </c>
      <c r="AC186" t="s">
        <v>173</v>
      </c>
      <c r="AD186" t="s">
        <v>173</v>
      </c>
      <c r="AE186" t="s">
        <v>173</v>
      </c>
      <c r="AF186" t="s">
        <v>173</v>
      </c>
      <c r="AG186" t="s">
        <v>173</v>
      </c>
      <c r="AH186" t="s">
        <v>173</v>
      </c>
      <c r="AI186" t="s">
        <v>173</v>
      </c>
      <c r="AJ186" t="s">
        <v>173</v>
      </c>
      <c r="AK186" t="s">
        <v>173</v>
      </c>
      <c r="AL186" t="s">
        <v>173</v>
      </c>
      <c r="AM186" t="s">
        <v>173</v>
      </c>
      <c r="AN186" t="s">
        <v>173</v>
      </c>
      <c r="AO186" t="s">
        <v>173</v>
      </c>
      <c r="AP186" t="s">
        <v>173</v>
      </c>
      <c r="AQ186" t="s">
        <v>173</v>
      </c>
      <c r="AR186" t="s">
        <v>173</v>
      </c>
      <c r="AS186" t="s">
        <v>173</v>
      </c>
      <c r="AT186" t="s">
        <v>173</v>
      </c>
      <c r="AU186" t="s">
        <v>173</v>
      </c>
      <c r="AV186" t="s">
        <v>173</v>
      </c>
      <c r="AW186" t="s">
        <v>173</v>
      </c>
      <c r="AX186" t="s">
        <v>173</v>
      </c>
      <c r="AY186" t="s">
        <v>173</v>
      </c>
      <c r="AZ186" t="s">
        <v>173</v>
      </c>
      <c r="BA186" s="3">
        <v>6.6500000000000007E-8</v>
      </c>
      <c r="BB186" s="3">
        <v>8.0000000000000003E-10</v>
      </c>
      <c r="BC186" t="s">
        <v>475</v>
      </c>
      <c r="BD186">
        <f>_xlfn.XLOOKUP(Table7[[#This Row],[WVP_unit]],ConversionFactors!$B$3:$B$10,ConversionFactors!$S$3:$S$10)</f>
        <v>8640000000000000</v>
      </c>
      <c r="BE186">
        <f>Table7[[#This Row],[WVP_value]]*Table7[[#This Row],[WVP_conversion_factor]]</f>
        <v>574560000</v>
      </c>
      <c r="BF186">
        <f>Table7[[#This Row],[WVP_SD]]*Table7[[#This Row],[WVP_conversion_factor]]</f>
        <v>6912000</v>
      </c>
      <c r="BG186" t="s">
        <v>461</v>
      </c>
      <c r="BH186">
        <v>25</v>
      </c>
      <c r="BI186">
        <v>90</v>
      </c>
      <c r="BJ186">
        <f>10^(8.07131-1730.63/(233.426+Table7[[#This Row],[WVP_temperature_°C]]))*0.00133322368</f>
        <v>3.1579287443259496E-2</v>
      </c>
      <c r="BK186">
        <f>Table7[[#This Row],[WVP_RH_%]]/100*Table7[[#This Row],[WVP_psat_bar]]</f>
        <v>2.8421358698933547E-2</v>
      </c>
      <c r="BL186">
        <v>122.08</v>
      </c>
      <c r="BM186">
        <v>15.73</v>
      </c>
      <c r="BN186" t="s">
        <v>538</v>
      </c>
      <c r="BO186">
        <f>_xlfn.XLOOKUP(Table7[[#This Row],[WVTR_unit]],ConversionFactors!$B$11:$B$12,ConversionFactors!$S$11:$S$12)</f>
        <v>86400</v>
      </c>
      <c r="BP186">
        <f>Table7[[#This Row],[WVTR_value]]*Table7[[#This Row],[WVTR_conversion_factor]]*Table7[[#This Row],[Film_thickness_µm]]/100</f>
        <v>4152634.2143999999</v>
      </c>
      <c r="BQ186">
        <f>Table7[[#This Row],[WVTR100_g·m-2·d-1 ]]*SQRT((Table7[[#This Row],[WVTR_SD]]/Table7[[#This Row],[WVTR_value]])^2+(Table7[[#This Row],[Film_thickness_SD_µm]]/Table7[[#This Row],[Film_thickness_µm]])^2)</f>
        <v>560733.89194909646</v>
      </c>
      <c r="BR186" t="s">
        <v>461</v>
      </c>
      <c r="BS186">
        <v>25</v>
      </c>
      <c r="BT186">
        <v>90</v>
      </c>
      <c r="BU186">
        <v>5</v>
      </c>
      <c r="BV186" t="s">
        <v>173</v>
      </c>
      <c r="BX186" t="s">
        <v>173</v>
      </c>
      <c r="BY186" t="s">
        <v>173</v>
      </c>
      <c r="BZ186" t="s">
        <v>173</v>
      </c>
      <c r="CA186" t="s">
        <v>173</v>
      </c>
      <c r="CB186" t="s">
        <v>173</v>
      </c>
      <c r="CC186" t="s">
        <v>173</v>
      </c>
      <c r="CD186" t="s">
        <v>173</v>
      </c>
      <c r="CE186" t="s">
        <v>173</v>
      </c>
      <c r="CF186" t="s">
        <v>173</v>
      </c>
      <c r="CG186" t="s">
        <v>173</v>
      </c>
      <c r="CH186" t="s">
        <v>173</v>
      </c>
      <c r="CI186" t="s">
        <v>173</v>
      </c>
      <c r="CJ186" t="s">
        <v>173</v>
      </c>
      <c r="CK186" t="s">
        <v>173</v>
      </c>
      <c r="CL186" t="s">
        <v>173</v>
      </c>
      <c r="CM186" t="s">
        <v>173</v>
      </c>
      <c r="CN186" t="s">
        <v>173</v>
      </c>
      <c r="CO186" t="s">
        <v>173</v>
      </c>
      <c r="CP186" t="s">
        <v>173</v>
      </c>
      <c r="CQ186" t="s">
        <v>173</v>
      </c>
      <c r="CR186" t="s">
        <v>173</v>
      </c>
      <c r="CS186" t="s">
        <v>173</v>
      </c>
      <c r="CT186" t="s">
        <v>173</v>
      </c>
      <c r="CU186" t="s">
        <v>173</v>
      </c>
      <c r="CV186" t="s">
        <v>173</v>
      </c>
      <c r="CW186" t="s">
        <v>173</v>
      </c>
      <c r="CX186" t="s">
        <v>173</v>
      </c>
      <c r="CY186" t="s">
        <v>173</v>
      </c>
      <c r="CZ186" t="s">
        <v>173</v>
      </c>
      <c r="DA186" t="s">
        <v>173</v>
      </c>
      <c r="DB186" t="s">
        <v>173</v>
      </c>
      <c r="DC186" t="s">
        <v>173</v>
      </c>
      <c r="DD186" t="s">
        <v>173</v>
      </c>
      <c r="DE186" t="s">
        <v>476</v>
      </c>
      <c r="DF186" t="s">
        <v>172</v>
      </c>
      <c r="DG186" t="s">
        <v>539</v>
      </c>
      <c r="DH186" t="s">
        <v>173</v>
      </c>
    </row>
    <row r="187" spans="1:112">
      <c r="A187">
        <v>27</v>
      </c>
      <c r="B187" t="s">
        <v>255</v>
      </c>
      <c r="C187" t="s">
        <v>256</v>
      </c>
      <c r="D187">
        <v>2025</v>
      </c>
      <c r="E187" t="s">
        <v>195</v>
      </c>
      <c r="F187" t="s">
        <v>257</v>
      </c>
      <c r="G187" t="s">
        <v>454</v>
      </c>
      <c r="H187">
        <v>1</v>
      </c>
      <c r="I187" t="s">
        <v>173</v>
      </c>
      <c r="J187" t="s">
        <v>540</v>
      </c>
      <c r="K187" t="s">
        <v>540</v>
      </c>
      <c r="L187" t="s">
        <v>524</v>
      </c>
      <c r="M187" t="s">
        <v>454</v>
      </c>
      <c r="N187" t="s">
        <v>454</v>
      </c>
      <c r="O187" t="s">
        <v>173</v>
      </c>
      <c r="P187" t="s">
        <v>173</v>
      </c>
      <c r="Q187" t="s">
        <v>459</v>
      </c>
      <c r="R187">
        <v>36.520000000000003</v>
      </c>
      <c r="S187">
        <v>0.47</v>
      </c>
      <c r="T187">
        <v>10</v>
      </c>
      <c r="U187" t="s">
        <v>173</v>
      </c>
      <c r="V187" t="s">
        <v>173</v>
      </c>
      <c r="W187" t="s">
        <v>173</v>
      </c>
      <c r="X187" t="s">
        <v>173</v>
      </c>
      <c r="Y187" t="s">
        <v>173</v>
      </c>
      <c r="Z187" t="s">
        <v>173</v>
      </c>
      <c r="AA187" t="s">
        <v>173</v>
      </c>
      <c r="AB187" t="s">
        <v>173</v>
      </c>
      <c r="AC187" t="s">
        <v>173</v>
      </c>
      <c r="AD187" t="s">
        <v>173</v>
      </c>
      <c r="AE187" t="s">
        <v>173</v>
      </c>
      <c r="AF187" t="s">
        <v>173</v>
      </c>
      <c r="AG187" t="s">
        <v>173</v>
      </c>
      <c r="AH187" t="s">
        <v>173</v>
      </c>
      <c r="AI187" t="s">
        <v>173</v>
      </c>
      <c r="AJ187" t="s">
        <v>173</v>
      </c>
      <c r="AK187" t="s">
        <v>173</v>
      </c>
      <c r="AL187" t="s">
        <v>173</v>
      </c>
      <c r="AM187" t="s">
        <v>173</v>
      </c>
      <c r="AN187" t="s">
        <v>173</v>
      </c>
      <c r="AO187" t="s">
        <v>173</v>
      </c>
      <c r="AP187" t="s">
        <v>173</v>
      </c>
      <c r="AQ187" t="s">
        <v>173</v>
      </c>
      <c r="AR187" t="s">
        <v>173</v>
      </c>
      <c r="AS187" t="s">
        <v>173</v>
      </c>
      <c r="AT187" t="s">
        <v>173</v>
      </c>
      <c r="AU187" t="s">
        <v>173</v>
      </c>
      <c r="AV187" t="s">
        <v>173</v>
      </c>
      <c r="AW187" t="s">
        <v>173</v>
      </c>
      <c r="AX187" t="s">
        <v>173</v>
      </c>
      <c r="AY187" t="s">
        <v>173</v>
      </c>
      <c r="AZ187" t="s">
        <v>173</v>
      </c>
      <c r="BA187" s="3">
        <v>5.4999999999999996E-9</v>
      </c>
      <c r="BB187" s="3">
        <v>6E-10</v>
      </c>
      <c r="BC187" t="s">
        <v>475</v>
      </c>
      <c r="BD187">
        <f>_xlfn.XLOOKUP(Table7[[#This Row],[WVP_unit]],ConversionFactors!$B$3:$B$10,ConversionFactors!$S$3:$S$10)</f>
        <v>8640000000000000</v>
      </c>
      <c r="BE187">
        <f>Table7[[#This Row],[WVP_value]]*Table7[[#This Row],[WVP_conversion_factor]]</f>
        <v>47520000</v>
      </c>
      <c r="BF187">
        <f>Table7[[#This Row],[WVP_SD]]*Table7[[#This Row],[WVP_conversion_factor]]</f>
        <v>5184000</v>
      </c>
      <c r="BG187" t="s">
        <v>461</v>
      </c>
      <c r="BH187">
        <v>25</v>
      </c>
      <c r="BI187">
        <v>90</v>
      </c>
      <c r="BJ187">
        <f>10^(8.07131-1730.63/(233.426+Table7[[#This Row],[WVP_temperature_°C]]))*0.00133322368</f>
        <v>3.1579287443259496E-2</v>
      </c>
      <c r="BK187">
        <f>Table7[[#This Row],[WVP_RH_%]]/100*Table7[[#This Row],[WVP_psat_bar]]</f>
        <v>2.8421358698933547E-2</v>
      </c>
      <c r="BL187">
        <v>11.86</v>
      </c>
      <c r="BM187">
        <v>1.37</v>
      </c>
      <c r="BN187" t="s">
        <v>538</v>
      </c>
      <c r="BO187">
        <f>_xlfn.XLOOKUP(Table7[[#This Row],[WVTR_unit]],ConversionFactors!$B$11:$B$12,ConversionFactors!$S$11:$S$12)</f>
        <v>86400</v>
      </c>
      <c r="BP187">
        <f>Table7[[#This Row],[WVTR_value]]*Table7[[#This Row],[WVTR_conversion_factor]]*Table7[[#This Row],[Film_thickness_µm]]/100</f>
        <v>374221.90080000006</v>
      </c>
      <c r="BQ187">
        <f>Table7[[#This Row],[WVTR100_g·m-2·d-1 ]]*SQRT((Table7[[#This Row],[WVTR_SD]]/Table7[[#This Row],[WVTR_value]])^2+(Table7[[#This Row],[Film_thickness_SD_µm]]/Table7[[#This Row],[Film_thickness_µm]])^2)</f>
        <v>43495.451884709502</v>
      </c>
      <c r="BR187" t="s">
        <v>461</v>
      </c>
      <c r="BS187">
        <v>25</v>
      </c>
      <c r="BT187">
        <v>90</v>
      </c>
      <c r="BU187">
        <v>5</v>
      </c>
      <c r="BV187" t="s">
        <v>173</v>
      </c>
      <c r="BX187" t="s">
        <v>173</v>
      </c>
      <c r="BY187" t="s">
        <v>173</v>
      </c>
      <c r="BZ187" t="s">
        <v>173</v>
      </c>
      <c r="CA187" t="s">
        <v>173</v>
      </c>
      <c r="CB187" t="s">
        <v>173</v>
      </c>
      <c r="CC187" t="s">
        <v>173</v>
      </c>
      <c r="CD187" t="s">
        <v>173</v>
      </c>
      <c r="CE187" t="s">
        <v>173</v>
      </c>
      <c r="CF187" t="s">
        <v>173</v>
      </c>
      <c r="CG187" t="s">
        <v>173</v>
      </c>
      <c r="CH187" t="s">
        <v>173</v>
      </c>
      <c r="CI187" t="s">
        <v>173</v>
      </c>
      <c r="CJ187" t="s">
        <v>173</v>
      </c>
      <c r="CK187" t="s">
        <v>173</v>
      </c>
      <c r="CL187" t="s">
        <v>173</v>
      </c>
      <c r="CM187" t="s">
        <v>173</v>
      </c>
      <c r="CN187" t="s">
        <v>173</v>
      </c>
      <c r="CO187" t="s">
        <v>173</v>
      </c>
      <c r="CP187" t="s">
        <v>173</v>
      </c>
      <c r="CQ187" t="s">
        <v>173</v>
      </c>
      <c r="CR187" t="s">
        <v>173</v>
      </c>
      <c r="CS187" t="s">
        <v>173</v>
      </c>
      <c r="CT187" t="s">
        <v>173</v>
      </c>
      <c r="CU187" t="s">
        <v>173</v>
      </c>
      <c r="CV187" t="s">
        <v>173</v>
      </c>
      <c r="CW187" t="s">
        <v>173</v>
      </c>
      <c r="CX187" t="s">
        <v>173</v>
      </c>
      <c r="CY187" t="s">
        <v>173</v>
      </c>
      <c r="CZ187" t="s">
        <v>173</v>
      </c>
      <c r="DA187" t="s">
        <v>173</v>
      </c>
      <c r="DB187" t="s">
        <v>173</v>
      </c>
      <c r="DC187" t="str">
        <f>Table7[[#This Row],[Reference_WVP_temperature°C]]</f>
        <v>NaN</v>
      </c>
      <c r="DD187" t="str">
        <f>Table7[[#This Row],[Reference_WVP_RH_%]]</f>
        <v>NaN</v>
      </c>
      <c r="DE187" t="s">
        <v>173</v>
      </c>
      <c r="DF187" t="s">
        <v>172</v>
      </c>
      <c r="DG187" t="s">
        <v>539</v>
      </c>
      <c r="DH187" t="s">
        <v>173</v>
      </c>
    </row>
    <row r="188" spans="1:112">
      <c r="A188">
        <v>27</v>
      </c>
      <c r="B188" t="s">
        <v>255</v>
      </c>
      <c r="C188" t="s">
        <v>256</v>
      </c>
      <c r="D188">
        <v>2025</v>
      </c>
      <c r="E188" t="s">
        <v>195</v>
      </c>
      <c r="F188" t="s">
        <v>257</v>
      </c>
      <c r="G188" t="s">
        <v>454</v>
      </c>
      <c r="H188">
        <v>1</v>
      </c>
      <c r="I188" t="s">
        <v>173</v>
      </c>
      <c r="J188" t="s">
        <v>173</v>
      </c>
      <c r="K188" t="s">
        <v>173</v>
      </c>
      <c r="L188" t="s">
        <v>173</v>
      </c>
      <c r="M188" t="s">
        <v>173</v>
      </c>
      <c r="N188" t="s">
        <v>173</v>
      </c>
      <c r="O188" t="s">
        <v>173</v>
      </c>
      <c r="P188" t="s">
        <v>173</v>
      </c>
      <c r="Q188" t="s">
        <v>173</v>
      </c>
      <c r="R188" t="s">
        <v>173</v>
      </c>
      <c r="S188" t="s">
        <v>173</v>
      </c>
      <c r="T188" t="s">
        <v>173</v>
      </c>
      <c r="U188" t="s">
        <v>173</v>
      </c>
      <c r="V188" t="s">
        <v>173</v>
      </c>
      <c r="W188" t="s">
        <v>173</v>
      </c>
      <c r="X188" t="s">
        <v>173</v>
      </c>
      <c r="Y188" t="s">
        <v>173</v>
      </c>
      <c r="Z188" t="s">
        <v>173</v>
      </c>
      <c r="AA188" t="s">
        <v>173</v>
      </c>
      <c r="AB188" t="s">
        <v>173</v>
      </c>
      <c r="AC188" t="s">
        <v>173</v>
      </c>
      <c r="AD188" t="s">
        <v>173</v>
      </c>
      <c r="AE188" t="s">
        <v>173</v>
      </c>
      <c r="AF188" t="s">
        <v>173</v>
      </c>
      <c r="AG188" t="s">
        <v>173</v>
      </c>
      <c r="AH188" t="s">
        <v>173</v>
      </c>
      <c r="AI188" t="s">
        <v>173</v>
      </c>
      <c r="AJ188" t="s">
        <v>173</v>
      </c>
      <c r="AK188" t="s">
        <v>173</v>
      </c>
      <c r="AL188" t="s">
        <v>173</v>
      </c>
      <c r="AM188" t="s">
        <v>173</v>
      </c>
      <c r="AN188" t="s">
        <v>173</v>
      </c>
      <c r="AO188" t="s">
        <v>173</v>
      </c>
      <c r="AP188" t="s">
        <v>173</v>
      </c>
      <c r="AQ188" t="s">
        <v>173</v>
      </c>
      <c r="AR188" t="s">
        <v>173</v>
      </c>
      <c r="AS188" t="s">
        <v>173</v>
      </c>
      <c r="AT188" t="s">
        <v>173</v>
      </c>
      <c r="AU188" t="s">
        <v>173</v>
      </c>
      <c r="AV188" t="s">
        <v>173</v>
      </c>
      <c r="AW188" t="s">
        <v>173</v>
      </c>
      <c r="AX188" t="s">
        <v>173</v>
      </c>
      <c r="AY188" t="s">
        <v>173</v>
      </c>
      <c r="AZ188" t="s">
        <v>173</v>
      </c>
      <c r="BA188" t="s">
        <v>173</v>
      </c>
      <c r="BB188" t="s">
        <v>173</v>
      </c>
      <c r="BC188" t="s">
        <v>173</v>
      </c>
      <c r="BD188" t="s">
        <v>173</v>
      </c>
      <c r="BE188" t="s">
        <v>173</v>
      </c>
      <c r="BF188" t="s">
        <v>173</v>
      </c>
      <c r="BG188" t="s">
        <v>173</v>
      </c>
      <c r="BH188" t="s">
        <v>173</v>
      </c>
      <c r="BI188" t="s">
        <v>173</v>
      </c>
      <c r="BJ188" t="s">
        <v>173</v>
      </c>
      <c r="BK188" t="s">
        <v>173</v>
      </c>
      <c r="BL188" t="s">
        <v>173</v>
      </c>
      <c r="BM188" t="s">
        <v>173</v>
      </c>
      <c r="BN188" t="s">
        <v>173</v>
      </c>
      <c r="BO188" t="s">
        <v>173</v>
      </c>
      <c r="BP188" t="s">
        <v>173</v>
      </c>
      <c r="BQ188" t="s">
        <v>173</v>
      </c>
      <c r="BR188" t="s">
        <v>173</v>
      </c>
      <c r="BS188" t="s">
        <v>173</v>
      </c>
      <c r="BT188" t="s">
        <v>173</v>
      </c>
      <c r="BU188" t="s">
        <v>173</v>
      </c>
      <c r="BV188" t="s">
        <v>488</v>
      </c>
      <c r="BW188" t="s">
        <v>485</v>
      </c>
      <c r="BX188" t="s">
        <v>173</v>
      </c>
      <c r="BY188" t="s">
        <v>173</v>
      </c>
      <c r="BZ188" t="s">
        <v>173</v>
      </c>
      <c r="CA188" t="s">
        <v>173</v>
      </c>
      <c r="CB188" t="s">
        <v>173</v>
      </c>
      <c r="CC188" t="s">
        <v>173</v>
      </c>
      <c r="CD188" t="s">
        <v>173</v>
      </c>
      <c r="CE188" t="s">
        <v>173</v>
      </c>
      <c r="CF188" t="s">
        <v>173</v>
      </c>
      <c r="CG188" t="s">
        <v>173</v>
      </c>
      <c r="CH188" t="s">
        <v>173</v>
      </c>
      <c r="CI188" t="s">
        <v>173</v>
      </c>
      <c r="CJ188" t="s">
        <v>173</v>
      </c>
      <c r="CK188" t="s">
        <v>173</v>
      </c>
      <c r="CL188" t="s">
        <v>173</v>
      </c>
      <c r="CM188" t="s">
        <v>173</v>
      </c>
      <c r="CN188" t="s">
        <v>173</v>
      </c>
      <c r="CO188" t="s">
        <v>173</v>
      </c>
      <c r="CP188" t="s">
        <v>173</v>
      </c>
      <c r="CQ188">
        <v>8.0000000000000004E-4</v>
      </c>
      <c r="CR188" t="s">
        <v>460</v>
      </c>
      <c r="CS188">
        <f>_xlfn.XLOOKUP(Table7[[#This Row],[Reference_WVP_unit]],ConversionFactors!$B$3:$B$10,ConversionFactors!$S$3:$S$10)</f>
        <v>2400000</v>
      </c>
      <c r="CT188">
        <f>Table7[[#This Row],[Reference_WVP_value]]*Table7[[#This Row],[Reference_WVP_conversion_factor]]</f>
        <v>1920</v>
      </c>
      <c r="CU188">
        <v>27.6</v>
      </c>
      <c r="CV188">
        <v>100</v>
      </c>
      <c r="CW188">
        <f>10^(8.07131-1730.63/(233.426+Table7[[#This Row],[Reference_WVP_temperature°C]]))*0.00133322368</f>
        <v>3.6821985745797883E-2</v>
      </c>
      <c r="CX188">
        <f>Table7[[#This Row],[Reference_WVP_psat_bar]]*Table7[[#This Row],[Reference_WVP_RH_%]]</f>
        <v>3.6821985745797883</v>
      </c>
      <c r="CY188" t="s">
        <v>173</v>
      </c>
      <c r="CZ188" t="s">
        <v>173</v>
      </c>
      <c r="DA188" t="s">
        <v>173</v>
      </c>
      <c r="DB188">
        <f>Table7[[#This Row],[Reference_WVP_g·µm·m-2·d-1 ]]*Table7[[#This Row],[Reference_WVP_Δp_bar]]/100</f>
        <v>70.698212631931938</v>
      </c>
      <c r="DC188">
        <f>Table7[[#This Row],[Reference_WVP_temperature°C]]</f>
        <v>27.6</v>
      </c>
      <c r="DD188">
        <f>Table7[[#This Row],[Reference_WVP_RH_%]]</f>
        <v>100</v>
      </c>
      <c r="DE188" t="s">
        <v>476</v>
      </c>
      <c r="DF188" t="s">
        <v>172</v>
      </c>
      <c r="DG188" t="s">
        <v>539</v>
      </c>
      <c r="DH188" t="s">
        <v>541</v>
      </c>
    </row>
    <row r="189" spans="1:112">
      <c r="A189">
        <v>27</v>
      </c>
      <c r="B189" t="s">
        <v>255</v>
      </c>
      <c r="C189" t="s">
        <v>256</v>
      </c>
      <c r="D189">
        <v>2025</v>
      </c>
      <c r="E189" t="s">
        <v>195</v>
      </c>
      <c r="F189" t="s">
        <v>257</v>
      </c>
      <c r="G189" t="s">
        <v>454</v>
      </c>
      <c r="H189">
        <v>1</v>
      </c>
      <c r="I189" t="s">
        <v>173</v>
      </c>
      <c r="J189" t="s">
        <v>173</v>
      </c>
      <c r="K189" t="s">
        <v>173</v>
      </c>
      <c r="L189" t="s">
        <v>173</v>
      </c>
      <c r="M189" t="s">
        <v>173</v>
      </c>
      <c r="N189" t="s">
        <v>173</v>
      </c>
      <c r="O189" t="s">
        <v>173</v>
      </c>
      <c r="P189" t="s">
        <v>173</v>
      </c>
      <c r="Q189" t="s">
        <v>173</v>
      </c>
      <c r="R189" t="s">
        <v>173</v>
      </c>
      <c r="S189" t="s">
        <v>173</v>
      </c>
      <c r="T189" t="s">
        <v>173</v>
      </c>
      <c r="U189" t="s">
        <v>173</v>
      </c>
      <c r="V189" t="s">
        <v>173</v>
      </c>
      <c r="W189" t="s">
        <v>173</v>
      </c>
      <c r="X189" t="s">
        <v>173</v>
      </c>
      <c r="Y189" t="s">
        <v>173</v>
      </c>
      <c r="Z189" t="s">
        <v>173</v>
      </c>
      <c r="AA189" t="s">
        <v>173</v>
      </c>
      <c r="AB189" t="s">
        <v>173</v>
      </c>
      <c r="AC189" t="s">
        <v>173</v>
      </c>
      <c r="AD189" t="s">
        <v>173</v>
      </c>
      <c r="AE189" t="s">
        <v>173</v>
      </c>
      <c r="AF189" t="s">
        <v>173</v>
      </c>
      <c r="AG189" t="s">
        <v>173</v>
      </c>
      <c r="AH189" t="s">
        <v>173</v>
      </c>
      <c r="AI189" t="s">
        <v>173</v>
      </c>
      <c r="AJ189" t="s">
        <v>173</v>
      </c>
      <c r="AK189" t="s">
        <v>173</v>
      </c>
      <c r="AL189" t="s">
        <v>173</v>
      </c>
      <c r="AM189" t="s">
        <v>173</v>
      </c>
      <c r="AN189" t="s">
        <v>173</v>
      </c>
      <c r="AO189" t="s">
        <v>173</v>
      </c>
      <c r="AP189" t="s">
        <v>173</v>
      </c>
      <c r="AQ189" t="s">
        <v>173</v>
      </c>
      <c r="AR189" t="s">
        <v>173</v>
      </c>
      <c r="AS189" t="s">
        <v>173</v>
      </c>
      <c r="AT189" t="s">
        <v>173</v>
      </c>
      <c r="AU189" t="s">
        <v>173</v>
      </c>
      <c r="AV189" t="s">
        <v>173</v>
      </c>
      <c r="AW189" t="s">
        <v>173</v>
      </c>
      <c r="AX189" t="s">
        <v>173</v>
      </c>
      <c r="AY189" t="s">
        <v>173</v>
      </c>
      <c r="AZ189" t="s">
        <v>173</v>
      </c>
      <c r="BA189" t="s">
        <v>173</v>
      </c>
      <c r="BB189" t="s">
        <v>173</v>
      </c>
      <c r="BC189" t="s">
        <v>173</v>
      </c>
      <c r="BD189" t="s">
        <v>173</v>
      </c>
      <c r="BE189" t="s">
        <v>173</v>
      </c>
      <c r="BF189" t="s">
        <v>173</v>
      </c>
      <c r="BG189" t="s">
        <v>173</v>
      </c>
      <c r="BH189" t="s">
        <v>173</v>
      </c>
      <c r="BI189" t="s">
        <v>173</v>
      </c>
      <c r="BJ189" t="s">
        <v>173</v>
      </c>
      <c r="BK189" t="s">
        <v>173</v>
      </c>
      <c r="BL189" t="s">
        <v>173</v>
      </c>
      <c r="BM189" t="s">
        <v>173</v>
      </c>
      <c r="BN189" t="s">
        <v>173</v>
      </c>
      <c r="BO189" t="s">
        <v>173</v>
      </c>
      <c r="BP189" t="s">
        <v>173</v>
      </c>
      <c r="BQ189" t="s">
        <v>173</v>
      </c>
      <c r="BR189" t="s">
        <v>173</v>
      </c>
      <c r="BS189" t="s">
        <v>173</v>
      </c>
      <c r="BT189" t="s">
        <v>173</v>
      </c>
      <c r="BU189" t="s">
        <v>173</v>
      </c>
      <c r="BV189" t="s">
        <v>472</v>
      </c>
      <c r="BW189" t="s">
        <v>473</v>
      </c>
      <c r="BX189" t="s">
        <v>173</v>
      </c>
      <c r="BY189" t="s">
        <v>173</v>
      </c>
      <c r="BZ189" t="s">
        <v>173</v>
      </c>
      <c r="CA189" t="s">
        <v>173</v>
      </c>
      <c r="CB189" t="s">
        <v>173</v>
      </c>
      <c r="CC189" t="s">
        <v>173</v>
      </c>
      <c r="CD189" t="s">
        <v>173</v>
      </c>
      <c r="CE189" t="s">
        <v>173</v>
      </c>
      <c r="CF189" t="s">
        <v>173</v>
      </c>
      <c r="CG189" t="s">
        <v>173</v>
      </c>
      <c r="CH189" t="s">
        <v>173</v>
      </c>
      <c r="CI189" t="s">
        <v>173</v>
      </c>
      <c r="CJ189" t="s">
        <v>173</v>
      </c>
      <c r="CK189" t="s">
        <v>173</v>
      </c>
      <c r="CL189" t="s">
        <v>173</v>
      </c>
      <c r="CM189" t="s">
        <v>173</v>
      </c>
      <c r="CN189" t="s">
        <v>173</v>
      </c>
      <c r="CO189" t="s">
        <v>173</v>
      </c>
      <c r="CP189" t="s">
        <v>173</v>
      </c>
      <c r="CQ189">
        <v>1.2999999999999999E-3</v>
      </c>
      <c r="CR189" t="s">
        <v>460</v>
      </c>
      <c r="CS189">
        <f>_xlfn.XLOOKUP(Table7[[#This Row],[Reference_WVP_unit]],ConversionFactors!$B$3:$B$10,ConversionFactors!$S$3:$S$10)</f>
        <v>2400000</v>
      </c>
      <c r="CT189">
        <f>Table7[[#This Row],[Reference_WVP_value]]*Table7[[#This Row],[Reference_WVP_conversion_factor]]</f>
        <v>3120</v>
      </c>
      <c r="CU189">
        <v>27.6</v>
      </c>
      <c r="CV189">
        <v>100</v>
      </c>
      <c r="CW189">
        <f>10^(8.07131-1730.63/(233.426+Table7[[#This Row],[Reference_WVP_temperature°C]]))*0.00133322368</f>
        <v>3.6821985745797883E-2</v>
      </c>
      <c r="CX189">
        <f>Table7[[#This Row],[Reference_WVP_psat_bar]]*Table7[[#This Row],[Reference_WVP_RH_%]]</f>
        <v>3.6821985745797883</v>
      </c>
      <c r="CY189" t="s">
        <v>173</v>
      </c>
      <c r="CZ189" t="s">
        <v>173</v>
      </c>
      <c r="DA189" t="s">
        <v>173</v>
      </c>
      <c r="DB189">
        <f>Table7[[#This Row],[Reference_WVP_g·µm·m-2·d-1 ]]*Table7[[#This Row],[Reference_WVP_Δp_bar]]/100</f>
        <v>114.88459552688938</v>
      </c>
      <c r="DC189">
        <f>Table7[[#This Row],[Reference_WVP_temperature°C]]</f>
        <v>27.6</v>
      </c>
      <c r="DD189">
        <f>Table7[[#This Row],[Reference_WVP_RH_%]]</f>
        <v>100</v>
      </c>
      <c r="DE189" t="s">
        <v>476</v>
      </c>
      <c r="DF189" t="s">
        <v>172</v>
      </c>
      <c r="DG189" t="s">
        <v>539</v>
      </c>
      <c r="DH189" t="s">
        <v>541</v>
      </c>
    </row>
    <row r="190" spans="1:112">
      <c r="A190">
        <v>27</v>
      </c>
      <c r="B190" t="s">
        <v>255</v>
      </c>
      <c r="C190" t="s">
        <v>256</v>
      </c>
      <c r="D190">
        <v>2025</v>
      </c>
      <c r="E190" t="s">
        <v>195</v>
      </c>
      <c r="F190" t="s">
        <v>257</v>
      </c>
      <c r="G190" t="s">
        <v>454</v>
      </c>
      <c r="H190">
        <v>1</v>
      </c>
      <c r="I190" t="s">
        <v>173</v>
      </c>
      <c r="J190" t="s">
        <v>173</v>
      </c>
      <c r="K190" t="s">
        <v>173</v>
      </c>
      <c r="L190" t="s">
        <v>173</v>
      </c>
      <c r="M190" t="s">
        <v>173</v>
      </c>
      <c r="N190" t="s">
        <v>173</v>
      </c>
      <c r="O190" t="s">
        <v>173</v>
      </c>
      <c r="P190" t="s">
        <v>173</v>
      </c>
      <c r="Q190" t="s">
        <v>173</v>
      </c>
      <c r="R190" t="s">
        <v>173</v>
      </c>
      <c r="S190" t="s">
        <v>173</v>
      </c>
      <c r="T190" t="s">
        <v>173</v>
      </c>
      <c r="U190" t="s">
        <v>173</v>
      </c>
      <c r="V190" t="s">
        <v>173</v>
      </c>
      <c r="W190" t="s">
        <v>173</v>
      </c>
      <c r="X190" t="s">
        <v>173</v>
      </c>
      <c r="Y190" t="s">
        <v>173</v>
      </c>
      <c r="Z190" t="s">
        <v>173</v>
      </c>
      <c r="AA190" t="s">
        <v>173</v>
      </c>
      <c r="AB190" t="s">
        <v>173</v>
      </c>
      <c r="AC190" t="s">
        <v>173</v>
      </c>
      <c r="AD190" t="s">
        <v>173</v>
      </c>
      <c r="AE190" t="s">
        <v>173</v>
      </c>
      <c r="AF190" t="s">
        <v>173</v>
      </c>
      <c r="AG190" t="s">
        <v>173</v>
      </c>
      <c r="AH190" t="s">
        <v>173</v>
      </c>
      <c r="AI190" t="s">
        <v>173</v>
      </c>
      <c r="AJ190" t="s">
        <v>173</v>
      </c>
      <c r="AK190" t="s">
        <v>173</v>
      </c>
      <c r="AL190" t="s">
        <v>173</v>
      </c>
      <c r="AM190" t="s">
        <v>173</v>
      </c>
      <c r="AN190" t="s">
        <v>173</v>
      </c>
      <c r="AO190" t="s">
        <v>173</v>
      </c>
      <c r="AP190" t="s">
        <v>173</v>
      </c>
      <c r="AQ190" t="s">
        <v>173</v>
      </c>
      <c r="AR190" t="s">
        <v>173</v>
      </c>
      <c r="AS190" t="s">
        <v>173</v>
      </c>
      <c r="AT190" t="s">
        <v>173</v>
      </c>
      <c r="AU190" t="s">
        <v>173</v>
      </c>
      <c r="AV190" t="s">
        <v>173</v>
      </c>
      <c r="AW190" t="s">
        <v>173</v>
      </c>
      <c r="AX190" t="s">
        <v>173</v>
      </c>
      <c r="AY190" t="s">
        <v>173</v>
      </c>
      <c r="AZ190" t="s">
        <v>173</v>
      </c>
      <c r="BA190" t="s">
        <v>173</v>
      </c>
      <c r="BB190" t="s">
        <v>173</v>
      </c>
      <c r="BC190" t="s">
        <v>173</v>
      </c>
      <c r="BD190" t="s">
        <v>173</v>
      </c>
      <c r="BE190" t="s">
        <v>173</v>
      </c>
      <c r="BF190" t="s">
        <v>173</v>
      </c>
      <c r="BG190" t="s">
        <v>173</v>
      </c>
      <c r="BH190" t="s">
        <v>173</v>
      </c>
      <c r="BI190" t="s">
        <v>173</v>
      </c>
      <c r="BJ190" t="s">
        <v>173</v>
      </c>
      <c r="BK190" t="s">
        <v>173</v>
      </c>
      <c r="BL190" t="s">
        <v>173</v>
      </c>
      <c r="BM190" t="s">
        <v>173</v>
      </c>
      <c r="BN190" t="s">
        <v>173</v>
      </c>
      <c r="BO190" t="s">
        <v>173</v>
      </c>
      <c r="BP190" t="s">
        <v>173</v>
      </c>
      <c r="BQ190" t="s">
        <v>173</v>
      </c>
      <c r="BR190" t="s">
        <v>173</v>
      </c>
      <c r="BS190" t="s">
        <v>173</v>
      </c>
      <c r="BT190" t="s">
        <v>173</v>
      </c>
      <c r="BU190" t="s">
        <v>173</v>
      </c>
      <c r="BV190" t="s">
        <v>498</v>
      </c>
      <c r="BW190" t="s">
        <v>473</v>
      </c>
      <c r="BX190" t="s">
        <v>173</v>
      </c>
      <c r="BY190" t="s">
        <v>173</v>
      </c>
      <c r="BZ190" t="s">
        <v>173</v>
      </c>
      <c r="CA190" t="s">
        <v>173</v>
      </c>
      <c r="CB190" t="s">
        <v>173</v>
      </c>
      <c r="CC190" t="s">
        <v>173</v>
      </c>
      <c r="CD190" t="s">
        <v>173</v>
      </c>
      <c r="CE190" t="s">
        <v>173</v>
      </c>
      <c r="CF190" t="s">
        <v>173</v>
      </c>
      <c r="CG190" t="s">
        <v>173</v>
      </c>
      <c r="CH190" t="s">
        <v>173</v>
      </c>
      <c r="CI190" t="s">
        <v>173</v>
      </c>
      <c r="CJ190" t="s">
        <v>173</v>
      </c>
      <c r="CK190" t="s">
        <v>173</v>
      </c>
      <c r="CL190" t="s">
        <v>173</v>
      </c>
      <c r="CM190" t="s">
        <v>173</v>
      </c>
      <c r="CN190" t="s">
        <v>173</v>
      </c>
      <c r="CO190" t="s">
        <v>173</v>
      </c>
      <c r="CP190" t="s">
        <v>173</v>
      </c>
      <c r="CQ190">
        <v>9.1000000000000004E-3</v>
      </c>
      <c r="CR190" t="s">
        <v>460</v>
      </c>
      <c r="CS190">
        <f>_xlfn.XLOOKUP(Table7[[#This Row],[Reference_WVP_unit]],ConversionFactors!$B$3:$B$10,ConversionFactors!$S$3:$S$10)</f>
        <v>2400000</v>
      </c>
      <c r="CT190">
        <f>Table7[[#This Row],[Reference_WVP_value]]*Table7[[#This Row],[Reference_WVP_conversion_factor]]</f>
        <v>21840</v>
      </c>
      <c r="CU190">
        <v>25</v>
      </c>
      <c r="CV190">
        <v>100</v>
      </c>
      <c r="CW190">
        <f>10^(8.07131-1730.63/(233.426+Table7[[#This Row],[Reference_WVP_temperature°C]]))*0.00133322368</f>
        <v>3.1579287443259496E-2</v>
      </c>
      <c r="CX190">
        <f>Table7[[#This Row],[Reference_WVP_psat_bar]]*Table7[[#This Row],[Reference_WVP_RH_%]]</f>
        <v>3.1579287443259494</v>
      </c>
      <c r="CY190" t="s">
        <v>173</v>
      </c>
      <c r="CZ190" t="s">
        <v>173</v>
      </c>
      <c r="DA190" t="s">
        <v>173</v>
      </c>
      <c r="DB190">
        <f>Table7[[#This Row],[Reference_WVP_g·µm·m-2·d-1 ]]*Table7[[#This Row],[Reference_WVP_Δp_bar]]/100</f>
        <v>689.69163776078744</v>
      </c>
      <c r="DC190">
        <f>Table7[[#This Row],[Reference_WVP_temperature°C]]</f>
        <v>25</v>
      </c>
      <c r="DD190">
        <f>Table7[[#This Row],[Reference_WVP_RH_%]]</f>
        <v>100</v>
      </c>
      <c r="DE190" t="s">
        <v>476</v>
      </c>
      <c r="DF190" t="s">
        <v>172</v>
      </c>
      <c r="DG190" t="s">
        <v>539</v>
      </c>
      <c r="DH190" t="s">
        <v>541</v>
      </c>
    </row>
    <row r="191" spans="1:112">
      <c r="A191">
        <v>27</v>
      </c>
      <c r="B191" t="s">
        <v>255</v>
      </c>
      <c r="C191" t="s">
        <v>256</v>
      </c>
      <c r="D191">
        <v>2025</v>
      </c>
      <c r="E191" t="s">
        <v>195</v>
      </c>
      <c r="F191" t="s">
        <v>257</v>
      </c>
      <c r="G191" t="s">
        <v>454</v>
      </c>
      <c r="H191">
        <v>1</v>
      </c>
      <c r="I191" t="s">
        <v>173</v>
      </c>
      <c r="J191" t="s">
        <v>173</v>
      </c>
      <c r="K191" t="s">
        <v>173</v>
      </c>
      <c r="L191" t="s">
        <v>173</v>
      </c>
      <c r="M191" t="s">
        <v>173</v>
      </c>
      <c r="N191" t="s">
        <v>173</v>
      </c>
      <c r="O191" t="s">
        <v>173</v>
      </c>
      <c r="P191" t="s">
        <v>173</v>
      </c>
      <c r="Q191" t="s">
        <v>173</v>
      </c>
      <c r="R191" t="s">
        <v>173</v>
      </c>
      <c r="S191" t="s">
        <v>173</v>
      </c>
      <c r="T191" t="s">
        <v>173</v>
      </c>
      <c r="U191" t="s">
        <v>173</v>
      </c>
      <c r="V191" t="s">
        <v>173</v>
      </c>
      <c r="W191" t="s">
        <v>173</v>
      </c>
      <c r="X191" t="s">
        <v>173</v>
      </c>
      <c r="Y191" t="s">
        <v>173</v>
      </c>
      <c r="Z191" t="s">
        <v>173</v>
      </c>
      <c r="AA191" t="s">
        <v>173</v>
      </c>
      <c r="AB191" t="s">
        <v>173</v>
      </c>
      <c r="AC191" t="s">
        <v>173</v>
      </c>
      <c r="AD191" t="s">
        <v>173</v>
      </c>
      <c r="AE191" t="s">
        <v>173</v>
      </c>
      <c r="AF191" t="s">
        <v>173</v>
      </c>
      <c r="AG191" t="s">
        <v>173</v>
      </c>
      <c r="AH191" t="s">
        <v>173</v>
      </c>
      <c r="AI191" t="s">
        <v>173</v>
      </c>
      <c r="AJ191" t="s">
        <v>173</v>
      </c>
      <c r="AK191" t="s">
        <v>173</v>
      </c>
      <c r="AL191" t="s">
        <v>173</v>
      </c>
      <c r="AM191" t="s">
        <v>173</v>
      </c>
      <c r="AN191" t="s">
        <v>173</v>
      </c>
      <c r="AO191" t="s">
        <v>173</v>
      </c>
      <c r="AP191" t="s">
        <v>173</v>
      </c>
      <c r="AQ191" t="s">
        <v>173</v>
      </c>
      <c r="AR191" t="s">
        <v>173</v>
      </c>
      <c r="AS191" t="s">
        <v>173</v>
      </c>
      <c r="AT191" t="s">
        <v>173</v>
      </c>
      <c r="AU191" t="s">
        <v>173</v>
      </c>
      <c r="AV191" t="s">
        <v>173</v>
      </c>
      <c r="AW191" t="s">
        <v>173</v>
      </c>
      <c r="AX191" t="s">
        <v>173</v>
      </c>
      <c r="AY191" t="s">
        <v>173</v>
      </c>
      <c r="AZ191" t="s">
        <v>173</v>
      </c>
      <c r="BA191" t="s">
        <v>173</v>
      </c>
      <c r="BB191" t="s">
        <v>173</v>
      </c>
      <c r="BC191" t="s">
        <v>173</v>
      </c>
      <c r="BD191" t="s">
        <v>173</v>
      </c>
      <c r="BE191" t="s">
        <v>173</v>
      </c>
      <c r="BF191" t="s">
        <v>173</v>
      </c>
      <c r="BG191" t="s">
        <v>173</v>
      </c>
      <c r="BH191" t="s">
        <v>173</v>
      </c>
      <c r="BI191" t="s">
        <v>173</v>
      </c>
      <c r="BJ191" t="s">
        <v>173</v>
      </c>
      <c r="BK191" t="s">
        <v>173</v>
      </c>
      <c r="BL191" t="s">
        <v>173</v>
      </c>
      <c r="BM191" t="s">
        <v>173</v>
      </c>
      <c r="BN191" t="s">
        <v>173</v>
      </c>
      <c r="BO191" t="s">
        <v>173</v>
      </c>
      <c r="BP191" t="s">
        <v>173</v>
      </c>
      <c r="BQ191" t="s">
        <v>173</v>
      </c>
      <c r="BR191" t="s">
        <v>173</v>
      </c>
      <c r="BS191" t="s">
        <v>173</v>
      </c>
      <c r="BT191" t="s">
        <v>173</v>
      </c>
      <c r="BU191" t="s">
        <v>173</v>
      </c>
      <c r="BV191" t="s">
        <v>487</v>
      </c>
      <c r="BW191" t="s">
        <v>485</v>
      </c>
      <c r="BX191" t="s">
        <v>173</v>
      </c>
      <c r="BY191" t="s">
        <v>173</v>
      </c>
      <c r="BZ191" t="s">
        <v>173</v>
      </c>
      <c r="CA191" t="s">
        <v>173</v>
      </c>
      <c r="CB191" t="s">
        <v>173</v>
      </c>
      <c r="CC191" t="s">
        <v>173</v>
      </c>
      <c r="CD191" t="s">
        <v>173</v>
      </c>
      <c r="CE191" t="s">
        <v>173</v>
      </c>
      <c r="CF191" t="s">
        <v>173</v>
      </c>
      <c r="CG191" t="s">
        <v>173</v>
      </c>
      <c r="CH191" t="s">
        <v>173</v>
      </c>
      <c r="CI191" t="s">
        <v>173</v>
      </c>
      <c r="CJ191" t="s">
        <v>173</v>
      </c>
      <c r="CK191" t="s">
        <v>173</v>
      </c>
      <c r="CL191" t="s">
        <v>173</v>
      </c>
      <c r="CM191" t="s">
        <v>173</v>
      </c>
      <c r="CN191" t="s">
        <v>173</v>
      </c>
      <c r="CO191" t="s">
        <v>173</v>
      </c>
      <c r="CP191" t="s">
        <v>173</v>
      </c>
      <c r="CQ191">
        <v>2.5700000000000001E-2</v>
      </c>
      <c r="CR191" t="s">
        <v>460</v>
      </c>
      <c r="CS191">
        <f>_xlfn.XLOOKUP(Table7[[#This Row],[Reference_WVP_unit]],ConversionFactors!$B$3:$B$10,ConversionFactors!$S$3:$S$10)</f>
        <v>2400000</v>
      </c>
      <c r="CT191">
        <f>Table7[[#This Row],[Reference_WVP_value]]*Table7[[#This Row],[Reference_WVP_conversion_factor]]</f>
        <v>61680</v>
      </c>
      <c r="CU191">
        <v>27.6</v>
      </c>
      <c r="CV191">
        <v>100</v>
      </c>
      <c r="CW191">
        <f>10^(8.07131-1730.63/(233.426+Table7[[#This Row],[Reference_WVP_temperature°C]]))*0.00133322368</f>
        <v>3.6821985745797883E-2</v>
      </c>
      <c r="CX191">
        <f>Table7[[#This Row],[Reference_WVP_psat_bar]]*Table7[[#This Row],[Reference_WVP_RH_%]]</f>
        <v>3.6821985745797883</v>
      </c>
      <c r="CY191" t="s">
        <v>173</v>
      </c>
      <c r="CZ191" t="s">
        <v>173</v>
      </c>
      <c r="DA191" t="s">
        <v>173</v>
      </c>
      <c r="DB191">
        <f>Table7[[#This Row],[Reference_WVP_g·µm·m-2·d-1 ]]*Table7[[#This Row],[Reference_WVP_Δp_bar]]/100</f>
        <v>2271.1800808008134</v>
      </c>
      <c r="DC191">
        <f>Table7[[#This Row],[Reference_WVP_temperature°C]]</f>
        <v>27.6</v>
      </c>
      <c r="DD191">
        <f>Table7[[#This Row],[Reference_WVP_RH_%]]</f>
        <v>100</v>
      </c>
      <c r="DE191" t="s">
        <v>476</v>
      </c>
      <c r="DF191" t="s">
        <v>172</v>
      </c>
      <c r="DG191" t="s">
        <v>539</v>
      </c>
      <c r="DH191" t="s">
        <v>541</v>
      </c>
    </row>
    <row r="192" spans="1:112">
      <c r="A192">
        <v>33</v>
      </c>
      <c r="B192" t="s">
        <v>542</v>
      </c>
      <c r="C192" t="s">
        <v>543</v>
      </c>
      <c r="D192">
        <v>2025</v>
      </c>
      <c r="E192" t="s">
        <v>544</v>
      </c>
      <c r="F192" t="s">
        <v>545</v>
      </c>
      <c r="G192" t="s">
        <v>454</v>
      </c>
      <c r="H192">
        <v>0.86</v>
      </c>
      <c r="I192" t="s">
        <v>173</v>
      </c>
      <c r="J192" t="s">
        <v>546</v>
      </c>
      <c r="K192" t="s">
        <v>523</v>
      </c>
      <c r="L192" t="s">
        <v>524</v>
      </c>
      <c r="M192" t="s">
        <v>454</v>
      </c>
      <c r="N192" t="s">
        <v>454</v>
      </c>
      <c r="O192" t="s">
        <v>458</v>
      </c>
      <c r="P192">
        <v>15</v>
      </c>
      <c r="Q192" t="s">
        <v>459</v>
      </c>
      <c r="R192">
        <v>177.8</v>
      </c>
      <c r="S192">
        <v>0.02</v>
      </c>
      <c r="T192" t="s">
        <v>173</v>
      </c>
      <c r="U192" t="s">
        <v>173</v>
      </c>
      <c r="V192" t="s">
        <v>173</v>
      </c>
      <c r="W192" t="s">
        <v>173</v>
      </c>
      <c r="X192" t="s">
        <v>173</v>
      </c>
      <c r="Y192" t="s">
        <v>173</v>
      </c>
      <c r="Z192" t="s">
        <v>173</v>
      </c>
      <c r="AA192" t="s">
        <v>173</v>
      </c>
      <c r="AB192" t="s">
        <v>173</v>
      </c>
      <c r="AC192" t="s">
        <v>173</v>
      </c>
      <c r="AD192" t="s">
        <v>173</v>
      </c>
      <c r="AE192" t="s">
        <v>173</v>
      </c>
      <c r="AF192" t="s">
        <v>173</v>
      </c>
      <c r="AG192" t="s">
        <v>173</v>
      </c>
      <c r="AH192" t="s">
        <v>173</v>
      </c>
      <c r="AI192" t="s">
        <v>173</v>
      </c>
      <c r="AJ192" t="s">
        <v>173</v>
      </c>
      <c r="AK192" t="s">
        <v>173</v>
      </c>
      <c r="AL192" t="s">
        <v>173</v>
      </c>
      <c r="AM192" t="s">
        <v>173</v>
      </c>
      <c r="AN192" t="s">
        <v>173</v>
      </c>
      <c r="AO192" t="s">
        <v>173</v>
      </c>
      <c r="AP192" t="s">
        <v>173</v>
      </c>
      <c r="AQ192" t="s">
        <v>173</v>
      </c>
      <c r="AR192" t="s">
        <v>173</v>
      </c>
      <c r="AS192" t="s">
        <v>173</v>
      </c>
      <c r="AT192" t="s">
        <v>173</v>
      </c>
      <c r="AU192" t="s">
        <v>173</v>
      </c>
      <c r="AV192" t="s">
        <v>173</v>
      </c>
      <c r="AW192" t="s">
        <v>173</v>
      </c>
      <c r="AX192" t="s">
        <v>173</v>
      </c>
      <c r="AY192" t="s">
        <v>173</v>
      </c>
      <c r="AZ192" t="s">
        <v>173</v>
      </c>
      <c r="BA192">
        <v>4.1399999999999997</v>
      </c>
      <c r="BB192">
        <v>0.02</v>
      </c>
      <c r="BC192" t="s">
        <v>460</v>
      </c>
      <c r="BD192">
        <f>_xlfn.XLOOKUP(Table7[[#This Row],[WVP_unit]],ConversionFactors!$B$3:$B$10,ConversionFactors!$S$3:$S$10)</f>
        <v>2400000</v>
      </c>
      <c r="BE192">
        <f>Table7[[#This Row],[WVP_value]]*Table7[[#This Row],[WVP_conversion_factor]]</f>
        <v>9936000</v>
      </c>
      <c r="BF192">
        <f>Table7[[#This Row],[WVP_SD]]*Table7[[#This Row],[WVP_conversion_factor]]</f>
        <v>48000</v>
      </c>
      <c r="BG192" t="s">
        <v>461</v>
      </c>
      <c r="BH192">
        <v>25</v>
      </c>
      <c r="BI192">
        <v>52.8</v>
      </c>
      <c r="BJ192">
        <f>10^(8.07131-1730.63/(233.426+Table7[[#This Row],[WVP_temperature_°C]]))*0.00133322368</f>
        <v>3.1579287443259496E-2</v>
      </c>
      <c r="BK192">
        <f>Table7[[#This Row],[WVP_RH_%]]/100*Table7[[#This Row],[WVP_psat_bar]]</f>
        <v>1.6673863770041014E-2</v>
      </c>
      <c r="BL192" t="s">
        <v>173</v>
      </c>
      <c r="BM192" t="s">
        <v>173</v>
      </c>
      <c r="BN192" t="s">
        <v>173</v>
      </c>
      <c r="BO192" t="s">
        <v>173</v>
      </c>
      <c r="BP192">
        <f>Table7[[#This Row],[WVP_g·µm·m-2·d-1·bar-1]]*Table7[[#This Row],[WVP_Δp_bar]]/100</f>
        <v>1656.715104191275</v>
      </c>
      <c r="BQ192">
        <f>Table7[[#This Row],[WVP_SD_g·µm·m-2·d-1 ]]*Table7[[#This Row],[WVP_Δp_bar]]/100</f>
        <v>8.0034546096196877</v>
      </c>
      <c r="BR192" t="s">
        <v>461</v>
      </c>
      <c r="BS192">
        <v>25</v>
      </c>
      <c r="BT192">
        <v>52.8</v>
      </c>
      <c r="BU192" t="s">
        <v>173</v>
      </c>
      <c r="BV192" t="s">
        <v>173</v>
      </c>
      <c r="BX192" t="s">
        <v>173</v>
      </c>
      <c r="BY192" t="s">
        <v>173</v>
      </c>
      <c r="BZ192" t="s">
        <v>173</v>
      </c>
      <c r="CA192" t="s">
        <v>173</v>
      </c>
      <c r="CB192" t="s">
        <v>173</v>
      </c>
      <c r="CC192" t="s">
        <v>173</v>
      </c>
      <c r="CD192" t="s">
        <v>173</v>
      </c>
      <c r="CE192" t="s">
        <v>173</v>
      </c>
      <c r="CF192" t="s">
        <v>173</v>
      </c>
      <c r="CG192" t="s">
        <v>173</v>
      </c>
      <c r="CH192" t="s">
        <v>173</v>
      </c>
      <c r="CI192" t="s">
        <v>173</v>
      </c>
      <c r="CJ192" t="s">
        <v>173</v>
      </c>
      <c r="CK192" t="s">
        <v>173</v>
      </c>
      <c r="CL192" t="s">
        <v>173</v>
      </c>
      <c r="CM192" t="s">
        <v>173</v>
      </c>
      <c r="CN192" t="s">
        <v>173</v>
      </c>
      <c r="CO192" t="s">
        <v>173</v>
      </c>
      <c r="CP192" t="s">
        <v>173</v>
      </c>
      <c r="CQ192" t="s">
        <v>173</v>
      </c>
      <c r="CR192" t="s">
        <v>173</v>
      </c>
      <c r="CS192" t="s">
        <v>173</v>
      </c>
      <c r="CT192" t="s">
        <v>173</v>
      </c>
      <c r="CU192" t="s">
        <v>173</v>
      </c>
      <c r="CV192" t="s">
        <v>173</v>
      </c>
      <c r="CW192" t="s">
        <v>173</v>
      </c>
      <c r="CX192" t="s">
        <v>173</v>
      </c>
      <c r="CY192" t="s">
        <v>173</v>
      </c>
      <c r="CZ192" t="s">
        <v>173</v>
      </c>
      <c r="DA192" t="s">
        <v>173</v>
      </c>
      <c r="DB192" t="s">
        <v>173</v>
      </c>
      <c r="DC192" t="s">
        <v>173</v>
      </c>
      <c r="DD192" t="s">
        <v>173</v>
      </c>
      <c r="DE192" t="s">
        <v>173</v>
      </c>
      <c r="DF192" t="s">
        <v>172</v>
      </c>
      <c r="DG192" t="s">
        <v>547</v>
      </c>
      <c r="DH192" t="s">
        <v>173</v>
      </c>
    </row>
    <row r="193" spans="1:112">
      <c r="A193">
        <v>33</v>
      </c>
      <c r="B193" t="s">
        <v>542</v>
      </c>
      <c r="C193" t="s">
        <v>543</v>
      </c>
      <c r="D193">
        <v>2025</v>
      </c>
      <c r="E193" t="s">
        <v>544</v>
      </c>
      <c r="F193" t="s">
        <v>545</v>
      </c>
      <c r="G193" t="s">
        <v>454</v>
      </c>
      <c r="H193">
        <v>0.86</v>
      </c>
      <c r="I193" t="s">
        <v>173</v>
      </c>
      <c r="J193" t="s">
        <v>546</v>
      </c>
      <c r="K193" t="s">
        <v>523</v>
      </c>
      <c r="L193" t="s">
        <v>524</v>
      </c>
      <c r="M193" t="s">
        <v>454</v>
      </c>
      <c r="N193" t="s">
        <v>454</v>
      </c>
      <c r="O193" t="s">
        <v>458</v>
      </c>
      <c r="P193">
        <v>20</v>
      </c>
      <c r="Q193" t="s">
        <v>459</v>
      </c>
      <c r="R193">
        <v>183.5</v>
      </c>
      <c r="S193">
        <v>0.02</v>
      </c>
      <c r="T193" t="s">
        <v>173</v>
      </c>
      <c r="U193" t="s">
        <v>173</v>
      </c>
      <c r="V193" t="s">
        <v>173</v>
      </c>
      <c r="W193" t="s">
        <v>173</v>
      </c>
      <c r="X193" t="s">
        <v>173</v>
      </c>
      <c r="Y193" t="s">
        <v>173</v>
      </c>
      <c r="Z193" t="s">
        <v>173</v>
      </c>
      <c r="AA193" t="s">
        <v>173</v>
      </c>
      <c r="AB193" t="s">
        <v>173</v>
      </c>
      <c r="AC193" t="s">
        <v>173</v>
      </c>
      <c r="AD193" t="s">
        <v>173</v>
      </c>
      <c r="AE193" t="s">
        <v>173</v>
      </c>
      <c r="AF193" t="s">
        <v>173</v>
      </c>
      <c r="AG193" t="s">
        <v>173</v>
      </c>
      <c r="AH193" t="s">
        <v>173</v>
      </c>
      <c r="AI193" t="s">
        <v>173</v>
      </c>
      <c r="AJ193" t="s">
        <v>173</v>
      </c>
      <c r="AK193" t="s">
        <v>173</v>
      </c>
      <c r="AL193" t="s">
        <v>173</v>
      </c>
      <c r="AM193" t="s">
        <v>173</v>
      </c>
      <c r="AN193" t="s">
        <v>173</v>
      </c>
      <c r="AO193" t="s">
        <v>173</v>
      </c>
      <c r="AP193" t="s">
        <v>173</v>
      </c>
      <c r="AQ193" t="s">
        <v>173</v>
      </c>
      <c r="AR193" t="s">
        <v>173</v>
      </c>
      <c r="AS193" t="s">
        <v>173</v>
      </c>
      <c r="AT193" t="s">
        <v>173</v>
      </c>
      <c r="AU193" t="s">
        <v>173</v>
      </c>
      <c r="AV193" t="s">
        <v>173</v>
      </c>
      <c r="AW193" t="s">
        <v>173</v>
      </c>
      <c r="AX193" t="s">
        <v>173</v>
      </c>
      <c r="AY193" t="s">
        <v>173</v>
      </c>
      <c r="AZ193" t="s">
        <v>173</v>
      </c>
      <c r="BA193">
        <v>4.2</v>
      </c>
      <c r="BB193">
        <v>0.06</v>
      </c>
      <c r="BC193" t="s">
        <v>460</v>
      </c>
      <c r="BD193">
        <f>_xlfn.XLOOKUP(Table7[[#This Row],[WVP_unit]],ConversionFactors!$B$3:$B$10,ConversionFactors!$S$3:$S$10)</f>
        <v>2400000</v>
      </c>
      <c r="BE193">
        <f>Table7[[#This Row],[WVP_value]]*Table7[[#This Row],[WVP_conversion_factor]]</f>
        <v>10080000</v>
      </c>
      <c r="BF193">
        <f>Table7[[#This Row],[WVP_SD]]*Table7[[#This Row],[WVP_conversion_factor]]</f>
        <v>144000</v>
      </c>
      <c r="BG193" t="s">
        <v>461</v>
      </c>
      <c r="BH193">
        <v>25</v>
      </c>
      <c r="BI193">
        <v>52.8</v>
      </c>
      <c r="BJ193">
        <f>10^(8.07131-1730.63/(233.426+Table7[[#This Row],[WVP_temperature_°C]]))*0.00133322368</f>
        <v>3.1579287443259496E-2</v>
      </c>
      <c r="BK193">
        <f>Table7[[#This Row],[WVP_RH_%]]/100*Table7[[#This Row],[WVP_psat_bar]]</f>
        <v>1.6673863770041014E-2</v>
      </c>
      <c r="BL193" t="s">
        <v>173</v>
      </c>
      <c r="BM193" t="s">
        <v>173</v>
      </c>
      <c r="BN193" t="s">
        <v>173</v>
      </c>
      <c r="BO193" t="s">
        <v>173</v>
      </c>
      <c r="BP193">
        <f>Table7[[#This Row],[WVP_g·µm·m-2·d-1·bar-1]]*Table7[[#This Row],[WVP_Δp_bar]]/100</f>
        <v>1680.725468020134</v>
      </c>
      <c r="BQ193">
        <f>Table7[[#This Row],[WVP_SD_g·µm·m-2·d-1 ]]*Table7[[#This Row],[WVP_Δp_bar]]/100</f>
        <v>24.01036382885906</v>
      </c>
      <c r="BR193" t="s">
        <v>461</v>
      </c>
      <c r="BS193">
        <v>25</v>
      </c>
      <c r="BT193">
        <v>52.8</v>
      </c>
      <c r="BU193" t="s">
        <v>173</v>
      </c>
      <c r="BV193" t="s">
        <v>173</v>
      </c>
      <c r="BX193" t="s">
        <v>173</v>
      </c>
      <c r="BY193" t="s">
        <v>173</v>
      </c>
      <c r="BZ193" t="s">
        <v>173</v>
      </c>
      <c r="CA193" t="s">
        <v>173</v>
      </c>
      <c r="CB193" t="s">
        <v>173</v>
      </c>
      <c r="CC193" t="s">
        <v>173</v>
      </c>
      <c r="CD193" t="s">
        <v>173</v>
      </c>
      <c r="CE193" t="s">
        <v>173</v>
      </c>
      <c r="CF193" t="s">
        <v>173</v>
      </c>
      <c r="CG193" t="s">
        <v>173</v>
      </c>
      <c r="CH193" t="s">
        <v>173</v>
      </c>
      <c r="CI193" t="s">
        <v>173</v>
      </c>
      <c r="CJ193" t="s">
        <v>173</v>
      </c>
      <c r="CK193" t="s">
        <v>173</v>
      </c>
      <c r="CL193" t="s">
        <v>173</v>
      </c>
      <c r="CM193" t="s">
        <v>173</v>
      </c>
      <c r="CN193" t="s">
        <v>173</v>
      </c>
      <c r="CO193" t="s">
        <v>173</v>
      </c>
      <c r="CP193" t="s">
        <v>173</v>
      </c>
      <c r="CQ193" t="s">
        <v>173</v>
      </c>
      <c r="CR193" t="s">
        <v>173</v>
      </c>
      <c r="CS193" t="s">
        <v>173</v>
      </c>
      <c r="CT193" t="s">
        <v>173</v>
      </c>
      <c r="CU193" t="s">
        <v>173</v>
      </c>
      <c r="CV193" t="s">
        <v>173</v>
      </c>
      <c r="CW193" t="s">
        <v>173</v>
      </c>
      <c r="CX193" t="s">
        <v>173</v>
      </c>
      <c r="CY193" t="s">
        <v>173</v>
      </c>
      <c r="CZ193" t="s">
        <v>173</v>
      </c>
      <c r="DA193" t="s">
        <v>173</v>
      </c>
      <c r="DB193" t="s">
        <v>173</v>
      </c>
      <c r="DC193" t="s">
        <v>173</v>
      </c>
      <c r="DD193" t="s">
        <v>173</v>
      </c>
      <c r="DE193" t="s">
        <v>173</v>
      </c>
      <c r="DF193" t="s">
        <v>172</v>
      </c>
      <c r="DG193" t="s">
        <v>547</v>
      </c>
      <c r="DH193" t="s">
        <v>173</v>
      </c>
    </row>
    <row r="194" spans="1:112">
      <c r="A194">
        <v>34</v>
      </c>
      <c r="B194" t="s">
        <v>548</v>
      </c>
      <c r="C194" t="s">
        <v>549</v>
      </c>
      <c r="D194">
        <v>2025</v>
      </c>
      <c r="E194" t="s">
        <v>550</v>
      </c>
      <c r="F194" t="s">
        <v>551</v>
      </c>
      <c r="G194" t="s">
        <v>454</v>
      </c>
      <c r="H194">
        <v>0.79</v>
      </c>
      <c r="I194" t="s">
        <v>173</v>
      </c>
      <c r="J194" t="s">
        <v>552</v>
      </c>
      <c r="K194" t="s">
        <v>552</v>
      </c>
      <c r="L194" t="s">
        <v>524</v>
      </c>
      <c r="M194" t="s">
        <v>454</v>
      </c>
      <c r="N194" t="s">
        <v>454</v>
      </c>
      <c r="O194" t="s">
        <v>458</v>
      </c>
      <c r="P194">
        <v>30</v>
      </c>
      <c r="Q194" t="s">
        <v>459</v>
      </c>
      <c r="R194">
        <v>250</v>
      </c>
      <c r="S194">
        <v>50</v>
      </c>
      <c r="T194" t="s">
        <v>173</v>
      </c>
      <c r="U194" t="s">
        <v>173</v>
      </c>
      <c r="V194" t="s">
        <v>173</v>
      </c>
      <c r="W194" t="s">
        <v>173</v>
      </c>
      <c r="X194" t="s">
        <v>173</v>
      </c>
      <c r="Y194" t="s">
        <v>173</v>
      </c>
      <c r="Z194" t="s">
        <v>173</v>
      </c>
      <c r="AA194" t="s">
        <v>173</v>
      </c>
      <c r="AB194" t="s">
        <v>173</v>
      </c>
      <c r="AC194" t="s">
        <v>173</v>
      </c>
      <c r="AD194" t="s">
        <v>173</v>
      </c>
      <c r="AE194" t="s">
        <v>173</v>
      </c>
      <c r="AF194" t="s">
        <v>173</v>
      </c>
      <c r="AG194" t="s">
        <v>173</v>
      </c>
      <c r="AH194" t="s">
        <v>173</v>
      </c>
      <c r="AI194" t="s">
        <v>173</v>
      </c>
      <c r="AJ194" t="s">
        <v>173</v>
      </c>
      <c r="AK194" t="s">
        <v>173</v>
      </c>
      <c r="AL194" t="s">
        <v>173</v>
      </c>
      <c r="AM194" t="s">
        <v>173</v>
      </c>
      <c r="AN194" t="s">
        <v>173</v>
      </c>
      <c r="AO194" t="s">
        <v>173</v>
      </c>
      <c r="AP194" t="s">
        <v>173</v>
      </c>
      <c r="AQ194" t="s">
        <v>173</v>
      </c>
      <c r="AR194" t="s">
        <v>173</v>
      </c>
      <c r="AS194" t="s">
        <v>173</v>
      </c>
      <c r="AT194" t="s">
        <v>173</v>
      </c>
      <c r="AU194" t="s">
        <v>173</v>
      </c>
      <c r="AV194" t="s">
        <v>173</v>
      </c>
      <c r="AW194" t="s">
        <v>173</v>
      </c>
      <c r="AX194" t="s">
        <v>173</v>
      </c>
      <c r="AY194" t="s">
        <v>173</v>
      </c>
      <c r="AZ194" t="s">
        <v>173</v>
      </c>
      <c r="BA194">
        <v>3.7000000000000001E-10</v>
      </c>
      <c r="BB194">
        <v>1.4E-11</v>
      </c>
      <c r="BC194" t="s">
        <v>475</v>
      </c>
      <c r="BD194">
        <f>_xlfn.XLOOKUP(Table7[[#This Row],[WVP_unit]],ConversionFactors!$B$3:$B$10,ConversionFactors!$S$3:$S$10)</f>
        <v>8640000000000000</v>
      </c>
      <c r="BE194">
        <f>Table7[[#This Row],[WVP_value]]*Table7[[#This Row],[WVP_conversion_factor]]</f>
        <v>3196800</v>
      </c>
      <c r="BF194">
        <f>Table7[[#This Row],[WVP_SD]]*Table7[[#This Row],[WVP_conversion_factor]]</f>
        <v>120960</v>
      </c>
      <c r="BG194" t="s">
        <v>461</v>
      </c>
      <c r="BH194">
        <v>25</v>
      </c>
      <c r="BI194">
        <v>75</v>
      </c>
      <c r="BJ194">
        <f>10^(8.07131-1730.63/(233.426+Table7[[#This Row],[WVP_temperature_°C]]))*0.00133322368</f>
        <v>3.1579287443259496E-2</v>
      </c>
      <c r="BK194">
        <f>Table7[[#This Row],[WVP_RH_%]]/100*Table7[[#This Row],[WVP_psat_bar]]</f>
        <v>2.3684465582444622E-2</v>
      </c>
      <c r="BL194">
        <v>4.5999999999999999E-3</v>
      </c>
      <c r="BM194">
        <v>1.7000000000000001E-4</v>
      </c>
      <c r="BN194" t="s">
        <v>538</v>
      </c>
      <c r="BO194">
        <f>_xlfn.XLOOKUP(Table7[[#This Row],[WVTR_unit]],ConversionFactors!$B$11:$B$12,ConversionFactors!$S$11:$S$12)</f>
        <v>86400</v>
      </c>
      <c r="BP194">
        <f>Table7[[#This Row],[WVTR_value]]*Table7[[#This Row],[WVTR_conversion_factor]]*Table7[[#This Row],[Film_thickness_µm]]/100</f>
        <v>993.6</v>
      </c>
      <c r="BQ194">
        <f>Table7[[#This Row],[WVTR100_g·m-2·d-1 ]]*SQRT((Table7[[#This Row],[WVTR_SD]]/Table7[[#This Row],[WVTR_value]])^2+(Table7[[#This Row],[Film_thickness_SD_µm]]/Table7[[#This Row],[Film_thickness_µm]])^2)</f>
        <v>202.08413297436294</v>
      </c>
      <c r="BR194" t="s">
        <v>461</v>
      </c>
      <c r="BS194">
        <v>25</v>
      </c>
      <c r="BT194">
        <v>75</v>
      </c>
      <c r="BU194" t="s">
        <v>173</v>
      </c>
      <c r="BV194" t="s">
        <v>173</v>
      </c>
      <c r="BX194" t="s">
        <v>173</v>
      </c>
      <c r="BY194" t="s">
        <v>173</v>
      </c>
      <c r="BZ194" t="s">
        <v>173</v>
      </c>
      <c r="CA194" t="s">
        <v>173</v>
      </c>
      <c r="CB194" t="s">
        <v>173</v>
      </c>
      <c r="CC194" t="s">
        <v>173</v>
      </c>
      <c r="CD194" t="s">
        <v>173</v>
      </c>
      <c r="CE194" t="s">
        <v>173</v>
      </c>
      <c r="CF194" t="s">
        <v>173</v>
      </c>
      <c r="CG194" t="s">
        <v>173</v>
      </c>
      <c r="CH194" t="s">
        <v>173</v>
      </c>
      <c r="CI194" t="s">
        <v>173</v>
      </c>
      <c r="CJ194" t="s">
        <v>173</v>
      </c>
      <c r="CK194" t="s">
        <v>173</v>
      </c>
      <c r="CL194" t="s">
        <v>173</v>
      </c>
      <c r="CM194" t="s">
        <v>173</v>
      </c>
      <c r="CN194" t="s">
        <v>173</v>
      </c>
      <c r="CO194" t="s">
        <v>173</v>
      </c>
      <c r="CP194" t="s">
        <v>173</v>
      </c>
      <c r="CQ194" t="s">
        <v>173</v>
      </c>
      <c r="CR194" t="s">
        <v>173</v>
      </c>
      <c r="CS194" t="s">
        <v>173</v>
      </c>
      <c r="CT194" t="s">
        <v>173</v>
      </c>
      <c r="CU194" t="s">
        <v>173</v>
      </c>
      <c r="CV194" t="s">
        <v>173</v>
      </c>
      <c r="CW194" t="s">
        <v>173</v>
      </c>
      <c r="CX194" t="s">
        <v>173</v>
      </c>
      <c r="CY194" t="s">
        <v>173</v>
      </c>
      <c r="CZ194" t="s">
        <v>173</v>
      </c>
      <c r="DA194" t="s">
        <v>173</v>
      </c>
      <c r="DB194" t="s">
        <v>173</v>
      </c>
      <c r="DC194" t="s">
        <v>173</v>
      </c>
      <c r="DD194" t="s">
        <v>173</v>
      </c>
      <c r="DE194" t="s">
        <v>173</v>
      </c>
      <c r="DF194" t="s">
        <v>172</v>
      </c>
      <c r="DG194" t="s">
        <v>553</v>
      </c>
      <c r="DH194" t="s">
        <v>173</v>
      </c>
    </row>
    <row r="195" spans="1:112">
      <c r="A195">
        <v>39</v>
      </c>
      <c r="B195" t="s">
        <v>554</v>
      </c>
      <c r="C195" t="s">
        <v>555</v>
      </c>
      <c r="D195">
        <v>2025</v>
      </c>
      <c r="E195" t="s">
        <v>556</v>
      </c>
      <c r="F195" t="s">
        <v>557</v>
      </c>
      <c r="G195" t="s">
        <v>454</v>
      </c>
      <c r="H195">
        <v>0.79</v>
      </c>
      <c r="I195" t="s">
        <v>173</v>
      </c>
      <c r="J195" t="s">
        <v>512</v>
      </c>
      <c r="K195" t="s">
        <v>512</v>
      </c>
      <c r="L195" t="s">
        <v>496</v>
      </c>
      <c r="M195" t="s">
        <v>454</v>
      </c>
      <c r="N195" t="s">
        <v>454</v>
      </c>
      <c r="O195" t="s">
        <v>173</v>
      </c>
      <c r="P195" t="s">
        <v>173</v>
      </c>
      <c r="Q195" t="s">
        <v>517</v>
      </c>
      <c r="R195">
        <v>185</v>
      </c>
      <c r="S195" t="s">
        <v>173</v>
      </c>
      <c r="T195" t="s">
        <v>173</v>
      </c>
      <c r="U195">
        <v>0.69499999999999995</v>
      </c>
      <c r="V195">
        <v>3.5000000000000003E-2</v>
      </c>
      <c r="W195" t="s">
        <v>558</v>
      </c>
      <c r="X195">
        <f>_xlfn.XLOOKUP(Table7[[#This Row],[PO2_unit]],ConversionFactors!$B$13:$B$19,ConversionFactors!$S$13:$S$19)</f>
        <v>9869</v>
      </c>
      <c r="Y195">
        <f>Table7[[#This Row],[PO2_value]]*Table7[[#This Row],[PO2_conversion_factor]]</f>
        <v>6858.9549999999999</v>
      </c>
      <c r="Z195">
        <f>Table7[[#This Row],[PO2_SD]]*Table7[[#This Row],[PO2_conversion_factor]]</f>
        <v>345.41500000000002</v>
      </c>
      <c r="AA195" t="s">
        <v>559</v>
      </c>
      <c r="AB195">
        <v>23</v>
      </c>
      <c r="AC195">
        <v>0</v>
      </c>
      <c r="AD195" t="s">
        <v>173</v>
      </c>
      <c r="AE195" t="s">
        <v>173</v>
      </c>
      <c r="AF195" t="s">
        <v>173</v>
      </c>
      <c r="AG195" t="s">
        <v>173</v>
      </c>
      <c r="AH195">
        <f>Table7[[#This Row],[PO2_cm³·µm·m⁻²·d⁻¹·bar⁻¹ ]]/100</f>
        <v>68.589550000000003</v>
      </c>
      <c r="AI195">
        <f>Table7[[#This Row],[PO2_SD_cm³·µm·m⁻²·d⁻¹·bar⁻¹ ]]/100</f>
        <v>3.4541500000000003</v>
      </c>
      <c r="AJ195" t="s">
        <v>559</v>
      </c>
      <c r="AK195">
        <v>23</v>
      </c>
      <c r="AL195">
        <v>0</v>
      </c>
      <c r="AM195">
        <v>2.37</v>
      </c>
      <c r="AN195">
        <v>0.1</v>
      </c>
      <c r="AO195" t="s">
        <v>558</v>
      </c>
      <c r="AP195">
        <f>_xlfn.XLOOKUP(Table7[[#This Row],[PCO2_unit]],ConversionFactors!$B$21:$B$23,ConversionFactors!$S$21:$S$23)</f>
        <v>9869</v>
      </c>
      <c r="AQ195">
        <f>Table7[[#This Row],[PCO2_value]]*Table7[[#This Row],[PCO2_conversion_factor]]</f>
        <v>23389.530000000002</v>
      </c>
      <c r="AR195">
        <f>Table7[[#This Row],[PCO2_SD]]*Table7[[#This Row],[PCO2_conversion_factor]]</f>
        <v>986.90000000000009</v>
      </c>
      <c r="AS195" t="s">
        <v>559</v>
      </c>
      <c r="AT195">
        <v>23</v>
      </c>
      <c r="AU195">
        <v>0</v>
      </c>
      <c r="AV195">
        <f>Table7[[#This Row],[PCO2_cm³·µm·m⁻²·d⁻¹·bar⁻¹ ]]*100</f>
        <v>2338953.0000000005</v>
      </c>
      <c r="AW195">
        <f>Table7[[#This Row],[PCO2_SD_cm³·µm·m⁻²·d⁻¹·bar⁻¹ ]]/100</f>
        <v>9.8690000000000015</v>
      </c>
      <c r="AX195" t="s">
        <v>559</v>
      </c>
      <c r="AY195">
        <v>23</v>
      </c>
      <c r="AZ195">
        <v>0</v>
      </c>
      <c r="BA195" t="s">
        <v>173</v>
      </c>
      <c r="BB195" t="s">
        <v>173</v>
      </c>
      <c r="BC195" t="s">
        <v>173</v>
      </c>
      <c r="BD195" t="s">
        <v>173</v>
      </c>
      <c r="BE195" t="s">
        <v>173</v>
      </c>
      <c r="BF195" t="s">
        <v>173</v>
      </c>
      <c r="BG195" t="s">
        <v>173</v>
      </c>
      <c r="BH195" t="s">
        <v>173</v>
      </c>
      <c r="BI195" t="s">
        <v>173</v>
      </c>
      <c r="BJ195" t="s">
        <v>173</v>
      </c>
      <c r="BK195" t="s">
        <v>173</v>
      </c>
      <c r="BL195" t="s">
        <v>173</v>
      </c>
      <c r="BM195" t="s">
        <v>173</v>
      </c>
      <c r="BN195" t="s">
        <v>173</v>
      </c>
      <c r="BO195" t="s">
        <v>173</v>
      </c>
      <c r="BP195" t="s">
        <v>173</v>
      </c>
      <c r="BQ195" t="s">
        <v>173</v>
      </c>
      <c r="BR195" t="s">
        <v>173</v>
      </c>
      <c r="BS195" t="s">
        <v>173</v>
      </c>
      <c r="BT195" t="s">
        <v>173</v>
      </c>
      <c r="BU195">
        <v>3</v>
      </c>
      <c r="BV195" t="s">
        <v>173</v>
      </c>
      <c r="BX195" t="s">
        <v>173</v>
      </c>
      <c r="BY195" t="s">
        <v>173</v>
      </c>
      <c r="BZ195" t="s">
        <v>173</v>
      </c>
      <c r="CA195" t="s">
        <v>173</v>
      </c>
      <c r="CB195" t="s">
        <v>173</v>
      </c>
      <c r="CC195" t="s">
        <v>173</v>
      </c>
      <c r="CD195" t="s">
        <v>173</v>
      </c>
      <c r="CE195" t="s">
        <v>173</v>
      </c>
      <c r="CF195" t="s">
        <v>173</v>
      </c>
      <c r="CG195" t="s">
        <v>173</v>
      </c>
      <c r="CH195" t="s">
        <v>173</v>
      </c>
      <c r="CI195" t="s">
        <v>173</v>
      </c>
      <c r="CJ195" t="s">
        <v>173</v>
      </c>
      <c r="CK195" t="s">
        <v>173</v>
      </c>
      <c r="CL195" t="s">
        <v>173</v>
      </c>
      <c r="CM195" t="s">
        <v>173</v>
      </c>
      <c r="CN195" t="s">
        <v>173</v>
      </c>
      <c r="CO195" t="s">
        <v>173</v>
      </c>
      <c r="CP195" t="s">
        <v>173</v>
      </c>
      <c r="CQ195" t="s">
        <v>173</v>
      </c>
      <c r="CR195" t="s">
        <v>173</v>
      </c>
      <c r="CS195" t="s">
        <v>173</v>
      </c>
      <c r="CT195" t="s">
        <v>173</v>
      </c>
      <c r="CU195" t="s">
        <v>173</v>
      </c>
      <c r="CV195" t="s">
        <v>173</v>
      </c>
      <c r="CW195" t="s">
        <v>173</v>
      </c>
      <c r="CX195" t="s">
        <v>173</v>
      </c>
      <c r="CY195" t="s">
        <v>173</v>
      </c>
      <c r="CZ195" t="s">
        <v>173</v>
      </c>
      <c r="DA195" t="s">
        <v>173</v>
      </c>
      <c r="DB195" t="s">
        <v>173</v>
      </c>
      <c r="DC195" t="s">
        <v>173</v>
      </c>
      <c r="DD195" t="s">
        <v>173</v>
      </c>
      <c r="DE195" t="s">
        <v>173</v>
      </c>
      <c r="DF195" t="s">
        <v>172</v>
      </c>
      <c r="DG195" t="s">
        <v>560</v>
      </c>
      <c r="DH195" t="s">
        <v>561</v>
      </c>
    </row>
    <row r="196" spans="1:112" ht="409.6">
      <c r="A196">
        <v>39</v>
      </c>
      <c r="B196" t="s">
        <v>554</v>
      </c>
      <c r="C196" t="s">
        <v>555</v>
      </c>
      <c r="D196">
        <v>2025</v>
      </c>
      <c r="E196" t="s">
        <v>556</v>
      </c>
      <c r="F196" t="s">
        <v>557</v>
      </c>
      <c r="G196" t="s">
        <v>454</v>
      </c>
      <c r="H196">
        <v>0.79</v>
      </c>
      <c r="I196" t="s">
        <v>173</v>
      </c>
      <c r="J196" t="s">
        <v>562</v>
      </c>
      <c r="K196" t="s">
        <v>563</v>
      </c>
      <c r="L196" t="s">
        <v>564</v>
      </c>
      <c r="M196" t="s">
        <v>454</v>
      </c>
      <c r="N196" t="s">
        <v>454</v>
      </c>
      <c r="O196" t="s">
        <v>173</v>
      </c>
      <c r="P196" t="s">
        <v>173</v>
      </c>
      <c r="Q196" t="s">
        <v>517</v>
      </c>
      <c r="R196">
        <v>150</v>
      </c>
      <c r="S196" t="s">
        <v>173</v>
      </c>
      <c r="T196" t="s">
        <v>173</v>
      </c>
      <c r="U196">
        <v>2E-3</v>
      </c>
      <c r="V196">
        <v>5.0000000000000001E-4</v>
      </c>
      <c r="W196" t="s">
        <v>558</v>
      </c>
      <c r="X196">
        <f>_xlfn.XLOOKUP(Table7[[#This Row],[PO2_unit]],ConversionFactors!$B$13:$B$19,ConversionFactors!$S$13:$S$19)</f>
        <v>9869</v>
      </c>
      <c r="Y196">
        <f>Table7[[#This Row],[PO2_value]]*Table7[[#This Row],[PO2_conversion_factor]]</f>
        <v>19.738</v>
      </c>
      <c r="Z196">
        <f>Table7[[#This Row],[PO2_SD]]*Table7[[#This Row],[PO2_conversion_factor]]</f>
        <v>4.9344999999999999</v>
      </c>
      <c r="AA196" t="s">
        <v>559</v>
      </c>
      <c r="AB196">
        <v>23</v>
      </c>
      <c r="AC196">
        <v>0</v>
      </c>
      <c r="AD196" t="s">
        <v>173</v>
      </c>
      <c r="AE196" t="s">
        <v>173</v>
      </c>
      <c r="AF196" t="s">
        <v>173</v>
      </c>
      <c r="AG196" t="s">
        <v>173</v>
      </c>
      <c r="AH196">
        <f>Table7[[#This Row],[PO2_cm³·µm·m⁻²·d⁻¹·bar⁻¹ ]]/100</f>
        <v>0.19738</v>
      </c>
      <c r="AI196">
        <f>Table7[[#This Row],[PO2_SD_cm³·µm·m⁻²·d⁻¹·bar⁻¹ ]]/100</f>
        <v>4.9345E-2</v>
      </c>
      <c r="AJ196" t="s">
        <v>559</v>
      </c>
      <c r="AK196">
        <v>23</v>
      </c>
      <c r="AL196">
        <v>0</v>
      </c>
      <c r="AM196">
        <v>2E-3</v>
      </c>
      <c r="AN196">
        <v>5.0000000000000001E-4</v>
      </c>
      <c r="AO196" t="s">
        <v>558</v>
      </c>
      <c r="AP196">
        <f>_xlfn.XLOOKUP(Table7[[#This Row],[PCO2_unit]],ConversionFactors!$B$21:$B$23,ConversionFactors!$S$21:$S$23)</f>
        <v>9869</v>
      </c>
      <c r="AQ196">
        <f>Table7[[#This Row],[PCO2_value]]*Table7[[#This Row],[PCO2_conversion_factor]]</f>
        <v>19.738</v>
      </c>
      <c r="AR196">
        <f>Table7[[#This Row],[PCO2_SD]]*Table7[[#This Row],[PCO2_conversion_factor]]</f>
        <v>4.9344999999999999</v>
      </c>
      <c r="AS196" t="s">
        <v>559</v>
      </c>
      <c r="AT196">
        <v>23</v>
      </c>
      <c r="AU196">
        <v>0</v>
      </c>
      <c r="AV196">
        <f>Table7[[#This Row],[PCO2_cm³·µm·m⁻²·d⁻¹·bar⁻¹ ]]*100</f>
        <v>1973.8</v>
      </c>
      <c r="AW196">
        <f>Table7[[#This Row],[PCO2_SD_cm³·µm·m⁻²·d⁻¹·bar⁻¹ ]]/100</f>
        <v>4.9345E-2</v>
      </c>
      <c r="AX196" t="s">
        <v>559</v>
      </c>
      <c r="AY196">
        <v>23</v>
      </c>
      <c r="AZ196">
        <v>0</v>
      </c>
      <c r="BA196" t="s">
        <v>173</v>
      </c>
      <c r="BB196" t="s">
        <v>173</v>
      </c>
      <c r="BC196" t="s">
        <v>173</v>
      </c>
      <c r="BD196" t="s">
        <v>173</v>
      </c>
      <c r="BE196" t="s">
        <v>173</v>
      </c>
      <c r="BF196" t="s">
        <v>173</v>
      </c>
      <c r="BG196" t="s">
        <v>173</v>
      </c>
      <c r="BH196" t="s">
        <v>173</v>
      </c>
      <c r="BI196" t="s">
        <v>173</v>
      </c>
      <c r="BJ196" t="s">
        <v>173</v>
      </c>
      <c r="BK196" t="s">
        <v>173</v>
      </c>
      <c r="BL196" t="s">
        <v>173</v>
      </c>
      <c r="BM196" t="s">
        <v>173</v>
      </c>
      <c r="BN196" t="s">
        <v>173</v>
      </c>
      <c r="BO196" t="s">
        <v>173</v>
      </c>
      <c r="BP196" t="s">
        <v>173</v>
      </c>
      <c r="BQ196" t="s">
        <v>173</v>
      </c>
      <c r="BR196" t="s">
        <v>173</v>
      </c>
      <c r="BS196" t="s">
        <v>173</v>
      </c>
      <c r="BT196" t="s">
        <v>173</v>
      </c>
      <c r="BU196">
        <v>3</v>
      </c>
      <c r="BV196" t="s">
        <v>173</v>
      </c>
      <c r="BX196" t="s">
        <v>173</v>
      </c>
      <c r="BY196" t="s">
        <v>173</v>
      </c>
      <c r="BZ196" t="s">
        <v>173</v>
      </c>
      <c r="CA196" t="s">
        <v>173</v>
      </c>
      <c r="CB196" t="s">
        <v>173</v>
      </c>
      <c r="CC196" t="s">
        <v>173</v>
      </c>
      <c r="CD196" t="s">
        <v>173</v>
      </c>
      <c r="CE196" t="s">
        <v>173</v>
      </c>
      <c r="CF196" t="s">
        <v>173</v>
      </c>
      <c r="CG196" t="s">
        <v>173</v>
      </c>
      <c r="CH196" t="s">
        <v>173</v>
      </c>
      <c r="CI196" t="s">
        <v>173</v>
      </c>
      <c r="CJ196" t="s">
        <v>173</v>
      </c>
      <c r="CK196" t="s">
        <v>173</v>
      </c>
      <c r="CL196" t="s">
        <v>173</v>
      </c>
      <c r="CM196" t="s">
        <v>173</v>
      </c>
      <c r="CN196" t="s">
        <v>173</v>
      </c>
      <c r="CO196" t="s">
        <v>173</v>
      </c>
      <c r="CP196" t="s">
        <v>173</v>
      </c>
      <c r="CQ196" t="s">
        <v>173</v>
      </c>
      <c r="CR196" t="s">
        <v>173</v>
      </c>
      <c r="CS196" t="s">
        <v>173</v>
      </c>
      <c r="CT196" t="s">
        <v>173</v>
      </c>
      <c r="CU196" t="s">
        <v>173</v>
      </c>
      <c r="CV196" t="s">
        <v>173</v>
      </c>
      <c r="CW196" t="s">
        <v>173</v>
      </c>
      <c r="CX196" t="s">
        <v>173</v>
      </c>
      <c r="CY196" t="s">
        <v>173</v>
      </c>
      <c r="CZ196" t="s">
        <v>173</v>
      </c>
      <c r="DA196" t="s">
        <v>173</v>
      </c>
      <c r="DB196" t="s">
        <v>173</v>
      </c>
      <c r="DC196" t="s">
        <v>173</v>
      </c>
      <c r="DD196" t="s">
        <v>173</v>
      </c>
      <c r="DE196" t="s">
        <v>173</v>
      </c>
      <c r="DF196" t="s">
        <v>172</v>
      </c>
      <c r="DG196" t="s">
        <v>560</v>
      </c>
      <c r="DH196" s="1" t="s">
        <v>565</v>
      </c>
    </row>
    <row r="197" spans="1:112">
      <c r="A197">
        <v>44</v>
      </c>
      <c r="B197" t="s">
        <v>566</v>
      </c>
      <c r="C197" t="s">
        <v>567</v>
      </c>
      <c r="D197">
        <v>2025</v>
      </c>
      <c r="E197" t="s">
        <v>253</v>
      </c>
      <c r="F197" t="s">
        <v>568</v>
      </c>
      <c r="G197" t="s">
        <v>454</v>
      </c>
      <c r="H197">
        <v>0.93</v>
      </c>
      <c r="I197" t="s">
        <v>173</v>
      </c>
      <c r="J197" t="s">
        <v>569</v>
      </c>
      <c r="K197" t="s">
        <v>569</v>
      </c>
      <c r="L197" t="s">
        <v>457</v>
      </c>
      <c r="M197" t="s">
        <v>454</v>
      </c>
      <c r="N197" t="s">
        <v>454</v>
      </c>
      <c r="O197" t="s">
        <v>458</v>
      </c>
      <c r="P197">
        <v>40</v>
      </c>
      <c r="Q197" t="s">
        <v>459</v>
      </c>
      <c r="R197">
        <v>112</v>
      </c>
      <c r="S197">
        <v>28</v>
      </c>
      <c r="T197">
        <v>5</v>
      </c>
      <c r="U197">
        <v>0.26</v>
      </c>
      <c r="V197">
        <v>0.02</v>
      </c>
      <c r="W197" t="s">
        <v>570</v>
      </c>
      <c r="X197">
        <f>_xlfn.XLOOKUP(Table7[[#This Row],[PO2_unit]],ConversionFactors!$B$13:$B$19,ConversionFactors!$S$13:$S$19)</f>
        <v>100000</v>
      </c>
      <c r="Y197">
        <f>Table7[[#This Row],[PO2_value]]*Table7[[#This Row],[PO2_conversion_factor]]</f>
        <v>26000</v>
      </c>
      <c r="Z197">
        <f>Table7[[#This Row],[PO2_SD]]*Table7[[#This Row],[PO2_conversion_factor]]</f>
        <v>2000</v>
      </c>
      <c r="AA197" t="s">
        <v>571</v>
      </c>
      <c r="AB197">
        <v>25</v>
      </c>
      <c r="AC197">
        <v>50</v>
      </c>
      <c r="AD197" t="s">
        <v>173</v>
      </c>
      <c r="AE197" t="s">
        <v>173</v>
      </c>
      <c r="AF197" t="s">
        <v>173</v>
      </c>
      <c r="AG197" t="s">
        <v>173</v>
      </c>
      <c r="AH197">
        <f>Table7[[#This Row],[PO2_cm³·µm·m⁻²·d⁻¹·bar⁻¹ ]]/100</f>
        <v>260</v>
      </c>
      <c r="AI197">
        <f>Table7[[#This Row],[PO2_SD_cm³·µm·m⁻²·d⁻¹·bar⁻¹ ]]/100</f>
        <v>20</v>
      </c>
      <c r="AJ197" t="s">
        <v>559</v>
      </c>
      <c r="AK197">
        <v>23</v>
      </c>
      <c r="AL197">
        <v>0</v>
      </c>
      <c r="AM197">
        <v>0.9</v>
      </c>
      <c r="AN197">
        <v>0.06</v>
      </c>
      <c r="AO197" t="s">
        <v>570</v>
      </c>
      <c r="AP197">
        <f>_xlfn.XLOOKUP(Table7[[#This Row],[PCO2_unit]],ConversionFactors!$B$21:$B$23,ConversionFactors!$S$21:$S$23)</f>
        <v>100000</v>
      </c>
      <c r="AQ197">
        <f>Table7[[#This Row],[PCO2_value]]*Table7[[#This Row],[PCO2_conversion_factor]]</f>
        <v>90000</v>
      </c>
      <c r="AR197">
        <f>Table7[[#This Row],[PCO2_SD]]*Table7[[#This Row],[PCO2_conversion_factor]]</f>
        <v>6000</v>
      </c>
      <c r="AS197" t="s">
        <v>572</v>
      </c>
      <c r="AT197">
        <v>25</v>
      </c>
      <c r="AU197">
        <v>50</v>
      </c>
      <c r="AV197">
        <f>Table7[[#This Row],[PCO2_cm³·µm·m⁻²·d⁻¹·bar⁻¹ ]]*100</f>
        <v>9000000</v>
      </c>
      <c r="AW197">
        <f>Table7[[#This Row],[PCO2_SD_cm³·µm·m⁻²·d⁻¹·bar⁻¹ ]]/100</f>
        <v>60</v>
      </c>
      <c r="AX197" t="s">
        <v>572</v>
      </c>
      <c r="AY197">
        <v>25</v>
      </c>
      <c r="AZ197">
        <v>50</v>
      </c>
      <c r="BA197">
        <v>0.04</v>
      </c>
      <c r="BB197">
        <v>0.01</v>
      </c>
      <c r="BC197" t="s">
        <v>570</v>
      </c>
      <c r="BD197">
        <f>_xlfn.XLOOKUP(Table7[[#This Row],[WVP_unit]],ConversionFactors!$B$3:$B$10,ConversionFactors!$S$3:$S$10)</f>
        <v>100000</v>
      </c>
      <c r="BE197">
        <f>Table7[[#This Row],[WVP_value]]*Table7[[#This Row],[WVP_conversion_factor]]</f>
        <v>4000</v>
      </c>
      <c r="BF197">
        <f>Table7[[#This Row],[WVP_SD]]*Table7[[#This Row],[WVP_conversion_factor]]</f>
        <v>1000</v>
      </c>
      <c r="BG197" t="s">
        <v>573</v>
      </c>
      <c r="BH197">
        <v>25</v>
      </c>
      <c r="BI197">
        <v>50</v>
      </c>
      <c r="BJ197">
        <f>10^(8.07131-1730.63/(233.426+Table7[[#This Row],[WVP_temperature_°C]]))*0.00133322368</f>
        <v>3.1579287443259496E-2</v>
      </c>
      <c r="BK197">
        <f>Table7[[#This Row],[WVP_RH_%]]/100*Table7[[#This Row],[WVP_psat_bar]]</f>
        <v>1.5789643721629748E-2</v>
      </c>
      <c r="BL197" t="s">
        <v>173</v>
      </c>
      <c r="BM197" t="s">
        <v>173</v>
      </c>
      <c r="BN197" t="s">
        <v>173</v>
      </c>
      <c r="BO197" t="s">
        <v>173</v>
      </c>
      <c r="BP197">
        <f>Table7[[#This Row],[WVP_g·µm·m-2·d-1·bar-1]]*Table7[[#This Row],[WVP_Δp_bar]]/100</f>
        <v>0.63158574886518992</v>
      </c>
      <c r="BQ197">
        <f>Table7[[#This Row],[WVP_SD_g·µm·m-2·d-1 ]]*Table7[[#This Row],[WVP_Δp_bar]]/100</f>
        <v>0.15789643721629748</v>
      </c>
      <c r="BR197" t="s">
        <v>573</v>
      </c>
      <c r="BS197">
        <v>25</v>
      </c>
      <c r="BT197">
        <v>50</v>
      </c>
      <c r="BU197">
        <v>3</v>
      </c>
      <c r="BV197" t="s">
        <v>173</v>
      </c>
      <c r="BX197" t="s">
        <v>173</v>
      </c>
      <c r="BY197" t="s">
        <v>173</v>
      </c>
      <c r="BZ197" t="s">
        <v>173</v>
      </c>
      <c r="CA197" t="s">
        <v>173</v>
      </c>
      <c r="CB197" t="s">
        <v>173</v>
      </c>
      <c r="CC197" t="s">
        <v>173</v>
      </c>
      <c r="CD197" t="s">
        <v>173</v>
      </c>
      <c r="CE197" t="s">
        <v>173</v>
      </c>
      <c r="CF197" t="s">
        <v>173</v>
      </c>
      <c r="CG197" t="s">
        <v>173</v>
      </c>
      <c r="CH197" t="s">
        <v>173</v>
      </c>
      <c r="CI197" t="s">
        <v>173</v>
      </c>
      <c r="CJ197" t="s">
        <v>173</v>
      </c>
      <c r="CK197" t="s">
        <v>173</v>
      </c>
      <c r="CL197" t="s">
        <v>173</v>
      </c>
      <c r="CM197" t="s">
        <v>173</v>
      </c>
      <c r="CN197" t="s">
        <v>173</v>
      </c>
      <c r="CO197" t="s">
        <v>173</v>
      </c>
      <c r="CP197" t="s">
        <v>173</v>
      </c>
      <c r="CQ197" t="s">
        <v>173</v>
      </c>
      <c r="CR197" t="s">
        <v>173</v>
      </c>
      <c r="CS197" t="s">
        <v>173</v>
      </c>
      <c r="CT197" t="s">
        <v>173</v>
      </c>
      <c r="CU197" t="s">
        <v>173</v>
      </c>
      <c r="CV197" t="s">
        <v>173</v>
      </c>
      <c r="CW197" t="s">
        <v>173</v>
      </c>
      <c r="CX197" t="s">
        <v>173</v>
      </c>
      <c r="CY197" t="s">
        <v>173</v>
      </c>
      <c r="CZ197" t="s">
        <v>173</v>
      </c>
      <c r="DA197" t="s">
        <v>173</v>
      </c>
      <c r="DB197" t="s">
        <v>173</v>
      </c>
      <c r="DC197" t="s">
        <v>173</v>
      </c>
      <c r="DD197" t="s">
        <v>173</v>
      </c>
      <c r="DE197" t="s">
        <v>173</v>
      </c>
      <c r="DF197" t="s">
        <v>172</v>
      </c>
      <c r="DG197" t="s">
        <v>574</v>
      </c>
      <c r="DH197" t="s">
        <v>173</v>
      </c>
    </row>
    <row r="198" spans="1:112">
      <c r="A198">
        <v>44</v>
      </c>
      <c r="B198" t="s">
        <v>566</v>
      </c>
      <c r="C198" t="s">
        <v>567</v>
      </c>
      <c r="D198">
        <v>2025</v>
      </c>
      <c r="E198" t="s">
        <v>253</v>
      </c>
      <c r="F198" t="s">
        <v>568</v>
      </c>
      <c r="G198" t="s">
        <v>454</v>
      </c>
      <c r="H198">
        <v>0.93</v>
      </c>
      <c r="I198" t="s">
        <v>173</v>
      </c>
      <c r="J198" t="s">
        <v>569</v>
      </c>
      <c r="K198" t="s">
        <v>569</v>
      </c>
      <c r="L198" t="s">
        <v>457</v>
      </c>
      <c r="M198" t="s">
        <v>454</v>
      </c>
      <c r="N198" t="s">
        <v>454</v>
      </c>
      <c r="O198" t="s">
        <v>458</v>
      </c>
      <c r="P198">
        <v>50</v>
      </c>
      <c r="Q198" t="s">
        <v>459</v>
      </c>
      <c r="R198">
        <v>122</v>
      </c>
      <c r="S198">
        <v>8</v>
      </c>
      <c r="T198" t="s">
        <v>173</v>
      </c>
      <c r="U198">
        <v>0.02</v>
      </c>
      <c r="V198">
        <v>0.01</v>
      </c>
      <c r="W198" t="s">
        <v>570</v>
      </c>
      <c r="X198">
        <f>_xlfn.XLOOKUP(Table7[[#This Row],[PO2_unit]],ConversionFactors!$B$13:$B$19,ConversionFactors!$S$13:$S$19)</f>
        <v>100000</v>
      </c>
      <c r="Y198">
        <f>Table7[[#This Row],[PO2_value]]*Table7[[#This Row],[PO2_conversion_factor]]</f>
        <v>2000</v>
      </c>
      <c r="Z198">
        <f>Table7[[#This Row],[PO2_SD]]*Table7[[#This Row],[PO2_conversion_factor]]</f>
        <v>1000</v>
      </c>
      <c r="AA198" t="s">
        <v>571</v>
      </c>
      <c r="AB198">
        <v>25</v>
      </c>
      <c r="AC198">
        <v>50</v>
      </c>
      <c r="AD198" t="s">
        <v>173</v>
      </c>
      <c r="AE198" t="s">
        <v>173</v>
      </c>
      <c r="AF198" t="s">
        <v>173</v>
      </c>
      <c r="AG198" t="s">
        <v>173</v>
      </c>
      <c r="AH198">
        <f>Table7[[#This Row],[PO2_cm³·µm·m⁻²·d⁻¹·bar⁻¹ ]]/100</f>
        <v>20</v>
      </c>
      <c r="AI198">
        <f>Table7[[#This Row],[PO2_SD_cm³·µm·m⁻²·d⁻¹·bar⁻¹ ]]/100</f>
        <v>10</v>
      </c>
      <c r="AJ198" t="s">
        <v>559</v>
      </c>
      <c r="AK198">
        <v>23</v>
      </c>
      <c r="AL198">
        <v>0</v>
      </c>
      <c r="AM198">
        <v>0.14000000000000001</v>
      </c>
      <c r="AN198">
        <v>0.02</v>
      </c>
      <c r="AO198" t="s">
        <v>570</v>
      </c>
      <c r="AP198">
        <f>_xlfn.XLOOKUP(Table7[[#This Row],[PCO2_unit]],ConversionFactors!$B$21:$B$23,ConversionFactors!$S$21:$S$23)</f>
        <v>100000</v>
      </c>
      <c r="AQ198">
        <f>Table7[[#This Row],[PCO2_value]]*Table7[[#This Row],[PCO2_conversion_factor]]</f>
        <v>14000.000000000002</v>
      </c>
      <c r="AR198">
        <f>Table7[[#This Row],[PCO2_SD]]*Table7[[#This Row],[PCO2_conversion_factor]]</f>
        <v>2000</v>
      </c>
      <c r="AS198" t="s">
        <v>572</v>
      </c>
      <c r="AT198">
        <v>25</v>
      </c>
      <c r="AU198">
        <v>50</v>
      </c>
      <c r="AV198">
        <f>Table7[[#This Row],[PCO2_cm³·µm·m⁻²·d⁻¹·bar⁻¹ ]]*100</f>
        <v>1400000.0000000002</v>
      </c>
      <c r="AW198">
        <f>Table7[[#This Row],[PCO2_SD_cm³·µm·m⁻²·d⁻¹·bar⁻¹ ]]/100</f>
        <v>20</v>
      </c>
      <c r="AX198" t="s">
        <v>572</v>
      </c>
      <c r="AY198">
        <v>25</v>
      </c>
      <c r="AZ198">
        <v>50</v>
      </c>
      <c r="BA198">
        <v>0.04</v>
      </c>
      <c r="BB198">
        <v>0.01</v>
      </c>
      <c r="BC198" t="s">
        <v>570</v>
      </c>
      <c r="BD198">
        <f>_xlfn.XLOOKUP(Table7[[#This Row],[WVP_unit]],ConversionFactors!$B$3:$B$10,ConversionFactors!$S$3:$S$10)</f>
        <v>100000</v>
      </c>
      <c r="BE198">
        <f>Table7[[#This Row],[WVP_value]]*Table7[[#This Row],[WVP_conversion_factor]]</f>
        <v>4000</v>
      </c>
      <c r="BF198">
        <f>Table7[[#This Row],[WVP_SD]]*Table7[[#This Row],[WVP_conversion_factor]]</f>
        <v>1000</v>
      </c>
      <c r="BG198" t="s">
        <v>573</v>
      </c>
      <c r="BH198">
        <v>25</v>
      </c>
      <c r="BI198">
        <v>50</v>
      </c>
      <c r="BJ198">
        <f>10^(8.07131-1730.63/(233.426+Table7[[#This Row],[WVP_temperature_°C]]))*0.00133322368</f>
        <v>3.1579287443259496E-2</v>
      </c>
      <c r="BK198">
        <f>Table7[[#This Row],[WVP_RH_%]]/100*Table7[[#This Row],[WVP_psat_bar]]</f>
        <v>1.5789643721629748E-2</v>
      </c>
      <c r="BL198" t="s">
        <v>173</v>
      </c>
      <c r="BM198" t="s">
        <v>173</v>
      </c>
      <c r="BN198" t="s">
        <v>173</v>
      </c>
      <c r="BO198" t="s">
        <v>173</v>
      </c>
      <c r="BP198">
        <f>Table7[[#This Row],[WVP_g·µm·m-2·d-1·bar-1]]*Table7[[#This Row],[WVP_Δp_bar]]/100</f>
        <v>0.63158574886518992</v>
      </c>
      <c r="BQ198">
        <f>Table7[[#This Row],[WVP_SD_g·µm·m-2·d-1 ]]*Table7[[#This Row],[WVP_Δp_bar]]/100</f>
        <v>0.15789643721629748</v>
      </c>
      <c r="BR198" t="s">
        <v>573</v>
      </c>
      <c r="BS198">
        <v>25</v>
      </c>
      <c r="BT198">
        <v>50</v>
      </c>
      <c r="BU198">
        <v>3</v>
      </c>
      <c r="BV198" t="s">
        <v>173</v>
      </c>
      <c r="BX198" t="s">
        <v>173</v>
      </c>
      <c r="BY198" t="s">
        <v>173</v>
      </c>
      <c r="BZ198" t="s">
        <v>173</v>
      </c>
      <c r="CA198" t="s">
        <v>173</v>
      </c>
      <c r="CB198" t="s">
        <v>173</v>
      </c>
      <c r="CC198" t="s">
        <v>173</v>
      </c>
      <c r="CD198" t="s">
        <v>173</v>
      </c>
      <c r="CE198" t="s">
        <v>173</v>
      </c>
      <c r="CF198" t="s">
        <v>173</v>
      </c>
      <c r="CG198" t="s">
        <v>173</v>
      </c>
      <c r="CH198" t="s">
        <v>173</v>
      </c>
      <c r="CI198" t="s">
        <v>173</v>
      </c>
      <c r="CJ198" t="s">
        <v>173</v>
      </c>
      <c r="CK198" t="s">
        <v>173</v>
      </c>
      <c r="CL198" t="s">
        <v>173</v>
      </c>
      <c r="CM198" t="s">
        <v>173</v>
      </c>
      <c r="CN198" t="s">
        <v>173</v>
      </c>
      <c r="CO198" t="s">
        <v>173</v>
      </c>
      <c r="CP198" t="s">
        <v>173</v>
      </c>
      <c r="CQ198" t="s">
        <v>173</v>
      </c>
      <c r="CR198" t="s">
        <v>173</v>
      </c>
      <c r="CS198" t="s">
        <v>173</v>
      </c>
      <c r="CT198" t="s">
        <v>173</v>
      </c>
      <c r="CU198" t="s">
        <v>173</v>
      </c>
      <c r="CV198" t="s">
        <v>173</v>
      </c>
      <c r="CW198" t="s">
        <v>173</v>
      </c>
      <c r="CX198" t="s">
        <v>173</v>
      </c>
      <c r="CY198" t="s">
        <v>173</v>
      </c>
      <c r="CZ198" t="s">
        <v>173</v>
      </c>
      <c r="DA198" t="s">
        <v>173</v>
      </c>
      <c r="DB198" t="s">
        <v>173</v>
      </c>
      <c r="DC198" t="s">
        <v>173</v>
      </c>
      <c r="DD198" t="s">
        <v>173</v>
      </c>
      <c r="DE198" t="s">
        <v>173</v>
      </c>
      <c r="DF198" t="s">
        <v>172</v>
      </c>
      <c r="DG198" t="s">
        <v>574</v>
      </c>
      <c r="DH198" t="s">
        <v>173</v>
      </c>
    </row>
    <row r="199" spans="1:112">
      <c r="A199">
        <v>55</v>
      </c>
      <c r="B199" t="s">
        <v>575</v>
      </c>
      <c r="C199" t="s">
        <v>576</v>
      </c>
      <c r="D199">
        <v>2024</v>
      </c>
      <c r="E199" t="s">
        <v>181</v>
      </c>
      <c r="F199" t="s">
        <v>577</v>
      </c>
      <c r="G199" t="s">
        <v>454</v>
      </c>
      <c r="H199">
        <v>0.93</v>
      </c>
      <c r="I199" t="s">
        <v>173</v>
      </c>
      <c r="J199" t="s">
        <v>552</v>
      </c>
      <c r="K199" t="s">
        <v>552</v>
      </c>
      <c r="L199" t="s">
        <v>524</v>
      </c>
      <c r="M199" t="s">
        <v>454</v>
      </c>
      <c r="N199" t="s">
        <v>454</v>
      </c>
      <c r="O199" t="s">
        <v>458</v>
      </c>
      <c r="P199" t="s">
        <v>173</v>
      </c>
      <c r="Q199" t="s">
        <v>459</v>
      </c>
      <c r="R199">
        <v>270</v>
      </c>
      <c r="S199">
        <v>10</v>
      </c>
      <c r="T199">
        <v>3</v>
      </c>
      <c r="U199" t="s">
        <v>173</v>
      </c>
      <c r="V199" t="s">
        <v>173</v>
      </c>
      <c r="W199" t="s">
        <v>173</v>
      </c>
      <c r="X199" t="s">
        <v>173</v>
      </c>
      <c r="Y199" t="s">
        <v>173</v>
      </c>
      <c r="Z199" t="s">
        <v>173</v>
      </c>
      <c r="AA199" t="s">
        <v>173</v>
      </c>
      <c r="AB199" t="s">
        <v>173</v>
      </c>
      <c r="AC199" t="s">
        <v>173</v>
      </c>
      <c r="AD199" t="s">
        <v>173</v>
      </c>
      <c r="AE199" t="s">
        <v>173</v>
      </c>
      <c r="AF199" t="s">
        <v>173</v>
      </c>
      <c r="AG199" t="s">
        <v>173</v>
      </c>
      <c r="AH199" t="s">
        <v>173</v>
      </c>
      <c r="AI199" t="s">
        <v>173</v>
      </c>
      <c r="AJ199" t="s">
        <v>173</v>
      </c>
      <c r="AK199" t="s">
        <v>173</v>
      </c>
      <c r="AL199" t="s">
        <v>173</v>
      </c>
      <c r="AM199" t="s">
        <v>173</v>
      </c>
      <c r="AN199" t="s">
        <v>173</v>
      </c>
      <c r="AO199" t="s">
        <v>173</v>
      </c>
      <c r="AP199" t="s">
        <v>173</v>
      </c>
      <c r="AQ199" t="s">
        <v>173</v>
      </c>
      <c r="AR199" t="s">
        <v>173</v>
      </c>
      <c r="AS199" t="s">
        <v>173</v>
      </c>
      <c r="AT199" t="s">
        <v>173</v>
      </c>
      <c r="AU199" t="s">
        <v>173</v>
      </c>
      <c r="AV199" t="s">
        <v>173</v>
      </c>
      <c r="AW199" t="s">
        <v>173</v>
      </c>
      <c r="AX199" t="s">
        <v>173</v>
      </c>
      <c r="AY199" t="s">
        <v>173</v>
      </c>
      <c r="AZ199" t="s">
        <v>173</v>
      </c>
      <c r="BA199">
        <v>4.0910000000000001E-10</v>
      </c>
      <c r="BB199">
        <v>3.59E-11</v>
      </c>
      <c r="BC199" t="s">
        <v>475</v>
      </c>
      <c r="BD199">
        <f>_xlfn.XLOOKUP(Table7[[#This Row],[WVP_unit]],ConversionFactors!$B$3:$B$10,ConversionFactors!$S$3:$S$10)</f>
        <v>8640000000000000</v>
      </c>
      <c r="BE199">
        <f>Table7[[#This Row],[WVP_value]]*Table7[[#This Row],[WVP_conversion_factor]]</f>
        <v>3534624</v>
      </c>
      <c r="BF199">
        <f>Table7[[#This Row],[WVP_SD]]*Table7[[#This Row],[WVP_conversion_factor]]</f>
        <v>310176</v>
      </c>
      <c r="BG199" t="s">
        <v>461</v>
      </c>
      <c r="BH199">
        <v>25</v>
      </c>
      <c r="BI199">
        <v>50</v>
      </c>
      <c r="BJ199">
        <f>10^(8.07131-1730.63/(233.426+Table7[[#This Row],[WVP_temperature_°C]]))*0.00133322368</f>
        <v>3.1579287443259496E-2</v>
      </c>
      <c r="BK199">
        <f>Table7[[#This Row],[WVP_RH_%]]/100*Table7[[#This Row],[WVP_psat_bar]]</f>
        <v>1.5789643721629748E-2</v>
      </c>
      <c r="BL199" t="s">
        <v>173</v>
      </c>
      <c r="BM199" t="s">
        <v>173</v>
      </c>
      <c r="BN199" t="s">
        <v>173</v>
      </c>
      <c r="BO199" t="s">
        <v>173</v>
      </c>
      <c r="BP199">
        <f>Table7[[#This Row],[WVP_g·µm·m-2·d-1·bar-1]]*Table7[[#This Row],[WVP_Δp_bar]]/100</f>
        <v>558.10453649921828</v>
      </c>
      <c r="BQ199">
        <f>Table7[[#This Row],[WVP_SD_g·µm·m-2·d-1 ]]*Table7[[#This Row],[WVP_Δp_bar]]/100</f>
        <v>48.975685310002291</v>
      </c>
      <c r="BR199" t="s">
        <v>461</v>
      </c>
      <c r="BS199">
        <v>25</v>
      </c>
      <c r="BT199">
        <v>50</v>
      </c>
      <c r="BU199">
        <v>3</v>
      </c>
      <c r="BV199" t="s">
        <v>173</v>
      </c>
      <c r="BX199" t="s">
        <v>173</v>
      </c>
      <c r="BY199" t="s">
        <v>173</v>
      </c>
      <c r="BZ199" t="s">
        <v>173</v>
      </c>
      <c r="CA199" t="s">
        <v>173</v>
      </c>
      <c r="CB199" t="s">
        <v>173</v>
      </c>
      <c r="CC199" t="s">
        <v>173</v>
      </c>
      <c r="CD199" t="s">
        <v>173</v>
      </c>
      <c r="CE199" t="s">
        <v>173</v>
      </c>
      <c r="CF199" t="s">
        <v>173</v>
      </c>
      <c r="CG199" t="s">
        <v>173</v>
      </c>
      <c r="CH199" t="s">
        <v>173</v>
      </c>
      <c r="CI199" t="s">
        <v>173</v>
      </c>
      <c r="CJ199" t="s">
        <v>173</v>
      </c>
      <c r="CK199" t="s">
        <v>173</v>
      </c>
      <c r="CL199" t="s">
        <v>173</v>
      </c>
      <c r="CM199" t="s">
        <v>173</v>
      </c>
      <c r="CN199" t="s">
        <v>173</v>
      </c>
      <c r="CO199" t="s">
        <v>173</v>
      </c>
      <c r="CP199" t="s">
        <v>173</v>
      </c>
      <c r="CQ199" t="s">
        <v>173</v>
      </c>
      <c r="CR199" t="s">
        <v>173</v>
      </c>
      <c r="CS199" t="s">
        <v>173</v>
      </c>
      <c r="CT199" t="s">
        <v>173</v>
      </c>
      <c r="CU199" t="s">
        <v>173</v>
      </c>
      <c r="CV199" t="s">
        <v>173</v>
      </c>
      <c r="CW199" t="s">
        <v>173</v>
      </c>
      <c r="CX199" t="s">
        <v>173</v>
      </c>
      <c r="CY199" t="s">
        <v>173</v>
      </c>
      <c r="CZ199" t="s">
        <v>173</v>
      </c>
      <c r="DA199" t="s">
        <v>173</v>
      </c>
      <c r="DB199" t="s">
        <v>173</v>
      </c>
      <c r="DC199" t="s">
        <v>173</v>
      </c>
      <c r="DD199" t="s">
        <v>173</v>
      </c>
      <c r="DE199" t="s">
        <v>173</v>
      </c>
      <c r="DF199" t="s">
        <v>172</v>
      </c>
      <c r="DG199" t="s">
        <v>578</v>
      </c>
      <c r="DH199" t="s">
        <v>463</v>
      </c>
    </row>
    <row r="200" spans="1:112">
      <c r="A200">
        <v>71</v>
      </c>
      <c r="B200" t="s">
        <v>579</v>
      </c>
      <c r="C200" t="s">
        <v>580</v>
      </c>
      <c r="D200">
        <v>2024</v>
      </c>
      <c r="E200" t="s">
        <v>177</v>
      </c>
      <c r="F200" t="s">
        <v>581</v>
      </c>
      <c r="G200" t="s">
        <v>454</v>
      </c>
      <c r="H200">
        <v>0.93</v>
      </c>
      <c r="I200" t="s">
        <v>173</v>
      </c>
      <c r="J200" t="s">
        <v>582</v>
      </c>
      <c r="K200" t="s">
        <v>582</v>
      </c>
      <c r="L200" t="s">
        <v>496</v>
      </c>
      <c r="M200" t="s">
        <v>454</v>
      </c>
      <c r="N200" t="s">
        <v>454</v>
      </c>
      <c r="O200" t="s">
        <v>173</v>
      </c>
      <c r="P200" t="s">
        <v>173</v>
      </c>
      <c r="Q200" t="s">
        <v>583</v>
      </c>
      <c r="R200">
        <v>500</v>
      </c>
      <c r="S200" t="s">
        <v>173</v>
      </c>
      <c r="T200" t="s">
        <v>173</v>
      </c>
      <c r="U200" s="3">
        <v>2.16E-19</v>
      </c>
      <c r="V200" s="3">
        <v>7.9999999999999993E-21</v>
      </c>
      <c r="W200" t="s">
        <v>584</v>
      </c>
      <c r="X200">
        <f>_xlfn.XLOOKUP(Table7[[#This Row],[PO2_unit]],ConversionFactors!$B$13:$B$19,ConversionFactors!$S$13:$S$19)</f>
        <v>8.64E+21</v>
      </c>
      <c r="Y200">
        <f>Table7[[#This Row],[PO2_value]]*Table7[[#This Row],[PO2_conversion_factor]]</f>
        <v>1866.24</v>
      </c>
      <c r="Z200">
        <f>Table7[[#This Row],[PO2_SD]]*Table7[[#This Row],[PO2_conversion_factor]]</f>
        <v>69.11999999999999</v>
      </c>
      <c r="AA200" t="s">
        <v>571</v>
      </c>
      <c r="AB200">
        <v>25</v>
      </c>
      <c r="AC200">
        <v>53</v>
      </c>
      <c r="AD200" t="s">
        <v>173</v>
      </c>
      <c r="AE200" t="s">
        <v>173</v>
      </c>
      <c r="AF200" t="s">
        <v>173</v>
      </c>
      <c r="AG200" t="s">
        <v>173</v>
      </c>
      <c r="AH200">
        <f>Table7[[#This Row],[PO2_cm³·µm·m⁻²·d⁻¹·bar⁻¹ ]]/100</f>
        <v>18.662400000000002</v>
      </c>
      <c r="AI200">
        <f>Table7[[#This Row],[PO2_SD_cm³·µm·m⁻²·d⁻¹·bar⁻¹ ]]/100</f>
        <v>0.69119999999999993</v>
      </c>
      <c r="AJ200" t="s">
        <v>571</v>
      </c>
      <c r="AK200">
        <v>25</v>
      </c>
      <c r="AL200">
        <v>53</v>
      </c>
      <c r="AM200" t="s">
        <v>173</v>
      </c>
      <c r="AN200" t="s">
        <v>173</v>
      </c>
      <c r="AO200" t="s">
        <v>173</v>
      </c>
      <c r="AP200" t="s">
        <v>173</v>
      </c>
      <c r="AQ200" t="s">
        <v>173</v>
      </c>
      <c r="AR200" t="s">
        <v>173</v>
      </c>
      <c r="AS200" t="s">
        <v>173</v>
      </c>
      <c r="AT200" t="s">
        <v>173</v>
      </c>
      <c r="AU200" t="s">
        <v>173</v>
      </c>
      <c r="AV200" t="s">
        <v>173</v>
      </c>
      <c r="AW200" t="s">
        <v>173</v>
      </c>
      <c r="AX200" t="s">
        <v>173</v>
      </c>
      <c r="AY200" t="s">
        <v>173</v>
      </c>
      <c r="AZ200" t="s">
        <v>173</v>
      </c>
      <c r="BA200" s="3">
        <v>1.9000000000000001E-15</v>
      </c>
      <c r="BB200" s="3">
        <v>3.9999999999999999E-16</v>
      </c>
      <c r="BC200" t="s">
        <v>585</v>
      </c>
      <c r="BD200">
        <f>_xlfn.XLOOKUP(Table7[[#This Row],[WVP_unit]],ConversionFactors!$B$3:$B$10,ConversionFactors!$S$3:$S$10)</f>
        <v>8.64E+18</v>
      </c>
      <c r="BE200">
        <f>Table7[[#This Row],[WVP_value]]*Table7[[#This Row],[WVP_conversion_factor]]</f>
        <v>16416</v>
      </c>
      <c r="BF200">
        <f>Table7[[#This Row],[WVP_SD]]*Table7[[#This Row],[WVP_conversion_factor]]</f>
        <v>3456</v>
      </c>
      <c r="BG200" t="s">
        <v>461</v>
      </c>
      <c r="BH200">
        <v>25</v>
      </c>
      <c r="BI200">
        <v>53</v>
      </c>
      <c r="BJ200">
        <f>10^(8.07131-1730.63/(233.426+Table7[[#This Row],[WVP_temperature_°C]]))*0.00133322368</f>
        <v>3.1579287443259496E-2</v>
      </c>
      <c r="BK200">
        <f>Table7[[#This Row],[WVP_RH_%]]/100*Table7[[#This Row],[WVP_psat_bar]]</f>
        <v>1.6737022344927535E-2</v>
      </c>
      <c r="BL200" t="s">
        <v>173</v>
      </c>
      <c r="BM200" t="s">
        <v>173</v>
      </c>
      <c r="BN200" t="s">
        <v>173</v>
      </c>
      <c r="BO200" t="s">
        <v>173</v>
      </c>
      <c r="BP200">
        <f>Table7[[#This Row],[WVP_g·µm·m-2·d-1·bar-1]]*Table7[[#This Row],[WVP_Δp_bar]]/100</f>
        <v>2.7475495881433041</v>
      </c>
      <c r="BQ200">
        <f>Table7[[#This Row],[WVP_SD_g·µm·m-2·d-1 ]]*Table7[[#This Row],[WVP_Δp_bar]]/100</f>
        <v>0.57843149224069568</v>
      </c>
      <c r="BR200" t="s">
        <v>461</v>
      </c>
      <c r="BS200">
        <v>25</v>
      </c>
      <c r="BT200">
        <v>53</v>
      </c>
      <c r="BU200">
        <v>3</v>
      </c>
      <c r="BV200" t="s">
        <v>173</v>
      </c>
      <c r="BX200" t="s">
        <v>173</v>
      </c>
      <c r="BY200" t="s">
        <v>173</v>
      </c>
      <c r="BZ200" t="s">
        <v>173</v>
      </c>
      <c r="CA200" t="s">
        <v>173</v>
      </c>
      <c r="CB200" t="s">
        <v>173</v>
      </c>
      <c r="CC200" t="s">
        <v>173</v>
      </c>
      <c r="CD200" t="s">
        <v>173</v>
      </c>
      <c r="CE200" t="s">
        <v>173</v>
      </c>
      <c r="CF200" t="s">
        <v>173</v>
      </c>
      <c r="CG200" t="s">
        <v>173</v>
      </c>
      <c r="CH200" t="s">
        <v>173</v>
      </c>
      <c r="CI200" t="s">
        <v>173</v>
      </c>
      <c r="CJ200" t="s">
        <v>173</v>
      </c>
      <c r="CK200" t="s">
        <v>173</v>
      </c>
      <c r="CL200" t="s">
        <v>173</v>
      </c>
      <c r="CM200" t="s">
        <v>173</v>
      </c>
      <c r="CN200" t="s">
        <v>173</v>
      </c>
      <c r="CO200" t="s">
        <v>173</v>
      </c>
      <c r="CP200" t="s">
        <v>173</v>
      </c>
      <c r="CQ200" t="s">
        <v>173</v>
      </c>
      <c r="CR200" t="s">
        <v>173</v>
      </c>
      <c r="CS200" t="s">
        <v>173</v>
      </c>
      <c r="CT200" t="s">
        <v>173</v>
      </c>
      <c r="CU200" t="s">
        <v>173</v>
      </c>
      <c r="CV200" t="s">
        <v>173</v>
      </c>
      <c r="CW200" t="s">
        <v>173</v>
      </c>
      <c r="CX200" t="s">
        <v>173</v>
      </c>
      <c r="CY200" t="s">
        <v>173</v>
      </c>
      <c r="CZ200" t="s">
        <v>173</v>
      </c>
      <c r="DA200" t="s">
        <v>173</v>
      </c>
      <c r="DB200" t="s">
        <v>173</v>
      </c>
      <c r="DC200" t="s">
        <v>173</v>
      </c>
      <c r="DD200" t="s">
        <v>173</v>
      </c>
      <c r="DE200" t="s">
        <v>173</v>
      </c>
      <c r="DF200" t="s">
        <v>172</v>
      </c>
      <c r="DG200" t="s">
        <v>586</v>
      </c>
      <c r="DH200" t="s">
        <v>173</v>
      </c>
    </row>
    <row r="201" spans="1:112">
      <c r="A201">
        <v>71</v>
      </c>
      <c r="B201" t="s">
        <v>579</v>
      </c>
      <c r="C201" t="s">
        <v>580</v>
      </c>
      <c r="D201">
        <v>2024</v>
      </c>
      <c r="E201" t="s">
        <v>177</v>
      </c>
      <c r="F201" t="s">
        <v>581</v>
      </c>
      <c r="G201" t="s">
        <v>454</v>
      </c>
      <c r="H201">
        <v>0.93</v>
      </c>
      <c r="I201" t="s">
        <v>173</v>
      </c>
      <c r="J201" t="s">
        <v>587</v>
      </c>
      <c r="K201" t="s">
        <v>587</v>
      </c>
      <c r="L201" t="s">
        <v>496</v>
      </c>
      <c r="M201" t="s">
        <v>454</v>
      </c>
      <c r="N201" t="s">
        <v>454</v>
      </c>
      <c r="O201" t="s">
        <v>173</v>
      </c>
      <c r="P201" t="s">
        <v>173</v>
      </c>
      <c r="Q201" t="s">
        <v>583</v>
      </c>
      <c r="R201">
        <v>500</v>
      </c>
      <c r="S201" t="s">
        <v>173</v>
      </c>
      <c r="T201" t="s">
        <v>173</v>
      </c>
      <c r="U201" s="3">
        <v>7.9619999999999997E-18</v>
      </c>
      <c r="V201" s="3">
        <v>1.9399999999999999E-19</v>
      </c>
      <c r="W201" t="s">
        <v>584</v>
      </c>
      <c r="X201">
        <f>_xlfn.XLOOKUP(Table7[[#This Row],[PO2_unit]],ConversionFactors!$B$13:$B$19,ConversionFactors!$S$13:$S$19)</f>
        <v>8.64E+21</v>
      </c>
      <c r="Y201">
        <f>Table7[[#This Row],[PO2_value]]*Table7[[#This Row],[PO2_conversion_factor]]</f>
        <v>68791.679999999993</v>
      </c>
      <c r="Z201">
        <f>Table7[[#This Row],[PO2_SD]]*Table7[[#This Row],[PO2_conversion_factor]]</f>
        <v>1676.1599999999999</v>
      </c>
      <c r="AA201" t="s">
        <v>571</v>
      </c>
      <c r="AB201">
        <v>25</v>
      </c>
      <c r="AC201">
        <v>53</v>
      </c>
      <c r="AD201" t="s">
        <v>173</v>
      </c>
      <c r="AE201" t="s">
        <v>173</v>
      </c>
      <c r="AF201" t="s">
        <v>173</v>
      </c>
      <c r="AG201" t="s">
        <v>173</v>
      </c>
      <c r="AH201">
        <f>Table7[[#This Row],[PO2_cm³·µm·m⁻²·d⁻¹·bar⁻¹ ]]/100</f>
        <v>687.91679999999997</v>
      </c>
      <c r="AI201">
        <f>Table7[[#This Row],[PO2_SD_cm³·µm·m⁻²·d⁻¹·bar⁻¹ ]]/100</f>
        <v>16.761599999999998</v>
      </c>
      <c r="AJ201" t="s">
        <v>571</v>
      </c>
      <c r="AK201">
        <v>25</v>
      </c>
      <c r="AL201">
        <v>53</v>
      </c>
      <c r="AM201" t="s">
        <v>173</v>
      </c>
      <c r="AN201" t="s">
        <v>173</v>
      </c>
      <c r="AO201" t="s">
        <v>173</v>
      </c>
      <c r="AP201" t="s">
        <v>173</v>
      </c>
      <c r="AQ201" t="s">
        <v>173</v>
      </c>
      <c r="AR201" t="s">
        <v>173</v>
      </c>
      <c r="AS201" t="s">
        <v>173</v>
      </c>
      <c r="AT201" t="s">
        <v>173</v>
      </c>
      <c r="AU201" t="s">
        <v>173</v>
      </c>
      <c r="AV201" t="s">
        <v>173</v>
      </c>
      <c r="AW201" t="s">
        <v>173</v>
      </c>
      <c r="AX201" t="s">
        <v>173</v>
      </c>
      <c r="AY201" t="s">
        <v>173</v>
      </c>
      <c r="AZ201" t="s">
        <v>173</v>
      </c>
      <c r="BA201" s="3">
        <v>2.79E-14</v>
      </c>
      <c r="BB201" s="3">
        <v>1.7E-15</v>
      </c>
      <c r="BC201" t="s">
        <v>585</v>
      </c>
      <c r="BD201">
        <f>_xlfn.XLOOKUP(Table7[[#This Row],[WVP_unit]],ConversionFactors!$B$3:$B$10,ConversionFactors!$S$3:$S$10)</f>
        <v>8.64E+18</v>
      </c>
      <c r="BE201">
        <f>Table7[[#This Row],[WVP_value]]*Table7[[#This Row],[WVP_conversion_factor]]</f>
        <v>241056</v>
      </c>
      <c r="BF201">
        <f>Table7[[#This Row],[WVP_SD]]*Table7[[#This Row],[WVP_conversion_factor]]</f>
        <v>14688</v>
      </c>
      <c r="BG201" t="s">
        <v>461</v>
      </c>
      <c r="BH201">
        <v>25</v>
      </c>
      <c r="BI201">
        <v>53</v>
      </c>
      <c r="BJ201">
        <f>10^(8.07131-1730.63/(233.426+Table7[[#This Row],[WVP_temperature_°C]]))*0.00133322368</f>
        <v>3.1579287443259496E-2</v>
      </c>
      <c r="BK201">
        <f>Table7[[#This Row],[WVP_RH_%]]/100*Table7[[#This Row],[WVP_psat_bar]]</f>
        <v>1.6737022344927535E-2</v>
      </c>
      <c r="BL201" t="s">
        <v>173</v>
      </c>
      <c r="BM201" t="s">
        <v>173</v>
      </c>
      <c r="BN201" t="s">
        <v>173</v>
      </c>
      <c r="BO201" t="s">
        <v>173</v>
      </c>
      <c r="BP201">
        <f>Table7[[#This Row],[WVP_g·µm·m-2·d-1·bar-1]]*Table7[[#This Row],[WVP_Δp_bar]]/100</f>
        <v>40.34559658378852</v>
      </c>
      <c r="BQ201">
        <f>Table7[[#This Row],[WVP_SD_g·µm·m-2·d-1 ]]*Table7[[#This Row],[WVP_Δp_bar]]/100</f>
        <v>2.4583338420229564</v>
      </c>
      <c r="BR201" t="s">
        <v>461</v>
      </c>
      <c r="BS201">
        <v>25</v>
      </c>
      <c r="BT201">
        <v>53</v>
      </c>
      <c r="BU201">
        <v>3</v>
      </c>
      <c r="BV201" t="s">
        <v>173</v>
      </c>
      <c r="BX201" t="s">
        <v>173</v>
      </c>
      <c r="BY201" t="s">
        <v>173</v>
      </c>
      <c r="BZ201" t="s">
        <v>173</v>
      </c>
      <c r="CA201" t="s">
        <v>173</v>
      </c>
      <c r="CB201" t="s">
        <v>173</v>
      </c>
      <c r="CC201" t="s">
        <v>173</v>
      </c>
      <c r="CD201" t="s">
        <v>173</v>
      </c>
      <c r="CE201" t="s">
        <v>173</v>
      </c>
      <c r="CF201" t="s">
        <v>173</v>
      </c>
      <c r="CG201" t="s">
        <v>173</v>
      </c>
      <c r="CH201" t="s">
        <v>173</v>
      </c>
      <c r="CI201" t="s">
        <v>173</v>
      </c>
      <c r="CJ201" t="s">
        <v>173</v>
      </c>
      <c r="CK201" t="s">
        <v>173</v>
      </c>
      <c r="CL201" t="s">
        <v>173</v>
      </c>
      <c r="CM201" t="s">
        <v>173</v>
      </c>
      <c r="CN201" t="s">
        <v>173</v>
      </c>
      <c r="CO201" t="s">
        <v>173</v>
      </c>
      <c r="CP201" t="s">
        <v>173</v>
      </c>
      <c r="CQ201" t="s">
        <v>173</v>
      </c>
      <c r="CR201" t="s">
        <v>173</v>
      </c>
      <c r="CS201" t="s">
        <v>173</v>
      </c>
      <c r="CT201" t="s">
        <v>173</v>
      </c>
      <c r="CU201" t="s">
        <v>173</v>
      </c>
      <c r="CV201" t="s">
        <v>173</v>
      </c>
      <c r="CW201" t="s">
        <v>173</v>
      </c>
      <c r="CX201" t="s">
        <v>173</v>
      </c>
      <c r="CY201" t="s">
        <v>173</v>
      </c>
      <c r="CZ201" t="s">
        <v>173</v>
      </c>
      <c r="DA201" t="s">
        <v>173</v>
      </c>
      <c r="DB201" t="s">
        <v>173</v>
      </c>
      <c r="DC201" t="s">
        <v>173</v>
      </c>
      <c r="DD201" t="s">
        <v>173</v>
      </c>
      <c r="DE201" t="s">
        <v>173</v>
      </c>
      <c r="DF201" t="s">
        <v>172</v>
      </c>
      <c r="DG201" t="s">
        <v>586</v>
      </c>
      <c r="DH201" t="s">
        <v>173</v>
      </c>
    </row>
    <row r="202" spans="1:112" ht="409.6">
      <c r="A202">
        <v>71</v>
      </c>
      <c r="B202" t="s">
        <v>579</v>
      </c>
      <c r="C202" t="s">
        <v>580</v>
      </c>
      <c r="D202">
        <v>2024</v>
      </c>
      <c r="E202" t="s">
        <v>177</v>
      </c>
      <c r="F202" t="s">
        <v>581</v>
      </c>
      <c r="G202" t="s">
        <v>454</v>
      </c>
      <c r="H202">
        <v>0.93</v>
      </c>
      <c r="I202" t="s">
        <v>173</v>
      </c>
      <c r="J202" t="s">
        <v>173</v>
      </c>
      <c r="K202" t="s">
        <v>173</v>
      </c>
      <c r="L202" t="s">
        <v>173</v>
      </c>
      <c r="M202" t="s">
        <v>173</v>
      </c>
      <c r="N202" t="s">
        <v>173</v>
      </c>
      <c r="O202" t="s">
        <v>173</v>
      </c>
      <c r="P202" t="s">
        <v>173</v>
      </c>
      <c r="Q202" t="s">
        <v>173</v>
      </c>
      <c r="R202" t="s">
        <v>173</v>
      </c>
      <c r="S202" t="s">
        <v>173</v>
      </c>
      <c r="T202" t="s">
        <v>173</v>
      </c>
      <c r="U202" t="s">
        <v>173</v>
      </c>
      <c r="V202" t="s">
        <v>173</v>
      </c>
      <c r="W202" t="s">
        <v>173</v>
      </c>
      <c r="X202" t="s">
        <v>173</v>
      </c>
      <c r="Y202" t="s">
        <v>173</v>
      </c>
      <c r="Z202" t="s">
        <v>173</v>
      </c>
      <c r="AA202" t="s">
        <v>173</v>
      </c>
      <c r="AB202" t="s">
        <v>173</v>
      </c>
      <c r="AC202" t="s">
        <v>173</v>
      </c>
      <c r="AD202" t="s">
        <v>173</v>
      </c>
      <c r="AE202" t="s">
        <v>173</v>
      </c>
      <c r="AF202" t="s">
        <v>173</v>
      </c>
      <c r="AG202" t="s">
        <v>173</v>
      </c>
      <c r="AH202" t="s">
        <v>173</v>
      </c>
      <c r="AI202" t="s">
        <v>173</v>
      </c>
      <c r="AJ202" t="s">
        <v>173</v>
      </c>
      <c r="AK202" t="s">
        <v>173</v>
      </c>
      <c r="AL202" t="s">
        <v>173</v>
      </c>
      <c r="AM202" t="s">
        <v>173</v>
      </c>
      <c r="AN202" t="s">
        <v>173</v>
      </c>
      <c r="AO202" t="s">
        <v>173</v>
      </c>
      <c r="AP202" t="s">
        <v>173</v>
      </c>
      <c r="AQ202" t="s">
        <v>173</v>
      </c>
      <c r="AR202" t="s">
        <v>173</v>
      </c>
      <c r="AS202" t="s">
        <v>173</v>
      </c>
      <c r="AT202" t="s">
        <v>173</v>
      </c>
      <c r="AU202" t="s">
        <v>173</v>
      </c>
      <c r="AV202" t="s">
        <v>173</v>
      </c>
      <c r="AW202" t="s">
        <v>173</v>
      </c>
      <c r="AX202" t="s">
        <v>173</v>
      </c>
      <c r="AY202" t="s">
        <v>173</v>
      </c>
      <c r="AZ202" t="s">
        <v>173</v>
      </c>
      <c r="BA202" t="s">
        <v>173</v>
      </c>
      <c r="BB202" t="s">
        <v>173</v>
      </c>
      <c r="BC202" t="s">
        <v>173</v>
      </c>
      <c r="BD202" t="s">
        <v>173</v>
      </c>
      <c r="BE202" t="s">
        <v>173</v>
      </c>
      <c r="BF202" t="s">
        <v>173</v>
      </c>
      <c r="BG202" t="s">
        <v>173</v>
      </c>
      <c r="BH202" t="s">
        <v>173</v>
      </c>
      <c r="BI202" t="s">
        <v>173</v>
      </c>
      <c r="BJ202" t="s">
        <v>173</v>
      </c>
      <c r="BK202" t="s">
        <v>173</v>
      </c>
      <c r="BL202" t="s">
        <v>173</v>
      </c>
      <c r="BM202" t="s">
        <v>173</v>
      </c>
      <c r="BN202" t="s">
        <v>173</v>
      </c>
      <c r="BO202" t="s">
        <v>173</v>
      </c>
      <c r="BP202" t="s">
        <v>173</v>
      </c>
      <c r="BQ202" t="s">
        <v>173</v>
      </c>
      <c r="BR202" t="s">
        <v>173</v>
      </c>
      <c r="BS202" t="s">
        <v>173</v>
      </c>
      <c r="BT202" t="s">
        <v>173</v>
      </c>
      <c r="BU202" t="s">
        <v>173</v>
      </c>
      <c r="BV202" t="s">
        <v>479</v>
      </c>
      <c r="BW202" t="s">
        <v>473</v>
      </c>
      <c r="BX202">
        <v>25</v>
      </c>
      <c r="BY202">
        <v>7.9759999999999994E-8</v>
      </c>
      <c r="BZ202" t="s">
        <v>588</v>
      </c>
      <c r="CA202">
        <f>_xlfn.XLOOKUP(Table7[[#This Row],[Reference_PO2_unit]],ConversionFactors!$B$13:$B$19,ConversionFactors!$S$13:$S$19)</f>
        <v>8526816000000</v>
      </c>
      <c r="CB202">
        <f>Table7[[#This Row],[Reference_PO2_value]]*Table7[[#This Row],[Reference_PO2_conversion_factor]]</f>
        <v>680098.84415999998</v>
      </c>
      <c r="CC202">
        <v>25</v>
      </c>
      <c r="CD202">
        <v>0</v>
      </c>
      <c r="CE202">
        <f>Table7[[#This Row],[Reference_PO2_cm³·µm·m⁻²·d⁻¹·bar⁻¹ ]]/100</f>
        <v>6800.9884415999995</v>
      </c>
      <c r="CF202">
        <f>Table7[[#This Row],[Reference_PO2_T_°C]]</f>
        <v>25</v>
      </c>
      <c r="CG202">
        <f>Table7[[#This Row],[Reference_PO2_RH_%]]</f>
        <v>0</v>
      </c>
      <c r="CH202">
        <v>2.4219999999999999E-7</v>
      </c>
      <c r="CI202" t="s">
        <v>588</v>
      </c>
      <c r="CJ202">
        <f>_xlfn.XLOOKUP(Table7[[#This Row],[Reference_PCO2_unit]],ConversionFactors!$B$21:$B$23,ConversionFactors!$S$21:$S$23)</f>
        <v>8526816000000</v>
      </c>
      <c r="CK202">
        <f>Table7[[#This Row],[Reference_PCO2_value]]*Table7[[#This Row],[Reference_PCO2_conversion_factor]]</f>
        <v>2065194.8351999999</v>
      </c>
      <c r="CL202">
        <v>25</v>
      </c>
      <c r="CM202">
        <v>0</v>
      </c>
      <c r="CN202">
        <f>Table7[[#This Row],[Reference_PCO2_cm³·µm·m⁻²·d⁻¹·bar⁻¹ ]]/100</f>
        <v>20651.948351999999</v>
      </c>
      <c r="CO202">
        <f>Table7[[#This Row],[Reference_PCO2_T_°C]]</f>
        <v>25</v>
      </c>
      <c r="CP202">
        <f>Table7[[#This Row],[Reference_PCO2_RH_%]]</f>
        <v>0</v>
      </c>
      <c r="CQ202" t="s">
        <v>173</v>
      </c>
      <c r="CR202" t="s">
        <v>173</v>
      </c>
      <c r="CS202" t="s">
        <v>173</v>
      </c>
      <c r="CT202" t="s">
        <v>173</v>
      </c>
      <c r="CU202" t="s">
        <v>173</v>
      </c>
      <c r="CV202" t="s">
        <v>173</v>
      </c>
      <c r="CW202" t="s">
        <v>173</v>
      </c>
      <c r="CX202" t="s">
        <v>173</v>
      </c>
      <c r="CY202">
        <v>4.71</v>
      </c>
      <c r="CZ202" t="s">
        <v>509</v>
      </c>
      <c r="DA202">
        <f>_xlfn.XLOOKUP(Table7[[#This Row],[Reference_WVTR_unit]],ConversionFactors!$B$11:$B$12,ConversionFactors!$S$11:$S$12)</f>
        <v>1</v>
      </c>
      <c r="DB202">
        <f>Table7[[#This Row],[Reference_WVTR_value]]*Table7[[#This Row],[Reference_WVTR_conversion_factor]]*Table7[[#This Row],[Reference_thickness_µm]]/100</f>
        <v>1.1775</v>
      </c>
      <c r="DC202" t="s">
        <v>173</v>
      </c>
      <c r="DD202" t="s">
        <v>173</v>
      </c>
      <c r="DE202" t="s">
        <v>476</v>
      </c>
      <c r="DF202" t="s">
        <v>172</v>
      </c>
      <c r="DG202" t="s">
        <v>560</v>
      </c>
      <c r="DH202" s="1" t="s">
        <v>565</v>
      </c>
    </row>
    <row r="203" spans="1:112" ht="409.6">
      <c r="A203">
        <v>71</v>
      </c>
      <c r="B203" t="s">
        <v>579</v>
      </c>
      <c r="C203" t="s">
        <v>580</v>
      </c>
      <c r="D203">
        <v>2024</v>
      </c>
      <c r="E203" t="s">
        <v>177</v>
      </c>
      <c r="F203" t="s">
        <v>581</v>
      </c>
      <c r="G203" t="s">
        <v>454</v>
      </c>
      <c r="H203">
        <v>0.93</v>
      </c>
      <c r="I203" t="s">
        <v>173</v>
      </c>
      <c r="J203" t="s">
        <v>173</v>
      </c>
      <c r="K203" t="s">
        <v>173</v>
      </c>
      <c r="L203" t="s">
        <v>173</v>
      </c>
      <c r="M203" t="s">
        <v>173</v>
      </c>
      <c r="N203" t="s">
        <v>173</v>
      </c>
      <c r="O203" t="s">
        <v>173</v>
      </c>
      <c r="P203" t="s">
        <v>173</v>
      </c>
      <c r="Q203" t="s">
        <v>173</v>
      </c>
      <c r="R203" t="s">
        <v>173</v>
      </c>
      <c r="S203" t="s">
        <v>173</v>
      </c>
      <c r="T203" t="s">
        <v>173</v>
      </c>
      <c r="U203" t="s">
        <v>173</v>
      </c>
      <c r="V203" t="s">
        <v>173</v>
      </c>
      <c r="W203" t="s">
        <v>173</v>
      </c>
      <c r="X203" t="s">
        <v>173</v>
      </c>
      <c r="Y203" t="s">
        <v>173</v>
      </c>
      <c r="Z203" t="s">
        <v>173</v>
      </c>
      <c r="AA203" t="s">
        <v>173</v>
      </c>
      <c r="AB203" t="s">
        <v>173</v>
      </c>
      <c r="AC203" t="s">
        <v>173</v>
      </c>
      <c r="AD203" t="s">
        <v>173</v>
      </c>
      <c r="AE203" t="s">
        <v>173</v>
      </c>
      <c r="AF203" t="s">
        <v>173</v>
      </c>
      <c r="AG203" t="s">
        <v>173</v>
      </c>
      <c r="AH203" t="s">
        <v>173</v>
      </c>
      <c r="AI203" t="s">
        <v>173</v>
      </c>
      <c r="AJ203" t="s">
        <v>173</v>
      </c>
      <c r="AK203" t="s">
        <v>173</v>
      </c>
      <c r="AL203" t="s">
        <v>173</v>
      </c>
      <c r="AM203" t="s">
        <v>173</v>
      </c>
      <c r="AN203" t="s">
        <v>173</v>
      </c>
      <c r="AO203" t="s">
        <v>173</v>
      </c>
      <c r="AP203" t="s">
        <v>173</v>
      </c>
      <c r="AQ203" t="s">
        <v>173</v>
      </c>
      <c r="AR203" t="s">
        <v>173</v>
      </c>
      <c r="AS203" t="s">
        <v>173</v>
      </c>
      <c r="AT203" t="s">
        <v>173</v>
      </c>
      <c r="AU203" t="s">
        <v>173</v>
      </c>
      <c r="AV203" t="s">
        <v>173</v>
      </c>
      <c r="AW203" t="s">
        <v>173</v>
      </c>
      <c r="AX203" t="s">
        <v>173</v>
      </c>
      <c r="AY203" t="s">
        <v>173</v>
      </c>
      <c r="AZ203" t="s">
        <v>173</v>
      </c>
      <c r="BA203" t="s">
        <v>173</v>
      </c>
      <c r="BB203" t="s">
        <v>173</v>
      </c>
      <c r="BC203" t="s">
        <v>173</v>
      </c>
      <c r="BD203" t="s">
        <v>173</v>
      </c>
      <c r="BE203" t="s">
        <v>173</v>
      </c>
      <c r="BF203" t="s">
        <v>173</v>
      </c>
      <c r="BG203" t="s">
        <v>173</v>
      </c>
      <c r="BH203" t="s">
        <v>173</v>
      </c>
      <c r="BI203" t="s">
        <v>173</v>
      </c>
      <c r="BJ203" t="s">
        <v>173</v>
      </c>
      <c r="BK203" t="s">
        <v>173</v>
      </c>
      <c r="BL203" t="s">
        <v>173</v>
      </c>
      <c r="BM203" t="s">
        <v>173</v>
      </c>
      <c r="BN203" t="s">
        <v>173</v>
      </c>
      <c r="BO203" t="s">
        <v>173</v>
      </c>
      <c r="BP203" t="s">
        <v>173</v>
      </c>
      <c r="BQ203" t="s">
        <v>173</v>
      </c>
      <c r="BR203" t="s">
        <v>173</v>
      </c>
      <c r="BS203" t="s">
        <v>173</v>
      </c>
      <c r="BT203" t="s">
        <v>173</v>
      </c>
      <c r="BU203" t="s">
        <v>173</v>
      </c>
      <c r="BV203" t="s">
        <v>478</v>
      </c>
      <c r="BW203" t="s">
        <v>473</v>
      </c>
      <c r="BX203">
        <v>25</v>
      </c>
      <c r="BY203">
        <v>7.0500000000000003E-8</v>
      </c>
      <c r="BZ203" t="s">
        <v>588</v>
      </c>
      <c r="CA203">
        <f>_xlfn.XLOOKUP(Table7[[#This Row],[Reference_PO2_unit]],ConversionFactors!$B$13:$B$19,ConversionFactors!$S$13:$S$19)</f>
        <v>8526816000000</v>
      </c>
      <c r="CB203">
        <f>Table7[[#This Row],[Reference_PO2_value]]*Table7[[#This Row],[Reference_PO2_conversion_factor]]</f>
        <v>601140.52800000005</v>
      </c>
      <c r="CC203">
        <v>25</v>
      </c>
      <c r="CD203">
        <v>0</v>
      </c>
      <c r="CE203">
        <f>Table7[[#This Row],[Reference_PO2_cm³·µm·m⁻²·d⁻¹·bar⁻¹ ]]/100</f>
        <v>6011.4052800000009</v>
      </c>
      <c r="CF203">
        <f>Table7[[#This Row],[Reference_PO2_T_°C]]</f>
        <v>25</v>
      </c>
      <c r="CG203">
        <f>Table7[[#This Row],[Reference_PO2_RH_%]]</f>
        <v>0</v>
      </c>
      <c r="CH203">
        <v>3.4919999999999998E-7</v>
      </c>
      <c r="CI203" t="s">
        <v>588</v>
      </c>
      <c r="CJ203">
        <f>_xlfn.XLOOKUP(Table7[[#This Row],[Reference_PCO2_unit]],ConversionFactors!$B$21:$B$23,ConversionFactors!$S$21:$S$23)</f>
        <v>8526816000000</v>
      </c>
      <c r="CK203">
        <f>Table7[[#This Row],[Reference_PCO2_value]]*Table7[[#This Row],[Reference_PCO2_conversion_factor]]</f>
        <v>2977564.1472</v>
      </c>
      <c r="CL203">
        <v>25</v>
      </c>
      <c r="CM203">
        <v>0</v>
      </c>
      <c r="CN203">
        <f>Table7[[#This Row],[Reference_PCO2_cm³·µm·m⁻²·d⁻¹·bar⁻¹ ]]/100</f>
        <v>29775.641471999999</v>
      </c>
      <c r="CO203">
        <f>Table7[[#This Row],[Reference_PCO2_T_°C]]</f>
        <v>25</v>
      </c>
      <c r="CP203">
        <f>Table7[[#This Row],[Reference_PCO2_RH_%]]</f>
        <v>0</v>
      </c>
      <c r="CQ203" t="s">
        <v>173</v>
      </c>
      <c r="CR203" t="s">
        <v>173</v>
      </c>
      <c r="CS203" t="s">
        <v>173</v>
      </c>
      <c r="CT203" t="s">
        <v>173</v>
      </c>
      <c r="CU203" t="s">
        <v>173</v>
      </c>
      <c r="CV203" t="s">
        <v>173</v>
      </c>
      <c r="CW203" t="s">
        <v>173</v>
      </c>
      <c r="CX203" t="s">
        <v>173</v>
      </c>
      <c r="CY203">
        <v>5.92</v>
      </c>
      <c r="CZ203" t="s">
        <v>509</v>
      </c>
      <c r="DA203">
        <f>_xlfn.XLOOKUP(Table7[[#This Row],[Reference_WVTR_unit]],ConversionFactors!$B$11:$B$12,ConversionFactors!$S$11:$S$12)</f>
        <v>1</v>
      </c>
      <c r="DB203">
        <f>Table7[[#This Row],[Reference_WVTR_value]]*Table7[[#This Row],[Reference_WVTR_conversion_factor]]*Table7[[#This Row],[Reference_thickness_µm]]/100</f>
        <v>1.48</v>
      </c>
      <c r="DC203" t="s">
        <v>173</v>
      </c>
      <c r="DD203" t="s">
        <v>173</v>
      </c>
      <c r="DE203" t="s">
        <v>476</v>
      </c>
      <c r="DF203" t="s">
        <v>172</v>
      </c>
      <c r="DG203" t="s">
        <v>560</v>
      </c>
      <c r="DH203" s="1" t="s">
        <v>565</v>
      </c>
    </row>
    <row r="204" spans="1:112" ht="409.6">
      <c r="A204">
        <v>71</v>
      </c>
      <c r="B204" t="s">
        <v>579</v>
      </c>
      <c r="C204" t="s">
        <v>580</v>
      </c>
      <c r="D204">
        <v>2024</v>
      </c>
      <c r="E204" t="s">
        <v>177</v>
      </c>
      <c r="F204" t="s">
        <v>581</v>
      </c>
      <c r="G204" t="s">
        <v>454</v>
      </c>
      <c r="H204">
        <v>0.93</v>
      </c>
      <c r="I204" t="s">
        <v>173</v>
      </c>
      <c r="J204" t="s">
        <v>173</v>
      </c>
      <c r="K204" t="s">
        <v>173</v>
      </c>
      <c r="L204" t="s">
        <v>173</v>
      </c>
      <c r="M204" t="s">
        <v>173</v>
      </c>
      <c r="N204" t="s">
        <v>173</v>
      </c>
      <c r="O204" t="s">
        <v>173</v>
      </c>
      <c r="P204" t="s">
        <v>173</v>
      </c>
      <c r="Q204" t="s">
        <v>173</v>
      </c>
      <c r="R204" t="s">
        <v>173</v>
      </c>
      <c r="S204" t="s">
        <v>173</v>
      </c>
      <c r="T204" t="s">
        <v>173</v>
      </c>
      <c r="U204" t="s">
        <v>173</v>
      </c>
      <c r="V204" t="s">
        <v>173</v>
      </c>
      <c r="W204" t="s">
        <v>173</v>
      </c>
      <c r="X204" t="s">
        <v>173</v>
      </c>
      <c r="Y204" t="s">
        <v>173</v>
      </c>
      <c r="Z204" t="s">
        <v>173</v>
      </c>
      <c r="AA204" t="s">
        <v>173</v>
      </c>
      <c r="AB204" t="s">
        <v>173</v>
      </c>
      <c r="AC204" t="s">
        <v>173</v>
      </c>
      <c r="AD204" t="s">
        <v>173</v>
      </c>
      <c r="AE204" t="s">
        <v>173</v>
      </c>
      <c r="AF204" t="s">
        <v>173</v>
      </c>
      <c r="AG204" t="s">
        <v>173</v>
      </c>
      <c r="AH204" t="s">
        <v>173</v>
      </c>
      <c r="AI204" t="s">
        <v>173</v>
      </c>
      <c r="AJ204" t="s">
        <v>173</v>
      </c>
      <c r="AK204" t="s">
        <v>173</v>
      </c>
      <c r="AL204" t="s">
        <v>173</v>
      </c>
      <c r="AM204" t="s">
        <v>173</v>
      </c>
      <c r="AN204" t="s">
        <v>173</v>
      </c>
      <c r="AO204" t="s">
        <v>173</v>
      </c>
      <c r="AP204" t="s">
        <v>173</v>
      </c>
      <c r="AQ204" t="s">
        <v>173</v>
      </c>
      <c r="AR204" t="s">
        <v>173</v>
      </c>
      <c r="AS204" t="s">
        <v>173</v>
      </c>
      <c r="AT204" t="s">
        <v>173</v>
      </c>
      <c r="AU204" t="s">
        <v>173</v>
      </c>
      <c r="AV204" t="s">
        <v>173</v>
      </c>
      <c r="AW204" t="s">
        <v>173</v>
      </c>
      <c r="AX204" t="s">
        <v>173</v>
      </c>
      <c r="AY204" t="s">
        <v>173</v>
      </c>
      <c r="AZ204" t="s">
        <v>173</v>
      </c>
      <c r="BA204" t="s">
        <v>173</v>
      </c>
      <c r="BB204" t="s">
        <v>173</v>
      </c>
      <c r="BC204" t="s">
        <v>173</v>
      </c>
      <c r="BD204" t="s">
        <v>173</v>
      </c>
      <c r="BE204" t="s">
        <v>173</v>
      </c>
      <c r="BF204" t="s">
        <v>173</v>
      </c>
      <c r="BG204" t="s">
        <v>173</v>
      </c>
      <c r="BH204" t="s">
        <v>173</v>
      </c>
      <c r="BI204" t="s">
        <v>173</v>
      </c>
      <c r="BJ204" t="s">
        <v>173</v>
      </c>
      <c r="BK204" t="s">
        <v>173</v>
      </c>
      <c r="BL204" t="s">
        <v>173</v>
      </c>
      <c r="BM204" t="s">
        <v>173</v>
      </c>
      <c r="BN204" t="s">
        <v>173</v>
      </c>
      <c r="BO204" t="s">
        <v>173</v>
      </c>
      <c r="BP204" t="s">
        <v>173</v>
      </c>
      <c r="BQ204" t="s">
        <v>173</v>
      </c>
      <c r="BR204" t="s">
        <v>173</v>
      </c>
      <c r="BS204" t="s">
        <v>173</v>
      </c>
      <c r="BT204" t="s">
        <v>173</v>
      </c>
      <c r="BU204" t="s">
        <v>173</v>
      </c>
      <c r="BV204" t="s">
        <v>472</v>
      </c>
      <c r="BW204" t="s">
        <v>473</v>
      </c>
      <c r="BX204">
        <v>25</v>
      </c>
      <c r="BY204">
        <v>1.4780000000000001E-7</v>
      </c>
      <c r="BZ204" t="s">
        <v>588</v>
      </c>
      <c r="CA204">
        <f>_xlfn.XLOOKUP(Table7[[#This Row],[Reference_PO2_unit]],ConversionFactors!$B$13:$B$19,ConversionFactors!$S$13:$S$19)</f>
        <v>8526816000000</v>
      </c>
      <c r="CB204">
        <f>Table7[[#This Row],[Reference_PO2_value]]*Table7[[#This Row],[Reference_PO2_conversion_factor]]</f>
        <v>1260263.4048000001</v>
      </c>
      <c r="CC204">
        <v>25</v>
      </c>
      <c r="CD204">
        <v>0</v>
      </c>
      <c r="CE204">
        <f>Table7[[#This Row],[Reference_PO2_cm³·µm·m⁻²·d⁻¹·bar⁻¹ ]]/100</f>
        <v>12602.634048000002</v>
      </c>
      <c r="CF204">
        <f>Table7[[#This Row],[Reference_PO2_T_°C]]</f>
        <v>25</v>
      </c>
      <c r="CG204">
        <f>Table7[[#This Row],[Reference_PO2_RH_%]]</f>
        <v>0</v>
      </c>
      <c r="CH204">
        <v>6.046E-7</v>
      </c>
      <c r="CI204" t="s">
        <v>588</v>
      </c>
      <c r="CJ204">
        <f>_xlfn.XLOOKUP(Table7[[#This Row],[Reference_PCO2_unit]],ConversionFactors!$B$21:$B$23,ConversionFactors!$S$21:$S$23)</f>
        <v>8526816000000</v>
      </c>
      <c r="CK204">
        <f>Table7[[#This Row],[Reference_PCO2_value]]*Table7[[#This Row],[Reference_PCO2_conversion_factor]]</f>
        <v>5155312.9535999997</v>
      </c>
      <c r="CL204">
        <v>25</v>
      </c>
      <c r="CM204">
        <v>0</v>
      </c>
      <c r="CN204">
        <f>Table7[[#This Row],[Reference_PCO2_cm³·µm·m⁻²·d⁻¹·bar⁻¹ ]]/100</f>
        <v>51553.129535999993</v>
      </c>
      <c r="CO204">
        <f>Table7[[#This Row],[Reference_PCO2_T_°C]]</f>
        <v>25</v>
      </c>
      <c r="CP204">
        <f>Table7[[#This Row],[Reference_PCO2_RH_%]]</f>
        <v>0</v>
      </c>
      <c r="CQ204" t="s">
        <v>173</v>
      </c>
      <c r="CR204" t="s">
        <v>173</v>
      </c>
      <c r="CS204" t="s">
        <v>173</v>
      </c>
      <c r="CT204" t="s">
        <v>173</v>
      </c>
      <c r="CU204" t="s">
        <v>173</v>
      </c>
      <c r="CV204" t="s">
        <v>173</v>
      </c>
      <c r="CW204" t="s">
        <v>173</v>
      </c>
      <c r="CX204" t="s">
        <v>173</v>
      </c>
      <c r="CY204">
        <v>20.27</v>
      </c>
      <c r="CZ204" t="s">
        <v>509</v>
      </c>
      <c r="DA204">
        <f>_xlfn.XLOOKUP(Table7[[#This Row],[Reference_WVTR_unit]],ConversionFactors!$B$11:$B$12,ConversionFactors!$S$11:$S$12)</f>
        <v>1</v>
      </c>
      <c r="DB204">
        <f>Table7[[#This Row],[Reference_WVTR_value]]*Table7[[#This Row],[Reference_WVTR_conversion_factor]]*Table7[[#This Row],[Reference_thickness_µm]]/100</f>
        <v>5.0674999999999999</v>
      </c>
      <c r="DC204" t="s">
        <v>173</v>
      </c>
      <c r="DD204" t="s">
        <v>173</v>
      </c>
      <c r="DE204" t="s">
        <v>476</v>
      </c>
      <c r="DF204" t="s">
        <v>172</v>
      </c>
      <c r="DG204" t="s">
        <v>560</v>
      </c>
      <c r="DH204" s="1" t="s">
        <v>565</v>
      </c>
    </row>
    <row r="205" spans="1:112" ht="409.6">
      <c r="A205">
        <v>71</v>
      </c>
      <c r="B205" t="s">
        <v>579</v>
      </c>
      <c r="C205" t="s">
        <v>580</v>
      </c>
      <c r="D205">
        <v>2024</v>
      </c>
      <c r="E205" t="s">
        <v>177</v>
      </c>
      <c r="F205" t="s">
        <v>581</v>
      </c>
      <c r="G205" t="s">
        <v>454</v>
      </c>
      <c r="H205">
        <v>0.93</v>
      </c>
      <c r="I205" t="s">
        <v>173</v>
      </c>
      <c r="J205" t="s">
        <v>173</v>
      </c>
      <c r="K205" t="s">
        <v>173</v>
      </c>
      <c r="L205" t="s">
        <v>173</v>
      </c>
      <c r="M205" t="s">
        <v>173</v>
      </c>
      <c r="N205" t="s">
        <v>173</v>
      </c>
      <c r="O205" t="s">
        <v>173</v>
      </c>
      <c r="P205" t="s">
        <v>173</v>
      </c>
      <c r="Q205" t="s">
        <v>173</v>
      </c>
      <c r="R205" t="s">
        <v>173</v>
      </c>
      <c r="S205" t="s">
        <v>173</v>
      </c>
      <c r="T205" t="s">
        <v>173</v>
      </c>
      <c r="U205" t="s">
        <v>173</v>
      </c>
      <c r="V205" t="s">
        <v>173</v>
      </c>
      <c r="W205" t="s">
        <v>173</v>
      </c>
      <c r="X205" t="s">
        <v>173</v>
      </c>
      <c r="Y205" t="s">
        <v>173</v>
      </c>
      <c r="Z205" t="s">
        <v>173</v>
      </c>
      <c r="AA205" t="s">
        <v>173</v>
      </c>
      <c r="AB205" t="s">
        <v>173</v>
      </c>
      <c r="AC205" t="s">
        <v>173</v>
      </c>
      <c r="AD205" t="s">
        <v>173</v>
      </c>
      <c r="AE205" t="s">
        <v>173</v>
      </c>
      <c r="AF205" t="s">
        <v>173</v>
      </c>
      <c r="AG205" t="s">
        <v>173</v>
      </c>
      <c r="AH205" t="s">
        <v>173</v>
      </c>
      <c r="AI205" t="s">
        <v>173</v>
      </c>
      <c r="AJ205" t="s">
        <v>173</v>
      </c>
      <c r="AK205" t="s">
        <v>173</v>
      </c>
      <c r="AL205" t="s">
        <v>173</v>
      </c>
      <c r="AM205" t="s">
        <v>173</v>
      </c>
      <c r="AN205" t="s">
        <v>173</v>
      </c>
      <c r="AO205" t="s">
        <v>173</v>
      </c>
      <c r="AP205" t="s">
        <v>173</v>
      </c>
      <c r="AQ205" t="s">
        <v>173</v>
      </c>
      <c r="AR205" t="s">
        <v>173</v>
      </c>
      <c r="AS205" t="s">
        <v>173</v>
      </c>
      <c r="AT205" t="s">
        <v>173</v>
      </c>
      <c r="AU205" t="s">
        <v>173</v>
      </c>
      <c r="AV205" t="s">
        <v>173</v>
      </c>
      <c r="AW205" t="s">
        <v>173</v>
      </c>
      <c r="AX205" t="s">
        <v>173</v>
      </c>
      <c r="AY205" t="s">
        <v>173</v>
      </c>
      <c r="AZ205" t="s">
        <v>173</v>
      </c>
      <c r="BA205" t="s">
        <v>173</v>
      </c>
      <c r="BB205" t="s">
        <v>173</v>
      </c>
      <c r="BC205" t="s">
        <v>173</v>
      </c>
      <c r="BD205" t="s">
        <v>173</v>
      </c>
      <c r="BE205" t="s">
        <v>173</v>
      </c>
      <c r="BF205" t="s">
        <v>173</v>
      </c>
      <c r="BG205" t="s">
        <v>173</v>
      </c>
      <c r="BH205" t="s">
        <v>173</v>
      </c>
      <c r="BI205" t="s">
        <v>173</v>
      </c>
      <c r="BJ205" t="s">
        <v>173</v>
      </c>
      <c r="BK205" t="s">
        <v>173</v>
      </c>
      <c r="BL205" t="s">
        <v>173</v>
      </c>
      <c r="BM205" t="s">
        <v>173</v>
      </c>
      <c r="BN205" t="s">
        <v>173</v>
      </c>
      <c r="BO205" t="s">
        <v>173</v>
      </c>
      <c r="BP205" t="s">
        <v>173</v>
      </c>
      <c r="BQ205" t="s">
        <v>173</v>
      </c>
      <c r="BR205" t="s">
        <v>173</v>
      </c>
      <c r="BS205" t="s">
        <v>173</v>
      </c>
      <c r="BT205" t="s">
        <v>173</v>
      </c>
      <c r="BU205" t="s">
        <v>173</v>
      </c>
      <c r="BV205" t="s">
        <v>589</v>
      </c>
      <c r="BW205" t="s">
        <v>485</v>
      </c>
      <c r="BX205">
        <v>25</v>
      </c>
      <c r="BY205">
        <v>6.1050000000000001E-10</v>
      </c>
      <c r="BZ205" t="s">
        <v>588</v>
      </c>
      <c r="CA205">
        <f>_xlfn.XLOOKUP(Table7[[#This Row],[Reference_PO2_unit]],ConversionFactors!$B$13:$B$19,ConversionFactors!$S$13:$S$19)</f>
        <v>8526816000000</v>
      </c>
      <c r="CB205">
        <f>Table7[[#This Row],[Reference_PO2_value]]*Table7[[#This Row],[Reference_PO2_conversion_factor]]</f>
        <v>5205.6211679999997</v>
      </c>
      <c r="CC205">
        <v>25</v>
      </c>
      <c r="CD205">
        <v>0</v>
      </c>
      <c r="CE205">
        <f>Table7[[#This Row],[Reference_PO2_cm³·µm·m⁻²·d⁻¹·bar⁻¹ ]]/100</f>
        <v>52.056211679999997</v>
      </c>
      <c r="CF205">
        <f>Table7[[#This Row],[Reference_PO2_T_°C]]</f>
        <v>25</v>
      </c>
      <c r="CG205">
        <f>Table7[[#This Row],[Reference_PO2_RH_%]]</f>
        <v>0</v>
      </c>
      <c r="CH205" t="s">
        <v>173</v>
      </c>
      <c r="CI205" t="s">
        <v>173</v>
      </c>
      <c r="CJ205" t="s">
        <v>173</v>
      </c>
      <c r="CK205" t="s">
        <v>173</v>
      </c>
      <c r="CL205" t="s">
        <v>173</v>
      </c>
      <c r="CM205" t="s">
        <v>173</v>
      </c>
      <c r="CN205" t="s">
        <v>173</v>
      </c>
      <c r="CO205" t="s">
        <v>173</v>
      </c>
      <c r="CP205" t="s">
        <v>173</v>
      </c>
      <c r="CQ205" t="s">
        <v>173</v>
      </c>
      <c r="CR205" t="s">
        <v>173</v>
      </c>
      <c r="CS205" t="s">
        <v>173</v>
      </c>
      <c r="CT205" t="s">
        <v>173</v>
      </c>
      <c r="CU205" t="s">
        <v>173</v>
      </c>
      <c r="CV205" t="s">
        <v>173</v>
      </c>
      <c r="CW205" t="s">
        <v>173</v>
      </c>
      <c r="CX205" t="s">
        <v>173</v>
      </c>
      <c r="CY205">
        <v>21.22</v>
      </c>
      <c r="CZ205" t="s">
        <v>509</v>
      </c>
      <c r="DA205">
        <f>_xlfn.XLOOKUP(Table7[[#This Row],[Reference_WVTR_unit]],ConversionFactors!$B$11:$B$12,ConversionFactors!$S$11:$S$12)</f>
        <v>1</v>
      </c>
      <c r="DB205">
        <f>Table7[[#This Row],[Reference_WVTR_value]]*Table7[[#This Row],[Reference_WVTR_conversion_factor]]*Table7[[#This Row],[Reference_thickness_µm]]/100</f>
        <v>5.3049999999999997</v>
      </c>
      <c r="DC205" t="s">
        <v>173</v>
      </c>
      <c r="DD205" t="s">
        <v>173</v>
      </c>
      <c r="DE205" t="s">
        <v>476</v>
      </c>
      <c r="DF205" t="s">
        <v>172</v>
      </c>
      <c r="DG205" t="s">
        <v>560</v>
      </c>
      <c r="DH205" s="1" t="s">
        <v>565</v>
      </c>
    </row>
    <row r="206" spans="1:112" ht="409.6">
      <c r="A206">
        <v>71</v>
      </c>
      <c r="B206" t="s">
        <v>579</v>
      </c>
      <c r="C206" t="s">
        <v>580</v>
      </c>
      <c r="D206">
        <v>2024</v>
      </c>
      <c r="E206" t="s">
        <v>177</v>
      </c>
      <c r="F206" t="s">
        <v>581</v>
      </c>
      <c r="G206" t="s">
        <v>454</v>
      </c>
      <c r="H206">
        <v>0.93</v>
      </c>
      <c r="I206" t="s">
        <v>173</v>
      </c>
      <c r="J206" t="s">
        <v>173</v>
      </c>
      <c r="K206" t="s">
        <v>173</v>
      </c>
      <c r="L206" t="s">
        <v>173</v>
      </c>
      <c r="M206" t="s">
        <v>173</v>
      </c>
      <c r="N206" t="s">
        <v>173</v>
      </c>
      <c r="O206" t="s">
        <v>173</v>
      </c>
      <c r="P206" t="s">
        <v>173</v>
      </c>
      <c r="Q206" t="s">
        <v>173</v>
      </c>
      <c r="R206" t="s">
        <v>173</v>
      </c>
      <c r="S206" t="s">
        <v>173</v>
      </c>
      <c r="T206" t="s">
        <v>173</v>
      </c>
      <c r="U206" t="s">
        <v>173</v>
      </c>
      <c r="V206" t="s">
        <v>173</v>
      </c>
      <c r="W206" t="s">
        <v>173</v>
      </c>
      <c r="X206" t="s">
        <v>173</v>
      </c>
      <c r="Y206" t="s">
        <v>173</v>
      </c>
      <c r="Z206" t="s">
        <v>173</v>
      </c>
      <c r="AA206" t="s">
        <v>173</v>
      </c>
      <c r="AB206" t="s">
        <v>173</v>
      </c>
      <c r="AC206" t="s">
        <v>173</v>
      </c>
      <c r="AD206" t="s">
        <v>173</v>
      </c>
      <c r="AE206" t="s">
        <v>173</v>
      </c>
      <c r="AF206" t="s">
        <v>173</v>
      </c>
      <c r="AG206" t="s">
        <v>173</v>
      </c>
      <c r="AH206" t="s">
        <v>173</v>
      </c>
      <c r="AI206" t="s">
        <v>173</v>
      </c>
      <c r="AJ206" t="s">
        <v>173</v>
      </c>
      <c r="AK206" t="s">
        <v>173</v>
      </c>
      <c r="AL206" t="s">
        <v>173</v>
      </c>
      <c r="AM206" t="s">
        <v>173</v>
      </c>
      <c r="AN206" t="s">
        <v>173</v>
      </c>
      <c r="AO206" t="s">
        <v>173</v>
      </c>
      <c r="AP206" t="s">
        <v>173</v>
      </c>
      <c r="AQ206" t="s">
        <v>173</v>
      </c>
      <c r="AR206" t="s">
        <v>173</v>
      </c>
      <c r="AS206" t="s">
        <v>173</v>
      </c>
      <c r="AT206" t="s">
        <v>173</v>
      </c>
      <c r="AU206" t="s">
        <v>173</v>
      </c>
      <c r="AV206" t="s">
        <v>173</v>
      </c>
      <c r="AW206" t="s">
        <v>173</v>
      </c>
      <c r="AX206" t="s">
        <v>173</v>
      </c>
      <c r="AY206" t="s">
        <v>173</v>
      </c>
      <c r="AZ206" t="s">
        <v>173</v>
      </c>
      <c r="BA206" t="s">
        <v>173</v>
      </c>
      <c r="BB206" t="s">
        <v>173</v>
      </c>
      <c r="BC206" t="s">
        <v>173</v>
      </c>
      <c r="BD206" t="s">
        <v>173</v>
      </c>
      <c r="BE206" t="s">
        <v>173</v>
      </c>
      <c r="BF206" t="s">
        <v>173</v>
      </c>
      <c r="BG206" t="s">
        <v>173</v>
      </c>
      <c r="BH206" t="s">
        <v>173</v>
      </c>
      <c r="BI206" t="s">
        <v>173</v>
      </c>
      <c r="BJ206" t="s">
        <v>173</v>
      </c>
      <c r="BK206" t="s">
        <v>173</v>
      </c>
      <c r="BL206" t="s">
        <v>173</v>
      </c>
      <c r="BM206" t="s">
        <v>173</v>
      </c>
      <c r="BN206" t="s">
        <v>173</v>
      </c>
      <c r="BO206" t="s">
        <v>173</v>
      </c>
      <c r="BP206" t="s">
        <v>173</v>
      </c>
      <c r="BQ206" t="s">
        <v>173</v>
      </c>
      <c r="BR206" t="s">
        <v>173</v>
      </c>
      <c r="BS206" t="s">
        <v>173</v>
      </c>
      <c r="BT206" t="s">
        <v>173</v>
      </c>
      <c r="BU206" t="s">
        <v>173</v>
      </c>
      <c r="BV206" t="s">
        <v>480</v>
      </c>
      <c r="BW206" t="s">
        <v>481</v>
      </c>
      <c r="BX206">
        <v>25</v>
      </c>
      <c r="BY206">
        <v>1.9709999999999999E-9</v>
      </c>
      <c r="BZ206" t="s">
        <v>588</v>
      </c>
      <c r="CA206">
        <f>_xlfn.XLOOKUP(Table7[[#This Row],[Reference_PO2_unit]],ConversionFactors!$B$13:$B$19,ConversionFactors!$S$13:$S$19)</f>
        <v>8526816000000</v>
      </c>
      <c r="CB206">
        <f>Table7[[#This Row],[Reference_PO2_value]]*Table7[[#This Row],[Reference_PO2_conversion_factor]]</f>
        <v>16806.354336</v>
      </c>
      <c r="CC206">
        <v>25</v>
      </c>
      <c r="CD206">
        <v>0</v>
      </c>
      <c r="CE206">
        <f>Table7[[#This Row],[Reference_PO2_cm³·µm·m⁻²·d⁻¹·bar⁻¹ ]]/100</f>
        <v>168.06354336000001</v>
      </c>
      <c r="CF206">
        <f>Table7[[#This Row],[Reference_PO2_T_°C]]</f>
        <v>25</v>
      </c>
      <c r="CG206">
        <f>Table7[[#This Row],[Reference_PO2_RH_%]]</f>
        <v>0</v>
      </c>
      <c r="CH206">
        <v>9.9490000000000003E-9</v>
      </c>
      <c r="CI206" t="s">
        <v>588</v>
      </c>
      <c r="CJ206">
        <f>_xlfn.XLOOKUP(Table7[[#This Row],[Reference_PCO2_unit]],ConversionFactors!$B$21:$B$23,ConversionFactors!$S$21:$S$23)</f>
        <v>8526816000000</v>
      </c>
      <c r="CK206">
        <f>Table7[[#This Row],[Reference_PCO2_value]]*Table7[[#This Row],[Reference_PCO2_conversion_factor]]</f>
        <v>84833.292384</v>
      </c>
      <c r="CL206">
        <v>25</v>
      </c>
      <c r="CM206">
        <v>0</v>
      </c>
      <c r="CN206">
        <f>Table7[[#This Row],[Reference_PCO2_cm³·µm·m⁻²·d⁻¹·bar⁻¹ ]]/100</f>
        <v>848.33292384000003</v>
      </c>
      <c r="CO206">
        <f>Table7[[#This Row],[Reference_PCO2_T_°C]]</f>
        <v>25</v>
      </c>
      <c r="CP206">
        <f>Table7[[#This Row],[Reference_PCO2_RH_%]]</f>
        <v>0</v>
      </c>
      <c r="CQ206" t="s">
        <v>173</v>
      </c>
      <c r="CR206" t="s">
        <v>173</v>
      </c>
      <c r="CS206" t="s">
        <v>173</v>
      </c>
      <c r="CT206" t="s">
        <v>173</v>
      </c>
      <c r="CU206" t="s">
        <v>173</v>
      </c>
      <c r="CV206" t="s">
        <v>173</v>
      </c>
      <c r="CW206" t="s">
        <v>173</v>
      </c>
      <c r="CX206" t="s">
        <v>173</v>
      </c>
      <c r="CY206">
        <v>27.9</v>
      </c>
      <c r="CZ206" t="s">
        <v>509</v>
      </c>
      <c r="DA206">
        <f>_xlfn.XLOOKUP(Table7[[#This Row],[Reference_WVTR_unit]],ConversionFactors!$B$11:$B$12,ConversionFactors!$S$11:$S$12)</f>
        <v>1</v>
      </c>
      <c r="DB206">
        <f>Table7[[#This Row],[Reference_WVTR_value]]*Table7[[#This Row],[Reference_WVTR_conversion_factor]]*Table7[[#This Row],[Reference_thickness_µm]]/100</f>
        <v>6.9749999999999996</v>
      </c>
      <c r="DC206" t="s">
        <v>173</v>
      </c>
      <c r="DD206" t="s">
        <v>173</v>
      </c>
      <c r="DE206" t="s">
        <v>476</v>
      </c>
      <c r="DF206" t="s">
        <v>172</v>
      </c>
      <c r="DG206" t="s">
        <v>560</v>
      </c>
      <c r="DH206" s="1" t="s">
        <v>565</v>
      </c>
    </row>
    <row r="207" spans="1:112" ht="409.6">
      <c r="A207">
        <v>71</v>
      </c>
      <c r="B207" t="s">
        <v>579</v>
      </c>
      <c r="C207" t="s">
        <v>580</v>
      </c>
      <c r="D207">
        <v>2024</v>
      </c>
      <c r="E207" t="s">
        <v>177</v>
      </c>
      <c r="F207" t="s">
        <v>581</v>
      </c>
      <c r="G207" t="s">
        <v>454</v>
      </c>
      <c r="H207">
        <v>0.93</v>
      </c>
      <c r="I207" t="s">
        <v>173</v>
      </c>
      <c r="J207" t="s">
        <v>173</v>
      </c>
      <c r="K207" t="s">
        <v>173</v>
      </c>
      <c r="L207" t="s">
        <v>173</v>
      </c>
      <c r="M207" t="s">
        <v>173</v>
      </c>
      <c r="N207" t="s">
        <v>173</v>
      </c>
      <c r="O207" t="s">
        <v>173</v>
      </c>
      <c r="P207" t="s">
        <v>173</v>
      </c>
      <c r="Q207" t="s">
        <v>173</v>
      </c>
      <c r="R207" t="s">
        <v>173</v>
      </c>
      <c r="S207" t="s">
        <v>173</v>
      </c>
      <c r="T207" t="s">
        <v>173</v>
      </c>
      <c r="U207" t="s">
        <v>173</v>
      </c>
      <c r="V207" t="s">
        <v>173</v>
      </c>
      <c r="W207" t="s">
        <v>173</v>
      </c>
      <c r="X207" t="s">
        <v>173</v>
      </c>
      <c r="Y207" t="s">
        <v>173</v>
      </c>
      <c r="Z207" t="s">
        <v>173</v>
      </c>
      <c r="AA207" t="s">
        <v>173</v>
      </c>
      <c r="AB207" t="s">
        <v>173</v>
      </c>
      <c r="AC207" t="s">
        <v>173</v>
      </c>
      <c r="AD207" t="s">
        <v>173</v>
      </c>
      <c r="AE207" t="s">
        <v>173</v>
      </c>
      <c r="AF207" t="s">
        <v>173</v>
      </c>
      <c r="AG207" t="s">
        <v>173</v>
      </c>
      <c r="AH207" t="s">
        <v>173</v>
      </c>
      <c r="AI207" t="s">
        <v>173</v>
      </c>
      <c r="AJ207" t="s">
        <v>173</v>
      </c>
      <c r="AK207" t="s">
        <v>173</v>
      </c>
      <c r="AL207" t="s">
        <v>173</v>
      </c>
      <c r="AM207" t="s">
        <v>173</v>
      </c>
      <c r="AN207" t="s">
        <v>173</v>
      </c>
      <c r="AO207" t="s">
        <v>173</v>
      </c>
      <c r="AP207" t="s">
        <v>173</v>
      </c>
      <c r="AQ207" t="s">
        <v>173</v>
      </c>
      <c r="AR207" t="s">
        <v>173</v>
      </c>
      <c r="AS207" t="s">
        <v>173</v>
      </c>
      <c r="AT207" t="s">
        <v>173</v>
      </c>
      <c r="AU207" t="s">
        <v>173</v>
      </c>
      <c r="AV207" t="s">
        <v>173</v>
      </c>
      <c r="AW207" t="s">
        <v>173</v>
      </c>
      <c r="AX207" t="s">
        <v>173</v>
      </c>
      <c r="AY207" t="s">
        <v>173</v>
      </c>
      <c r="AZ207" t="s">
        <v>173</v>
      </c>
      <c r="BA207" t="s">
        <v>173</v>
      </c>
      <c r="BB207" t="s">
        <v>173</v>
      </c>
      <c r="BC207" t="s">
        <v>173</v>
      </c>
      <c r="BD207" t="s">
        <v>173</v>
      </c>
      <c r="BE207" t="s">
        <v>173</v>
      </c>
      <c r="BF207" t="s">
        <v>173</v>
      </c>
      <c r="BG207" t="s">
        <v>173</v>
      </c>
      <c r="BH207" t="s">
        <v>173</v>
      </c>
      <c r="BI207" t="s">
        <v>173</v>
      </c>
      <c r="BJ207" t="s">
        <v>173</v>
      </c>
      <c r="BK207" t="s">
        <v>173</v>
      </c>
      <c r="BL207" t="s">
        <v>173</v>
      </c>
      <c r="BM207" t="s">
        <v>173</v>
      </c>
      <c r="BN207" t="s">
        <v>173</v>
      </c>
      <c r="BO207" t="s">
        <v>173</v>
      </c>
      <c r="BP207" t="s">
        <v>173</v>
      </c>
      <c r="BQ207" t="s">
        <v>173</v>
      </c>
      <c r="BR207" t="s">
        <v>173</v>
      </c>
      <c r="BS207" t="s">
        <v>173</v>
      </c>
      <c r="BT207" t="s">
        <v>173</v>
      </c>
      <c r="BU207" t="s">
        <v>173</v>
      </c>
      <c r="BV207" t="s">
        <v>590</v>
      </c>
      <c r="BW207" t="s">
        <v>485</v>
      </c>
      <c r="BX207">
        <v>25</v>
      </c>
      <c r="BY207">
        <v>5.9809999999999997E-12</v>
      </c>
      <c r="BZ207" t="s">
        <v>588</v>
      </c>
      <c r="CA207">
        <f>_xlfn.XLOOKUP(Table7[[#This Row],[Reference_PO2_unit]],ConversionFactors!$B$13:$B$19,ConversionFactors!$S$13:$S$19)</f>
        <v>8526816000000</v>
      </c>
      <c r="CB207">
        <f>Table7[[#This Row],[Reference_PO2_value]]*Table7[[#This Row],[Reference_PO2_conversion_factor]]</f>
        <v>50.998886495999997</v>
      </c>
      <c r="CC207">
        <v>25</v>
      </c>
      <c r="CD207">
        <v>0</v>
      </c>
      <c r="CE207">
        <f>Table7[[#This Row],[Reference_PO2_cm³·µm·m⁻²·d⁻¹·bar⁻¹ ]]/100</f>
        <v>0.50998886495999995</v>
      </c>
      <c r="CF207">
        <f>Table7[[#This Row],[Reference_PO2_T_°C]]</f>
        <v>25</v>
      </c>
      <c r="CG207">
        <f>Table7[[#This Row],[Reference_PO2_RH_%]]</f>
        <v>0</v>
      </c>
      <c r="CH207" t="s">
        <v>173</v>
      </c>
      <c r="CI207" t="s">
        <v>173</v>
      </c>
      <c r="CJ207" t="s">
        <v>173</v>
      </c>
      <c r="CK207" t="s">
        <v>173</v>
      </c>
      <c r="CL207" t="s">
        <v>173</v>
      </c>
      <c r="CM207" t="s">
        <v>173</v>
      </c>
      <c r="CN207" t="s">
        <v>173</v>
      </c>
      <c r="CO207" t="s">
        <v>173</v>
      </c>
      <c r="CP207" t="s">
        <v>173</v>
      </c>
      <c r="CQ207" t="s">
        <v>173</v>
      </c>
      <c r="CR207" t="s">
        <v>173</v>
      </c>
      <c r="CS207" t="s">
        <v>173</v>
      </c>
      <c r="CT207" t="s">
        <v>173</v>
      </c>
      <c r="CU207" t="s">
        <v>173</v>
      </c>
      <c r="CV207" t="s">
        <v>173</v>
      </c>
      <c r="CW207" t="s">
        <v>173</v>
      </c>
      <c r="CX207" t="s">
        <v>173</v>
      </c>
      <c r="CY207">
        <v>60.56</v>
      </c>
      <c r="CZ207" t="s">
        <v>509</v>
      </c>
      <c r="DA207">
        <f>_xlfn.XLOOKUP(Table7[[#This Row],[Reference_WVTR_unit]],ConversionFactors!$B$11:$B$12,ConversionFactors!$S$11:$S$12)</f>
        <v>1</v>
      </c>
      <c r="DB207">
        <f>Table7[[#This Row],[Reference_WVTR_value]]*Table7[[#This Row],[Reference_WVTR_conversion_factor]]*Table7[[#This Row],[Reference_thickness_µm]]/100</f>
        <v>15.14</v>
      </c>
      <c r="DC207" t="s">
        <v>173</v>
      </c>
      <c r="DD207" t="s">
        <v>173</v>
      </c>
      <c r="DE207" t="s">
        <v>476</v>
      </c>
      <c r="DF207" t="s">
        <v>172</v>
      </c>
      <c r="DG207" t="s">
        <v>560</v>
      </c>
      <c r="DH207" s="1" t="s">
        <v>565</v>
      </c>
    </row>
    <row r="208" spans="1:112" ht="409.6">
      <c r="A208">
        <v>71</v>
      </c>
      <c r="B208" t="s">
        <v>579</v>
      </c>
      <c r="C208" t="s">
        <v>580</v>
      </c>
      <c r="D208">
        <v>2024</v>
      </c>
      <c r="E208" t="s">
        <v>177</v>
      </c>
      <c r="F208" t="s">
        <v>581</v>
      </c>
      <c r="G208" t="s">
        <v>454</v>
      </c>
      <c r="H208">
        <v>0.93</v>
      </c>
      <c r="I208" t="s">
        <v>173</v>
      </c>
      <c r="J208" t="s">
        <v>173</v>
      </c>
      <c r="K208" t="s">
        <v>173</v>
      </c>
      <c r="L208" t="s">
        <v>173</v>
      </c>
      <c r="M208" t="s">
        <v>173</v>
      </c>
      <c r="N208" t="s">
        <v>173</v>
      </c>
      <c r="O208" t="s">
        <v>173</v>
      </c>
      <c r="P208" t="s">
        <v>173</v>
      </c>
      <c r="Q208" t="s">
        <v>173</v>
      </c>
      <c r="R208" t="s">
        <v>173</v>
      </c>
      <c r="S208" t="s">
        <v>173</v>
      </c>
      <c r="T208" t="s">
        <v>173</v>
      </c>
      <c r="U208" t="s">
        <v>173</v>
      </c>
      <c r="V208" t="s">
        <v>173</v>
      </c>
      <c r="W208" t="s">
        <v>173</v>
      </c>
      <c r="X208" t="s">
        <v>173</v>
      </c>
      <c r="Y208" t="s">
        <v>173</v>
      </c>
      <c r="Z208" t="s">
        <v>173</v>
      </c>
      <c r="AA208" t="s">
        <v>173</v>
      </c>
      <c r="AB208" t="s">
        <v>173</v>
      </c>
      <c r="AC208" t="s">
        <v>173</v>
      </c>
      <c r="AD208" t="s">
        <v>173</v>
      </c>
      <c r="AE208" t="s">
        <v>173</v>
      </c>
      <c r="AF208" t="s">
        <v>173</v>
      </c>
      <c r="AG208" t="s">
        <v>173</v>
      </c>
      <c r="AH208" t="s">
        <v>173</v>
      </c>
      <c r="AI208" t="s">
        <v>173</v>
      </c>
      <c r="AJ208" t="s">
        <v>173</v>
      </c>
      <c r="AK208" t="s">
        <v>173</v>
      </c>
      <c r="AL208" t="s">
        <v>173</v>
      </c>
      <c r="AM208" t="s">
        <v>173</v>
      </c>
      <c r="AN208" t="s">
        <v>173</v>
      </c>
      <c r="AO208" t="s">
        <v>173</v>
      </c>
      <c r="AP208" t="s">
        <v>173</v>
      </c>
      <c r="AQ208" t="s">
        <v>173</v>
      </c>
      <c r="AR208" t="s">
        <v>173</v>
      </c>
      <c r="AS208" t="s">
        <v>173</v>
      </c>
      <c r="AT208" t="s">
        <v>173</v>
      </c>
      <c r="AU208" t="s">
        <v>173</v>
      </c>
      <c r="AV208" t="s">
        <v>173</v>
      </c>
      <c r="AW208" t="s">
        <v>173</v>
      </c>
      <c r="AX208" t="s">
        <v>173</v>
      </c>
      <c r="AY208" t="s">
        <v>173</v>
      </c>
      <c r="AZ208" t="s">
        <v>173</v>
      </c>
      <c r="BA208" t="s">
        <v>173</v>
      </c>
      <c r="BB208" t="s">
        <v>173</v>
      </c>
      <c r="BC208" t="s">
        <v>173</v>
      </c>
      <c r="BD208" t="s">
        <v>173</v>
      </c>
      <c r="BE208" t="s">
        <v>173</v>
      </c>
      <c r="BF208" t="s">
        <v>173</v>
      </c>
      <c r="BG208" t="s">
        <v>173</v>
      </c>
      <c r="BH208" t="s">
        <v>173</v>
      </c>
      <c r="BI208" t="s">
        <v>173</v>
      </c>
      <c r="BJ208" t="s">
        <v>173</v>
      </c>
      <c r="BK208" t="s">
        <v>173</v>
      </c>
      <c r="BL208" t="s">
        <v>173</v>
      </c>
      <c r="BM208" t="s">
        <v>173</v>
      </c>
      <c r="BN208" t="s">
        <v>173</v>
      </c>
      <c r="BO208" t="s">
        <v>173</v>
      </c>
      <c r="BP208" t="s">
        <v>173</v>
      </c>
      <c r="BQ208" t="s">
        <v>173</v>
      </c>
      <c r="BR208" t="s">
        <v>173</v>
      </c>
      <c r="BS208" t="s">
        <v>173</v>
      </c>
      <c r="BT208" t="s">
        <v>173</v>
      </c>
      <c r="BU208" t="s">
        <v>173</v>
      </c>
      <c r="BV208" t="s">
        <v>591</v>
      </c>
      <c r="BW208" t="s">
        <v>490</v>
      </c>
      <c r="BX208">
        <v>25</v>
      </c>
      <c r="BY208">
        <v>1.2030000000000001E-9</v>
      </c>
      <c r="BZ208" t="s">
        <v>588</v>
      </c>
      <c r="CA208">
        <f>_xlfn.XLOOKUP(Table7[[#This Row],[Reference_PO2_unit]],ConversionFactors!$B$13:$B$19,ConversionFactors!$S$13:$S$19)</f>
        <v>8526816000000</v>
      </c>
      <c r="CB208">
        <f>Table7[[#This Row],[Reference_PO2_value]]*Table7[[#This Row],[Reference_PO2_conversion_factor]]</f>
        <v>10257.759648000001</v>
      </c>
      <c r="CC208">
        <v>25</v>
      </c>
      <c r="CD208">
        <v>0</v>
      </c>
      <c r="CE208">
        <f>Table7[[#This Row],[Reference_PO2_cm³·µm·m⁻²·d⁻¹·bar⁻¹ ]]/100</f>
        <v>102.57759648000001</v>
      </c>
      <c r="CF208">
        <f>Table7[[#This Row],[Reference_PO2_T_°C]]</f>
        <v>25</v>
      </c>
      <c r="CG208">
        <f>Table7[[#This Row],[Reference_PO2_RH_%]]</f>
        <v>0</v>
      </c>
      <c r="CH208">
        <v>5.5169999999999999E-9</v>
      </c>
      <c r="CI208" t="s">
        <v>588</v>
      </c>
      <c r="CJ208">
        <f>_xlfn.XLOOKUP(Table7[[#This Row],[Reference_PCO2_unit]],ConversionFactors!$B$21:$B$23,ConversionFactors!$S$21:$S$23)</f>
        <v>8526816000000</v>
      </c>
      <c r="CK208">
        <f>Table7[[#This Row],[Reference_PCO2_value]]*Table7[[#This Row],[Reference_PCO2_conversion_factor]]</f>
        <v>47042.443871999996</v>
      </c>
      <c r="CL208">
        <v>25</v>
      </c>
      <c r="CM208">
        <v>0</v>
      </c>
      <c r="CN208">
        <f>Table7[[#This Row],[Reference_PCO2_cm³·µm·m⁻²·d⁻¹·bar⁻¹ ]]/100</f>
        <v>470.42443871999996</v>
      </c>
      <c r="CO208">
        <f>Table7[[#This Row],[Reference_PCO2_T_°C]]</f>
        <v>25</v>
      </c>
      <c r="CP208">
        <f>Table7[[#This Row],[Reference_PCO2_RH_%]]</f>
        <v>0</v>
      </c>
      <c r="CQ208" t="s">
        <v>173</v>
      </c>
      <c r="CR208" t="s">
        <v>173</v>
      </c>
      <c r="CS208" t="s">
        <v>173</v>
      </c>
      <c r="CT208" t="s">
        <v>173</v>
      </c>
      <c r="CU208" t="s">
        <v>173</v>
      </c>
      <c r="CV208" t="s">
        <v>173</v>
      </c>
      <c r="CW208" t="s">
        <v>173</v>
      </c>
      <c r="CX208" t="s">
        <v>173</v>
      </c>
      <c r="CY208">
        <v>198.17</v>
      </c>
      <c r="CZ208" t="s">
        <v>509</v>
      </c>
      <c r="DA208">
        <f>_xlfn.XLOOKUP(Table7[[#This Row],[Reference_WVTR_unit]],ConversionFactors!$B$11:$B$12,ConversionFactors!$S$11:$S$12)</f>
        <v>1</v>
      </c>
      <c r="DB208">
        <f>Table7[[#This Row],[Reference_WVTR_value]]*Table7[[#This Row],[Reference_WVTR_conversion_factor]]*Table7[[#This Row],[Reference_thickness_µm]]/100</f>
        <v>49.542499999999997</v>
      </c>
      <c r="DC208" t="s">
        <v>173</v>
      </c>
      <c r="DD208" t="s">
        <v>173</v>
      </c>
      <c r="DE208" t="s">
        <v>476</v>
      </c>
      <c r="DF208" t="s">
        <v>172</v>
      </c>
      <c r="DG208" t="s">
        <v>560</v>
      </c>
      <c r="DH208" s="1" t="s">
        <v>565</v>
      </c>
    </row>
    <row r="209" spans="1:112">
      <c r="A209">
        <v>71</v>
      </c>
      <c r="B209" t="s">
        <v>579</v>
      </c>
      <c r="C209" t="s">
        <v>580</v>
      </c>
      <c r="D209">
        <v>2024</v>
      </c>
      <c r="E209" t="s">
        <v>177</v>
      </c>
      <c r="F209" t="s">
        <v>581</v>
      </c>
      <c r="G209" t="s">
        <v>454</v>
      </c>
      <c r="H209">
        <v>0.93</v>
      </c>
      <c r="I209" t="s">
        <v>173</v>
      </c>
      <c r="J209" t="s">
        <v>173</v>
      </c>
      <c r="K209" t="s">
        <v>173</v>
      </c>
      <c r="L209" t="s">
        <v>173</v>
      </c>
      <c r="M209" t="s">
        <v>173</v>
      </c>
      <c r="N209" t="s">
        <v>173</v>
      </c>
      <c r="O209" t="s">
        <v>173</v>
      </c>
      <c r="P209" t="s">
        <v>173</v>
      </c>
      <c r="Q209" t="s">
        <v>173</v>
      </c>
      <c r="R209" t="s">
        <v>173</v>
      </c>
      <c r="S209" t="s">
        <v>173</v>
      </c>
      <c r="T209" t="s">
        <v>173</v>
      </c>
      <c r="U209" t="s">
        <v>173</v>
      </c>
      <c r="V209" t="s">
        <v>173</v>
      </c>
      <c r="W209" t="s">
        <v>173</v>
      </c>
      <c r="X209" t="s">
        <v>173</v>
      </c>
      <c r="Y209" t="s">
        <v>173</v>
      </c>
      <c r="Z209" t="s">
        <v>173</v>
      </c>
      <c r="AA209" t="s">
        <v>173</v>
      </c>
      <c r="AB209" t="s">
        <v>173</v>
      </c>
      <c r="AC209" t="s">
        <v>173</v>
      </c>
      <c r="AD209" t="s">
        <v>173</v>
      </c>
      <c r="AE209" t="s">
        <v>173</v>
      </c>
      <c r="AF209" t="s">
        <v>173</v>
      </c>
      <c r="AG209" t="s">
        <v>173</v>
      </c>
      <c r="AH209" t="s">
        <v>173</v>
      </c>
      <c r="AI209" t="s">
        <v>173</v>
      </c>
      <c r="AJ209" t="s">
        <v>173</v>
      </c>
      <c r="AK209" t="s">
        <v>173</v>
      </c>
      <c r="AL209" t="s">
        <v>173</v>
      </c>
      <c r="AM209" t="s">
        <v>173</v>
      </c>
      <c r="AN209" t="s">
        <v>173</v>
      </c>
      <c r="AO209" t="s">
        <v>173</v>
      </c>
      <c r="AP209" t="s">
        <v>173</v>
      </c>
      <c r="AQ209" t="s">
        <v>173</v>
      </c>
      <c r="AR209" t="s">
        <v>173</v>
      </c>
      <c r="AS209" t="s">
        <v>173</v>
      </c>
      <c r="AT209" t="s">
        <v>173</v>
      </c>
      <c r="AU209" t="s">
        <v>173</v>
      </c>
      <c r="AV209" t="s">
        <v>173</v>
      </c>
      <c r="AW209" t="s">
        <v>173</v>
      </c>
      <c r="AX209" t="s">
        <v>173</v>
      </c>
      <c r="AY209" t="s">
        <v>173</v>
      </c>
      <c r="AZ209" t="s">
        <v>173</v>
      </c>
      <c r="BA209" t="s">
        <v>173</v>
      </c>
      <c r="BB209" t="s">
        <v>173</v>
      </c>
      <c r="BC209" t="s">
        <v>173</v>
      </c>
      <c r="BD209" t="s">
        <v>173</v>
      </c>
      <c r="BE209" t="s">
        <v>173</v>
      </c>
      <c r="BF209" t="s">
        <v>173</v>
      </c>
      <c r="BG209" t="s">
        <v>173</v>
      </c>
      <c r="BH209" t="s">
        <v>173</v>
      </c>
      <c r="BI209" t="s">
        <v>173</v>
      </c>
      <c r="BJ209" t="s">
        <v>173</v>
      </c>
      <c r="BK209" t="s">
        <v>173</v>
      </c>
      <c r="BL209" t="s">
        <v>173</v>
      </c>
      <c r="BM209" t="s">
        <v>173</v>
      </c>
      <c r="BN209" t="s">
        <v>173</v>
      </c>
      <c r="BO209" t="s">
        <v>173</v>
      </c>
      <c r="BP209" t="s">
        <v>173</v>
      </c>
      <c r="BQ209" t="s">
        <v>173</v>
      </c>
      <c r="BR209" t="s">
        <v>173</v>
      </c>
      <c r="BS209" t="s">
        <v>173</v>
      </c>
      <c r="BT209" t="s">
        <v>173</v>
      </c>
      <c r="BU209" t="s">
        <v>173</v>
      </c>
      <c r="BV209" t="s">
        <v>480</v>
      </c>
      <c r="BW209" t="s">
        <v>481</v>
      </c>
      <c r="BX209" t="s">
        <v>173</v>
      </c>
      <c r="BY209">
        <v>3.2700000000000002E-19</v>
      </c>
      <c r="BZ209" t="s">
        <v>584</v>
      </c>
      <c r="CA209">
        <f>_xlfn.XLOOKUP(Table7[[#This Row],[Reference_PO2_unit]],ConversionFactors!$B$13:$B$19,ConversionFactors!$S$13:$S$19)</f>
        <v>8.64E+21</v>
      </c>
      <c r="CB209">
        <f>Table7[[#This Row],[Reference_PO2_value]]*Table7[[#This Row],[Reference_PO2_conversion_factor]]</f>
        <v>2825.28</v>
      </c>
      <c r="CC209">
        <v>23</v>
      </c>
      <c r="CD209">
        <v>0</v>
      </c>
      <c r="CE209">
        <f>Table7[[#This Row],[Reference_PO2_cm³·µm·m⁻²·d⁻¹·bar⁻¹ ]]/100</f>
        <v>28.252800000000001</v>
      </c>
      <c r="CF209">
        <f>Table7[[#This Row],[Reference_PO2_T_°C]]</f>
        <v>23</v>
      </c>
      <c r="CG209">
        <f>Table7[[#This Row],[Reference_PO2_RH_%]]</f>
        <v>0</v>
      </c>
      <c r="CH209" t="s">
        <v>173</v>
      </c>
      <c r="CI209" t="s">
        <v>173</v>
      </c>
      <c r="CJ209" t="s">
        <v>173</v>
      </c>
      <c r="CK209" t="s">
        <v>173</v>
      </c>
      <c r="CL209" t="s">
        <v>173</v>
      </c>
      <c r="CM209" t="s">
        <v>173</v>
      </c>
      <c r="CN209" t="s">
        <v>173</v>
      </c>
      <c r="CO209" t="s">
        <v>173</v>
      </c>
      <c r="CP209" t="s">
        <v>173</v>
      </c>
      <c r="CQ209">
        <v>2.2999999999999999E-15</v>
      </c>
      <c r="CR209" t="s">
        <v>585</v>
      </c>
      <c r="CS209">
        <f>_xlfn.XLOOKUP(Table7[[#This Row],[Reference_WVP_unit]],ConversionFactors!$B$3:$B$10,ConversionFactors!$S$3:$S$10)</f>
        <v>8.64E+18</v>
      </c>
      <c r="CT209">
        <f>Table7[[#This Row],[Reference_WVP_value]]*Table7[[#This Row],[Reference_WVP_conversion_factor]]</f>
        <v>19872</v>
      </c>
      <c r="CU209" t="s">
        <v>173</v>
      </c>
      <c r="CV209" t="s">
        <v>173</v>
      </c>
      <c r="CW209" t="s">
        <v>173</v>
      </c>
      <c r="CX209" t="s">
        <v>173</v>
      </c>
      <c r="CY209" t="s">
        <v>173</v>
      </c>
      <c r="CZ209" t="s">
        <v>173</v>
      </c>
      <c r="DA209" t="s">
        <v>173</v>
      </c>
      <c r="DB209" t="s">
        <v>173</v>
      </c>
      <c r="DC209" t="str">
        <f>Table7[[#This Row],[Reference_WVP_temperature°C]]</f>
        <v>NaN</v>
      </c>
      <c r="DD209" t="str">
        <f>Table7[[#This Row],[Reference_WVP_RH_%]]</f>
        <v>NaN</v>
      </c>
      <c r="DE209" t="s">
        <v>476</v>
      </c>
      <c r="DF209" t="s">
        <v>172</v>
      </c>
      <c r="DG209" t="s">
        <v>586</v>
      </c>
      <c r="DH209" t="s">
        <v>173</v>
      </c>
    </row>
    <row r="210" spans="1:112">
      <c r="A210">
        <v>72</v>
      </c>
      <c r="B210" t="s">
        <v>592</v>
      </c>
      <c r="C210" t="s">
        <v>593</v>
      </c>
      <c r="D210">
        <v>2024</v>
      </c>
      <c r="E210" t="s">
        <v>177</v>
      </c>
      <c r="F210" t="s">
        <v>594</v>
      </c>
      <c r="G210" t="s">
        <v>454</v>
      </c>
      <c r="H210">
        <v>0.79</v>
      </c>
      <c r="I210" t="s">
        <v>173</v>
      </c>
      <c r="J210" t="s">
        <v>595</v>
      </c>
      <c r="K210" t="s">
        <v>563</v>
      </c>
      <c r="L210" t="s">
        <v>564</v>
      </c>
      <c r="M210" t="s">
        <v>454</v>
      </c>
      <c r="N210" t="s">
        <v>454</v>
      </c>
      <c r="O210" t="s">
        <v>173</v>
      </c>
      <c r="P210" t="s">
        <v>173</v>
      </c>
      <c r="Q210" t="s">
        <v>517</v>
      </c>
      <c r="R210">
        <v>100</v>
      </c>
      <c r="S210" t="s">
        <v>173</v>
      </c>
      <c r="T210" t="s">
        <v>173</v>
      </c>
      <c r="U210">
        <v>0.19</v>
      </c>
      <c r="V210" t="s">
        <v>173</v>
      </c>
      <c r="W210" t="s">
        <v>558</v>
      </c>
      <c r="X210">
        <f>_xlfn.XLOOKUP(Table7[[#This Row],[PO2_unit]],ConversionFactors!$B$13:$B$19,ConversionFactors!$S$13:$S$19)</f>
        <v>9869</v>
      </c>
      <c r="Y210">
        <f>Table7[[#This Row],[PO2_value]]*Table7[[#This Row],[PO2_conversion_factor]]</f>
        <v>1875.1100000000001</v>
      </c>
      <c r="Z210" t="s">
        <v>173</v>
      </c>
      <c r="AA210" t="s">
        <v>559</v>
      </c>
      <c r="AB210">
        <v>23</v>
      </c>
      <c r="AC210">
        <v>0</v>
      </c>
      <c r="AD210" t="s">
        <v>173</v>
      </c>
      <c r="AE210" t="s">
        <v>173</v>
      </c>
      <c r="AF210" t="s">
        <v>173</v>
      </c>
      <c r="AG210" t="s">
        <v>173</v>
      </c>
      <c r="AH210">
        <f>Table7[[#This Row],[PO2_cm³·µm·m⁻²·d⁻¹·bar⁻¹ ]]/100</f>
        <v>18.751100000000001</v>
      </c>
      <c r="AI210" t="s">
        <v>173</v>
      </c>
      <c r="AJ210" t="s">
        <v>559</v>
      </c>
      <c r="AK210">
        <v>23</v>
      </c>
      <c r="AL210">
        <v>0</v>
      </c>
      <c r="AM210">
        <v>0.5</v>
      </c>
      <c r="AN210" t="s">
        <v>173</v>
      </c>
      <c r="AO210" t="s">
        <v>558</v>
      </c>
      <c r="AP210">
        <f>_xlfn.XLOOKUP(Table7[[#This Row],[PCO2_unit]],ConversionFactors!$B$21:$B$23,ConversionFactors!$S$21:$S$23)</f>
        <v>9869</v>
      </c>
      <c r="AQ210">
        <f>Table7[[#This Row],[PCO2_value]]*Table7[[#This Row],[PCO2_conversion_factor]]</f>
        <v>4934.5</v>
      </c>
      <c r="AR210" t="s">
        <v>173</v>
      </c>
      <c r="AS210" t="s">
        <v>559</v>
      </c>
      <c r="AT210">
        <v>23</v>
      </c>
      <c r="AU210">
        <v>0</v>
      </c>
      <c r="AV210">
        <f>Table7[[#This Row],[PCO2_cm³·µm·m⁻²·d⁻¹·bar⁻¹ ]]*100</f>
        <v>493450</v>
      </c>
      <c r="AW210" t="s">
        <v>173</v>
      </c>
      <c r="AX210" t="s">
        <v>559</v>
      </c>
      <c r="AY210">
        <v>23</v>
      </c>
      <c r="AZ210">
        <v>0</v>
      </c>
      <c r="BA210" t="s">
        <v>173</v>
      </c>
      <c r="BB210" t="s">
        <v>173</v>
      </c>
      <c r="BC210" t="s">
        <v>173</v>
      </c>
      <c r="BD210" t="s">
        <v>173</v>
      </c>
      <c r="BE210" t="s">
        <v>173</v>
      </c>
      <c r="BF210" t="s">
        <v>173</v>
      </c>
      <c r="BG210" t="s">
        <v>173</v>
      </c>
      <c r="BH210" t="s">
        <v>173</v>
      </c>
      <c r="BI210" t="s">
        <v>173</v>
      </c>
      <c r="BJ210" t="s">
        <v>173</v>
      </c>
      <c r="BK210" t="s">
        <v>173</v>
      </c>
      <c r="BL210" t="s">
        <v>173</v>
      </c>
      <c r="BM210" t="s">
        <v>173</v>
      </c>
      <c r="BN210" t="s">
        <v>173</v>
      </c>
      <c r="BO210" t="s">
        <v>173</v>
      </c>
      <c r="BP210" t="s">
        <v>173</v>
      </c>
      <c r="BQ210" t="s">
        <v>173</v>
      </c>
      <c r="BR210" t="s">
        <v>173</v>
      </c>
      <c r="BS210" t="s">
        <v>173</v>
      </c>
      <c r="BT210" t="s">
        <v>173</v>
      </c>
      <c r="BU210">
        <v>3</v>
      </c>
      <c r="BV210" t="s">
        <v>173</v>
      </c>
      <c r="BX210" t="s">
        <v>173</v>
      </c>
      <c r="BY210" t="s">
        <v>173</v>
      </c>
      <c r="BZ210" t="s">
        <v>173</v>
      </c>
      <c r="CA210" t="s">
        <v>173</v>
      </c>
      <c r="CB210" t="s">
        <v>173</v>
      </c>
      <c r="CC210" t="s">
        <v>173</v>
      </c>
      <c r="CD210" t="s">
        <v>173</v>
      </c>
      <c r="CE210" t="s">
        <v>173</v>
      </c>
      <c r="CF210" t="s">
        <v>173</v>
      </c>
      <c r="CG210" t="s">
        <v>173</v>
      </c>
      <c r="CH210" t="s">
        <v>173</v>
      </c>
      <c r="CI210" t="s">
        <v>173</v>
      </c>
      <c r="CJ210" t="s">
        <v>173</v>
      </c>
      <c r="CK210" t="s">
        <v>173</v>
      </c>
      <c r="CL210" t="s">
        <v>173</v>
      </c>
      <c r="CM210" t="s">
        <v>173</v>
      </c>
      <c r="CN210" t="s">
        <v>173</v>
      </c>
      <c r="CO210" t="s">
        <v>173</v>
      </c>
      <c r="CP210" t="s">
        <v>173</v>
      </c>
      <c r="CQ210" t="s">
        <v>173</v>
      </c>
      <c r="CR210" t="s">
        <v>173</v>
      </c>
      <c r="CS210" t="s">
        <v>173</v>
      </c>
      <c r="CT210" t="s">
        <v>173</v>
      </c>
      <c r="CU210" t="s">
        <v>173</v>
      </c>
      <c r="CV210" t="s">
        <v>173</v>
      </c>
      <c r="CW210" t="s">
        <v>173</v>
      </c>
      <c r="CX210" t="s">
        <v>173</v>
      </c>
      <c r="CY210" t="s">
        <v>173</v>
      </c>
      <c r="CZ210" t="s">
        <v>173</v>
      </c>
      <c r="DA210" t="s">
        <v>173</v>
      </c>
      <c r="DB210" t="s">
        <v>173</v>
      </c>
      <c r="DC210" t="s">
        <v>173</v>
      </c>
      <c r="DD210" t="s">
        <v>173</v>
      </c>
      <c r="DE210" t="s">
        <v>173</v>
      </c>
      <c r="DF210" t="s">
        <v>172</v>
      </c>
      <c r="DG210" t="s">
        <v>596</v>
      </c>
      <c r="DH210" t="s">
        <v>173</v>
      </c>
    </row>
    <row r="211" spans="1:112">
      <c r="A211">
        <v>72</v>
      </c>
      <c r="B211" t="s">
        <v>592</v>
      </c>
      <c r="C211" t="s">
        <v>593</v>
      </c>
      <c r="D211">
        <v>2024</v>
      </c>
      <c r="E211" t="s">
        <v>177</v>
      </c>
      <c r="F211" t="s">
        <v>594</v>
      </c>
      <c r="G211" t="s">
        <v>454</v>
      </c>
      <c r="H211">
        <v>0.79</v>
      </c>
      <c r="I211" t="s">
        <v>173</v>
      </c>
      <c r="J211" t="s">
        <v>562</v>
      </c>
      <c r="K211" t="s">
        <v>563</v>
      </c>
      <c r="L211" t="s">
        <v>564</v>
      </c>
      <c r="M211" t="s">
        <v>454</v>
      </c>
      <c r="N211" t="s">
        <v>454</v>
      </c>
      <c r="O211" t="s">
        <v>173</v>
      </c>
      <c r="P211" t="s">
        <v>173</v>
      </c>
      <c r="Q211" t="s">
        <v>517</v>
      </c>
      <c r="R211">
        <v>100</v>
      </c>
      <c r="S211" t="s">
        <v>173</v>
      </c>
      <c r="T211" t="s">
        <v>173</v>
      </c>
      <c r="U211">
        <v>1.6000000000000001E-3</v>
      </c>
      <c r="V211" t="s">
        <v>173</v>
      </c>
      <c r="W211" t="s">
        <v>558</v>
      </c>
      <c r="X211">
        <f>_xlfn.XLOOKUP(Table7[[#This Row],[PO2_unit]],ConversionFactors!$B$13:$B$19,ConversionFactors!$S$13:$S$19)</f>
        <v>9869</v>
      </c>
      <c r="Y211">
        <f>Table7[[#This Row],[PO2_value]]*Table7[[#This Row],[PO2_conversion_factor]]</f>
        <v>15.7904</v>
      </c>
      <c r="Z211" t="s">
        <v>173</v>
      </c>
      <c r="AA211" t="s">
        <v>559</v>
      </c>
      <c r="AB211">
        <v>23</v>
      </c>
      <c r="AC211">
        <v>0</v>
      </c>
      <c r="AD211" t="s">
        <v>173</v>
      </c>
      <c r="AE211" t="s">
        <v>173</v>
      </c>
      <c r="AF211" t="s">
        <v>173</v>
      </c>
      <c r="AG211" t="s">
        <v>173</v>
      </c>
      <c r="AH211">
        <f>Table7[[#This Row],[PO2_cm³·µm·m⁻²·d⁻¹·bar⁻¹ ]]/100</f>
        <v>0.15790399999999999</v>
      </c>
      <c r="AI211" t="s">
        <v>173</v>
      </c>
      <c r="AJ211" t="s">
        <v>559</v>
      </c>
      <c r="AK211">
        <v>23</v>
      </c>
      <c r="AL211">
        <v>0</v>
      </c>
      <c r="AM211">
        <v>1.4E-3</v>
      </c>
      <c r="AN211" t="s">
        <v>173</v>
      </c>
      <c r="AO211" t="s">
        <v>558</v>
      </c>
      <c r="AP211">
        <f>_xlfn.XLOOKUP(Table7[[#This Row],[PCO2_unit]],ConversionFactors!$B$21:$B$23,ConversionFactors!$S$21:$S$23)</f>
        <v>9869</v>
      </c>
      <c r="AQ211">
        <f>Table7[[#This Row],[PCO2_value]]*Table7[[#This Row],[PCO2_conversion_factor]]</f>
        <v>13.816599999999999</v>
      </c>
      <c r="AR211" t="s">
        <v>173</v>
      </c>
      <c r="AS211" t="s">
        <v>559</v>
      </c>
      <c r="AT211">
        <v>23</v>
      </c>
      <c r="AU211">
        <v>0</v>
      </c>
      <c r="AV211">
        <f>Table7[[#This Row],[PCO2_cm³·µm·m⁻²·d⁻¹·bar⁻¹ ]]*100</f>
        <v>1381.6599999999999</v>
      </c>
      <c r="AW211" t="s">
        <v>173</v>
      </c>
      <c r="AX211" t="s">
        <v>559</v>
      </c>
      <c r="AY211">
        <v>23</v>
      </c>
      <c r="AZ211">
        <v>0</v>
      </c>
      <c r="BA211" t="s">
        <v>173</v>
      </c>
      <c r="BB211" t="s">
        <v>173</v>
      </c>
      <c r="BC211" t="s">
        <v>173</v>
      </c>
      <c r="BD211" t="s">
        <v>173</v>
      </c>
      <c r="BE211" t="s">
        <v>173</v>
      </c>
      <c r="BF211" t="s">
        <v>173</v>
      </c>
      <c r="BG211" t="s">
        <v>173</v>
      </c>
      <c r="BH211" t="s">
        <v>173</v>
      </c>
      <c r="BI211" t="s">
        <v>173</v>
      </c>
      <c r="BJ211" t="s">
        <v>173</v>
      </c>
      <c r="BK211" t="s">
        <v>173</v>
      </c>
      <c r="BL211" t="s">
        <v>173</v>
      </c>
      <c r="BM211" t="s">
        <v>173</v>
      </c>
      <c r="BN211" t="s">
        <v>173</v>
      </c>
      <c r="BO211" t="s">
        <v>173</v>
      </c>
      <c r="BP211" t="s">
        <v>173</v>
      </c>
      <c r="BQ211" t="s">
        <v>173</v>
      </c>
      <c r="BR211" t="s">
        <v>173</v>
      </c>
      <c r="BS211" t="s">
        <v>173</v>
      </c>
      <c r="BT211" t="s">
        <v>173</v>
      </c>
      <c r="BU211">
        <v>3</v>
      </c>
      <c r="BV211" t="s">
        <v>173</v>
      </c>
      <c r="BX211" t="s">
        <v>173</v>
      </c>
      <c r="BY211" t="s">
        <v>173</v>
      </c>
      <c r="BZ211" t="s">
        <v>173</v>
      </c>
      <c r="CA211" t="s">
        <v>173</v>
      </c>
      <c r="CB211" t="s">
        <v>173</v>
      </c>
      <c r="CC211" t="s">
        <v>173</v>
      </c>
      <c r="CD211" t="s">
        <v>173</v>
      </c>
      <c r="CE211" t="s">
        <v>173</v>
      </c>
      <c r="CF211" t="s">
        <v>173</v>
      </c>
      <c r="CG211" t="s">
        <v>173</v>
      </c>
      <c r="CH211" t="s">
        <v>173</v>
      </c>
      <c r="CI211" t="s">
        <v>173</v>
      </c>
      <c r="CJ211" t="s">
        <v>173</v>
      </c>
      <c r="CK211" t="s">
        <v>173</v>
      </c>
      <c r="CL211" t="s">
        <v>173</v>
      </c>
      <c r="CM211" t="s">
        <v>173</v>
      </c>
      <c r="CN211" t="s">
        <v>173</v>
      </c>
      <c r="CO211" t="s">
        <v>173</v>
      </c>
      <c r="CP211" t="s">
        <v>173</v>
      </c>
      <c r="CQ211" t="s">
        <v>173</v>
      </c>
      <c r="CR211" t="s">
        <v>173</v>
      </c>
      <c r="CS211" t="s">
        <v>173</v>
      </c>
      <c r="CT211" t="s">
        <v>173</v>
      </c>
      <c r="CU211" t="s">
        <v>173</v>
      </c>
      <c r="CV211" t="s">
        <v>173</v>
      </c>
      <c r="CW211" t="s">
        <v>173</v>
      </c>
      <c r="CX211" t="s">
        <v>173</v>
      </c>
      <c r="CY211" t="s">
        <v>173</v>
      </c>
      <c r="CZ211" t="s">
        <v>173</v>
      </c>
      <c r="DA211" t="s">
        <v>173</v>
      </c>
      <c r="DB211" t="s">
        <v>173</v>
      </c>
      <c r="DC211" t="s">
        <v>173</v>
      </c>
      <c r="DD211" t="s">
        <v>173</v>
      </c>
      <c r="DE211" t="s">
        <v>476</v>
      </c>
      <c r="DF211" t="s">
        <v>172</v>
      </c>
      <c r="DG211" t="s">
        <v>596</v>
      </c>
      <c r="DH211" t="s">
        <v>173</v>
      </c>
    </row>
    <row r="212" spans="1:112">
      <c r="A212">
        <v>73</v>
      </c>
      <c r="B212" t="s">
        <v>597</v>
      </c>
      <c r="C212" t="s">
        <v>598</v>
      </c>
      <c r="D212">
        <v>2024</v>
      </c>
      <c r="E212" t="s">
        <v>599</v>
      </c>
      <c r="F212" t="s">
        <v>600</v>
      </c>
      <c r="G212" t="s">
        <v>454</v>
      </c>
      <c r="H212">
        <v>1</v>
      </c>
      <c r="I212" t="s">
        <v>173</v>
      </c>
      <c r="J212" t="s">
        <v>601</v>
      </c>
      <c r="K212" t="s">
        <v>527</v>
      </c>
      <c r="L212" t="s">
        <v>524</v>
      </c>
      <c r="M212" t="s">
        <v>454</v>
      </c>
      <c r="N212" t="s">
        <v>454</v>
      </c>
      <c r="O212" t="s">
        <v>458</v>
      </c>
      <c r="P212">
        <v>10</v>
      </c>
      <c r="Q212" t="s">
        <v>459</v>
      </c>
      <c r="R212">
        <v>120</v>
      </c>
      <c r="S212">
        <v>50</v>
      </c>
      <c r="T212">
        <v>5</v>
      </c>
      <c r="U212" t="s">
        <v>173</v>
      </c>
      <c r="V212" t="s">
        <v>173</v>
      </c>
      <c r="W212" t="s">
        <v>173</v>
      </c>
      <c r="X212" t="s">
        <v>173</v>
      </c>
      <c r="Y212" t="s">
        <v>173</v>
      </c>
      <c r="Z212" t="s">
        <v>173</v>
      </c>
      <c r="AA212" t="s">
        <v>173</v>
      </c>
      <c r="AB212" t="s">
        <v>173</v>
      </c>
      <c r="AC212" t="s">
        <v>173</v>
      </c>
      <c r="AD212" t="s">
        <v>173</v>
      </c>
      <c r="AE212" t="s">
        <v>173</v>
      </c>
      <c r="AF212" t="s">
        <v>173</v>
      </c>
      <c r="AG212" t="s">
        <v>173</v>
      </c>
      <c r="AH212" t="s">
        <v>173</v>
      </c>
      <c r="AI212" t="s">
        <v>173</v>
      </c>
      <c r="AJ212" t="s">
        <v>173</v>
      </c>
      <c r="AK212" t="s">
        <v>173</v>
      </c>
      <c r="AL212" t="s">
        <v>173</v>
      </c>
      <c r="AM212" t="s">
        <v>173</v>
      </c>
      <c r="AN212" t="s">
        <v>173</v>
      </c>
      <c r="AO212" t="s">
        <v>173</v>
      </c>
      <c r="AP212" t="s">
        <v>173</v>
      </c>
      <c r="AQ212" t="s">
        <v>173</v>
      </c>
      <c r="AR212" t="s">
        <v>173</v>
      </c>
      <c r="AS212" t="s">
        <v>173</v>
      </c>
      <c r="AT212" t="s">
        <v>173</v>
      </c>
      <c r="AU212" t="s">
        <v>173</v>
      </c>
      <c r="AV212" t="s">
        <v>173</v>
      </c>
      <c r="AW212" t="s">
        <v>173</v>
      </c>
      <c r="AX212" t="s">
        <v>173</v>
      </c>
      <c r="AY212" t="s">
        <v>173</v>
      </c>
      <c r="AZ212" t="s">
        <v>173</v>
      </c>
      <c r="BA212">
        <v>2.11</v>
      </c>
      <c r="BB212">
        <v>0.32</v>
      </c>
      <c r="BC212" t="s">
        <v>475</v>
      </c>
      <c r="BD212">
        <f>_xlfn.XLOOKUP(Table7[[#This Row],[WVP_unit]],ConversionFactors!$B$3:$B$10,ConversionFactors!$S$3:$S$10)</f>
        <v>8640000000000000</v>
      </c>
      <c r="BE212">
        <f>Table7[[#This Row],[WVP_value]]*Table7[[#This Row],[WVP_conversion_factor]]</f>
        <v>1.82304E+16</v>
      </c>
      <c r="BF212">
        <f>Table7[[#This Row],[WVP_SD]]*Table7[[#This Row],[WVP_conversion_factor]]</f>
        <v>2764800000000000</v>
      </c>
      <c r="BG212" t="s">
        <v>461</v>
      </c>
      <c r="BH212">
        <v>30</v>
      </c>
      <c r="BI212">
        <v>100</v>
      </c>
      <c r="BJ212">
        <f>10^(8.07131-1730.63/(233.426+Table7[[#This Row],[WVP_temperature_°C]]))*0.00133322368</f>
        <v>4.2316742613104592E-2</v>
      </c>
      <c r="BK212">
        <f>Table7[[#This Row],[WVP_RH_%]]/100*Table7[[#This Row],[WVP_psat_bar]]</f>
        <v>4.2316742613104592E-2</v>
      </c>
      <c r="BL212">
        <v>757</v>
      </c>
      <c r="BM212">
        <v>94</v>
      </c>
      <c r="BN212" t="s">
        <v>538</v>
      </c>
      <c r="BO212">
        <f>_xlfn.XLOOKUP(Table7[[#This Row],[WVTR_unit]],ConversionFactors!$B$11:$B$12,ConversionFactors!$S$11:$S$12)</f>
        <v>86400</v>
      </c>
      <c r="BP212">
        <f>Table7[[#This Row],[WVTR_value]]*Table7[[#This Row],[WVTR_conversion_factor]]*Table7[[#This Row],[Film_thickness_µm]]/100</f>
        <v>78485760</v>
      </c>
      <c r="BQ212">
        <f>Table7[[#This Row],[WVTR100_g·m-2·d-1 ]]*SQRT((Table7[[#This Row],[WVTR_SD]]/Table7[[#This Row],[WVTR_value]])^2+(Table7[[#This Row],[Film_thickness_SD_µm]]/Table7[[#This Row],[Film_thickness_µm]])^2)</f>
        <v>34123744.261238396</v>
      </c>
      <c r="BR212" t="s">
        <v>461</v>
      </c>
      <c r="BS212">
        <v>30</v>
      </c>
      <c r="BT212">
        <v>100</v>
      </c>
      <c r="BU212">
        <v>3</v>
      </c>
      <c r="BV212" t="s">
        <v>173</v>
      </c>
      <c r="BX212" t="s">
        <v>173</v>
      </c>
      <c r="BY212" t="s">
        <v>173</v>
      </c>
      <c r="BZ212" t="s">
        <v>173</v>
      </c>
      <c r="CA212" t="s">
        <v>173</v>
      </c>
      <c r="CB212" t="s">
        <v>173</v>
      </c>
      <c r="CC212" t="s">
        <v>173</v>
      </c>
      <c r="CD212" t="s">
        <v>173</v>
      </c>
      <c r="CE212" t="s">
        <v>173</v>
      </c>
      <c r="CF212" t="s">
        <v>173</v>
      </c>
      <c r="CG212" t="s">
        <v>173</v>
      </c>
      <c r="CH212" t="s">
        <v>173</v>
      </c>
      <c r="CI212" t="s">
        <v>173</v>
      </c>
      <c r="CJ212" t="s">
        <v>173</v>
      </c>
      <c r="CK212" t="s">
        <v>173</v>
      </c>
      <c r="CL212" t="s">
        <v>173</v>
      </c>
      <c r="CM212" t="s">
        <v>173</v>
      </c>
      <c r="CN212" t="s">
        <v>173</v>
      </c>
      <c r="CO212" t="s">
        <v>173</v>
      </c>
      <c r="CP212" t="s">
        <v>173</v>
      </c>
      <c r="CQ212" t="s">
        <v>173</v>
      </c>
      <c r="CR212" t="s">
        <v>173</v>
      </c>
      <c r="CS212" t="s">
        <v>173</v>
      </c>
      <c r="CT212" t="s">
        <v>173</v>
      </c>
      <c r="CU212" t="s">
        <v>173</v>
      </c>
      <c r="CV212" t="s">
        <v>173</v>
      </c>
      <c r="CW212" t="s">
        <v>173</v>
      </c>
      <c r="CX212" t="s">
        <v>173</v>
      </c>
      <c r="CY212" t="s">
        <v>173</v>
      </c>
      <c r="CZ212" t="s">
        <v>173</v>
      </c>
      <c r="DA212" t="s">
        <v>173</v>
      </c>
      <c r="DB212" t="s">
        <v>173</v>
      </c>
      <c r="DC212" t="s">
        <v>173</v>
      </c>
      <c r="DD212" t="s">
        <v>173</v>
      </c>
      <c r="DE212" t="s">
        <v>173</v>
      </c>
      <c r="DF212" t="s">
        <v>454</v>
      </c>
      <c r="DG212" t="s">
        <v>602</v>
      </c>
      <c r="DH212" t="s">
        <v>173</v>
      </c>
    </row>
    <row r="213" spans="1:112">
      <c r="A213">
        <v>80</v>
      </c>
      <c r="B213" t="s">
        <v>603</v>
      </c>
      <c r="C213" t="s">
        <v>604</v>
      </c>
      <c r="D213">
        <v>2024</v>
      </c>
      <c r="E213" t="s">
        <v>605</v>
      </c>
      <c r="F213" t="s">
        <v>606</v>
      </c>
      <c r="G213" t="s">
        <v>454</v>
      </c>
      <c r="H213">
        <v>1</v>
      </c>
      <c r="I213" t="s">
        <v>173</v>
      </c>
      <c r="J213" t="s">
        <v>607</v>
      </c>
      <c r="K213" t="s">
        <v>607</v>
      </c>
      <c r="L213" t="s">
        <v>524</v>
      </c>
      <c r="M213" t="s">
        <v>454</v>
      </c>
      <c r="N213" t="s">
        <v>454</v>
      </c>
      <c r="O213" t="s">
        <v>173</v>
      </c>
      <c r="P213" t="s">
        <v>173</v>
      </c>
      <c r="Q213" t="s">
        <v>459</v>
      </c>
      <c r="R213">
        <v>58</v>
      </c>
      <c r="S213">
        <v>12</v>
      </c>
      <c r="T213">
        <v>5</v>
      </c>
      <c r="U213" t="s">
        <v>173</v>
      </c>
      <c r="V213" t="s">
        <v>173</v>
      </c>
      <c r="W213" t="s">
        <v>173</v>
      </c>
      <c r="X213" t="s">
        <v>173</v>
      </c>
      <c r="Y213" t="s">
        <v>173</v>
      </c>
      <c r="Z213" t="s">
        <v>173</v>
      </c>
      <c r="AA213" t="s">
        <v>173</v>
      </c>
      <c r="AB213" t="s">
        <v>173</v>
      </c>
      <c r="AC213" t="s">
        <v>173</v>
      </c>
      <c r="AD213" t="s">
        <v>173</v>
      </c>
      <c r="AE213" t="s">
        <v>173</v>
      </c>
      <c r="AF213" t="s">
        <v>173</v>
      </c>
      <c r="AG213" t="s">
        <v>173</v>
      </c>
      <c r="AH213" t="s">
        <v>173</v>
      </c>
      <c r="AI213" t="s">
        <v>173</v>
      </c>
      <c r="AJ213" t="s">
        <v>173</v>
      </c>
      <c r="AK213" t="s">
        <v>173</v>
      </c>
      <c r="AL213" t="s">
        <v>173</v>
      </c>
      <c r="AM213" t="s">
        <v>173</v>
      </c>
      <c r="AN213" t="s">
        <v>173</v>
      </c>
      <c r="AO213" t="s">
        <v>173</v>
      </c>
      <c r="AP213" t="s">
        <v>173</v>
      </c>
      <c r="AQ213" t="s">
        <v>173</v>
      </c>
      <c r="AR213" t="s">
        <v>173</v>
      </c>
      <c r="AS213" t="s">
        <v>173</v>
      </c>
      <c r="AT213" t="s">
        <v>173</v>
      </c>
      <c r="AU213" t="s">
        <v>173</v>
      </c>
      <c r="AV213" t="s">
        <v>173</v>
      </c>
      <c r="AW213" t="s">
        <v>173</v>
      </c>
      <c r="AX213" t="s">
        <v>173</v>
      </c>
      <c r="AY213" t="s">
        <v>173</v>
      </c>
      <c r="AZ213" t="s">
        <v>173</v>
      </c>
      <c r="BA213">
        <v>1.1200000000000001</v>
      </c>
      <c r="BB213">
        <v>7.0000000000000007E-2</v>
      </c>
      <c r="BC213" t="s">
        <v>460</v>
      </c>
      <c r="BD213">
        <f>_xlfn.XLOOKUP(Table7[[#This Row],[WVP_unit]],ConversionFactors!$B$3:$B$10,ConversionFactors!$S$3:$S$10)</f>
        <v>2400000</v>
      </c>
      <c r="BE213">
        <f>Table7[[#This Row],[WVP_value]]*Table7[[#This Row],[WVP_conversion_factor]]</f>
        <v>2688000.0000000005</v>
      </c>
      <c r="BF213">
        <f>Table7[[#This Row],[WVP_SD]]*Table7[[#This Row],[WVP_conversion_factor]]</f>
        <v>168000.00000000003</v>
      </c>
      <c r="BG213" t="s">
        <v>461</v>
      </c>
      <c r="BH213">
        <v>23</v>
      </c>
      <c r="BI213">
        <v>50</v>
      </c>
      <c r="BJ213">
        <f>10^(8.07131-1730.63/(233.426+Table7[[#This Row],[WVP_temperature_°C]]))*0.00133322368</f>
        <v>2.8000798091486985E-2</v>
      </c>
      <c r="BK213">
        <f>Table7[[#This Row],[WVP_RH_%]]/100*Table7[[#This Row],[WVP_psat_bar]]</f>
        <v>1.4000399045743493E-2</v>
      </c>
      <c r="BL213" t="s">
        <v>173</v>
      </c>
      <c r="BM213" t="s">
        <v>173</v>
      </c>
      <c r="BN213" t="s">
        <v>173</v>
      </c>
      <c r="BO213" t="s">
        <v>173</v>
      </c>
      <c r="BP213">
        <f>Table7[[#This Row],[WVP_g·µm·m-2·d-1·bar-1]]*Table7[[#This Row],[WVP_Δp_bar]]/100</f>
        <v>376.33072634958518</v>
      </c>
      <c r="BQ213">
        <f>Table7[[#This Row],[WVP_SD_g·µm·m-2·d-1 ]]*Table7[[#This Row],[WVP_Δp_bar]]/100</f>
        <v>23.520670396849074</v>
      </c>
      <c r="BR213" t="s">
        <v>461</v>
      </c>
      <c r="BS213">
        <v>23</v>
      </c>
      <c r="BT213">
        <v>50</v>
      </c>
      <c r="BU213">
        <v>3</v>
      </c>
      <c r="BV213" t="s">
        <v>173</v>
      </c>
      <c r="BX213" t="s">
        <v>173</v>
      </c>
      <c r="BY213" t="s">
        <v>173</v>
      </c>
      <c r="BZ213" t="s">
        <v>173</v>
      </c>
      <c r="CA213" t="s">
        <v>173</v>
      </c>
      <c r="CB213" t="s">
        <v>173</v>
      </c>
      <c r="CC213" t="s">
        <v>173</v>
      </c>
      <c r="CD213" t="s">
        <v>173</v>
      </c>
      <c r="CE213" t="s">
        <v>173</v>
      </c>
      <c r="CF213" t="s">
        <v>173</v>
      </c>
      <c r="CG213" t="s">
        <v>173</v>
      </c>
      <c r="CH213" t="s">
        <v>173</v>
      </c>
      <c r="CI213" t="s">
        <v>173</v>
      </c>
      <c r="CJ213" t="s">
        <v>173</v>
      </c>
      <c r="CK213" t="s">
        <v>173</v>
      </c>
      <c r="CL213" t="s">
        <v>173</v>
      </c>
      <c r="CM213" t="s">
        <v>173</v>
      </c>
      <c r="CN213" t="s">
        <v>173</v>
      </c>
      <c r="CO213" t="s">
        <v>173</v>
      </c>
      <c r="CP213" t="s">
        <v>173</v>
      </c>
      <c r="CQ213" t="s">
        <v>173</v>
      </c>
      <c r="CR213" t="s">
        <v>173</v>
      </c>
      <c r="CS213" t="s">
        <v>173</v>
      </c>
      <c r="CT213" t="s">
        <v>173</v>
      </c>
      <c r="CU213" t="s">
        <v>173</v>
      </c>
      <c r="CV213" t="s">
        <v>173</v>
      </c>
      <c r="CW213" t="s">
        <v>173</v>
      </c>
      <c r="CX213" t="s">
        <v>173</v>
      </c>
      <c r="CY213" t="s">
        <v>173</v>
      </c>
      <c r="CZ213" t="s">
        <v>173</v>
      </c>
      <c r="DA213" t="s">
        <v>173</v>
      </c>
      <c r="DB213" t="s">
        <v>173</v>
      </c>
      <c r="DC213" t="s">
        <v>173</v>
      </c>
      <c r="DD213" t="s">
        <v>173</v>
      </c>
      <c r="DE213" t="s">
        <v>173</v>
      </c>
      <c r="DF213" t="s">
        <v>172</v>
      </c>
      <c r="DG213" t="s">
        <v>608</v>
      </c>
      <c r="DH213" t="s">
        <v>173</v>
      </c>
    </row>
    <row r="214" spans="1:112">
      <c r="A214">
        <v>80</v>
      </c>
      <c r="B214" t="s">
        <v>603</v>
      </c>
      <c r="C214" t="s">
        <v>604</v>
      </c>
      <c r="D214">
        <v>2024</v>
      </c>
      <c r="E214" t="s">
        <v>605</v>
      </c>
      <c r="F214" t="s">
        <v>606</v>
      </c>
      <c r="G214" t="s">
        <v>454</v>
      </c>
      <c r="H214">
        <v>1</v>
      </c>
      <c r="I214" t="s">
        <v>173</v>
      </c>
      <c r="J214" t="s">
        <v>607</v>
      </c>
      <c r="K214" t="s">
        <v>607</v>
      </c>
      <c r="L214" t="s">
        <v>524</v>
      </c>
      <c r="M214" t="s">
        <v>454</v>
      </c>
      <c r="N214" t="s">
        <v>454</v>
      </c>
      <c r="O214" t="s">
        <v>458</v>
      </c>
      <c r="P214">
        <v>30</v>
      </c>
      <c r="Q214" t="s">
        <v>459</v>
      </c>
      <c r="R214">
        <v>87</v>
      </c>
      <c r="S214">
        <v>15</v>
      </c>
      <c r="T214">
        <v>5</v>
      </c>
      <c r="U214" t="s">
        <v>173</v>
      </c>
      <c r="V214" t="s">
        <v>173</v>
      </c>
      <c r="W214" t="s">
        <v>173</v>
      </c>
      <c r="X214" t="s">
        <v>173</v>
      </c>
      <c r="Y214" t="s">
        <v>173</v>
      </c>
      <c r="Z214" t="s">
        <v>173</v>
      </c>
      <c r="AA214" t="s">
        <v>173</v>
      </c>
      <c r="AB214" t="s">
        <v>173</v>
      </c>
      <c r="AC214" t="s">
        <v>173</v>
      </c>
      <c r="AD214" t="s">
        <v>173</v>
      </c>
      <c r="AE214" t="s">
        <v>173</v>
      </c>
      <c r="AF214" t="s">
        <v>173</v>
      </c>
      <c r="AG214" t="s">
        <v>173</v>
      </c>
      <c r="AH214" t="s">
        <v>173</v>
      </c>
      <c r="AI214" t="s">
        <v>173</v>
      </c>
      <c r="AJ214" t="s">
        <v>173</v>
      </c>
      <c r="AK214" t="s">
        <v>173</v>
      </c>
      <c r="AL214" t="s">
        <v>173</v>
      </c>
      <c r="AM214" t="s">
        <v>173</v>
      </c>
      <c r="AN214" t="s">
        <v>173</v>
      </c>
      <c r="AO214" t="s">
        <v>173</v>
      </c>
      <c r="AP214" t="s">
        <v>173</v>
      </c>
      <c r="AQ214" t="s">
        <v>173</v>
      </c>
      <c r="AR214" t="s">
        <v>173</v>
      </c>
      <c r="AS214" t="s">
        <v>173</v>
      </c>
      <c r="AT214" t="s">
        <v>173</v>
      </c>
      <c r="AU214" t="s">
        <v>173</v>
      </c>
      <c r="AV214" t="s">
        <v>173</v>
      </c>
      <c r="AW214" t="s">
        <v>173</v>
      </c>
      <c r="AX214" t="s">
        <v>173</v>
      </c>
      <c r="AY214" t="s">
        <v>173</v>
      </c>
      <c r="AZ214" t="s">
        <v>173</v>
      </c>
      <c r="BA214">
        <v>1.82</v>
      </c>
      <c r="BB214">
        <v>0.1</v>
      </c>
      <c r="BC214" t="s">
        <v>460</v>
      </c>
      <c r="BD214">
        <f>_xlfn.XLOOKUP(Table7[[#This Row],[WVP_unit]],ConversionFactors!$B$3:$B$10,ConversionFactors!$S$3:$S$10)</f>
        <v>2400000</v>
      </c>
      <c r="BE214">
        <f>Table7[[#This Row],[WVP_value]]*Table7[[#This Row],[WVP_conversion_factor]]</f>
        <v>4368000</v>
      </c>
      <c r="BF214">
        <f>Table7[[#This Row],[WVP_SD]]*Table7[[#This Row],[WVP_conversion_factor]]</f>
        <v>240000</v>
      </c>
      <c r="BG214" t="s">
        <v>461</v>
      </c>
      <c r="BH214">
        <v>23</v>
      </c>
      <c r="BI214">
        <v>50</v>
      </c>
      <c r="BJ214">
        <f>10^(8.07131-1730.63/(233.426+Table7[[#This Row],[WVP_temperature_°C]]))*0.00133322368</f>
        <v>2.8000798091486985E-2</v>
      </c>
      <c r="BK214">
        <f>Table7[[#This Row],[WVP_RH_%]]/100*Table7[[#This Row],[WVP_psat_bar]]</f>
        <v>1.4000399045743493E-2</v>
      </c>
      <c r="BL214" t="s">
        <v>173</v>
      </c>
      <c r="BM214" t="s">
        <v>173</v>
      </c>
      <c r="BN214" t="s">
        <v>173</v>
      </c>
      <c r="BO214" t="s">
        <v>173</v>
      </c>
      <c r="BP214">
        <f>Table7[[#This Row],[WVP_g·µm·m-2·d-1·bar-1]]*Table7[[#This Row],[WVP_Δp_bar]]/100</f>
        <v>611.53743031807574</v>
      </c>
      <c r="BQ214">
        <f>Table7[[#This Row],[WVP_SD_g·µm·m-2·d-1 ]]*Table7[[#This Row],[WVP_Δp_bar]]/100</f>
        <v>33.600957709784382</v>
      </c>
      <c r="BR214" t="s">
        <v>461</v>
      </c>
      <c r="BS214">
        <v>23</v>
      </c>
      <c r="BT214">
        <v>50</v>
      </c>
      <c r="BU214">
        <v>3</v>
      </c>
      <c r="BV214" t="s">
        <v>173</v>
      </c>
      <c r="BX214" t="s">
        <v>173</v>
      </c>
      <c r="BY214" t="s">
        <v>173</v>
      </c>
      <c r="BZ214" t="s">
        <v>173</v>
      </c>
      <c r="CA214" t="s">
        <v>173</v>
      </c>
      <c r="CB214" t="s">
        <v>173</v>
      </c>
      <c r="CC214" t="s">
        <v>173</v>
      </c>
      <c r="CD214" t="s">
        <v>173</v>
      </c>
      <c r="CE214" t="s">
        <v>173</v>
      </c>
      <c r="CF214" t="s">
        <v>173</v>
      </c>
      <c r="CG214" t="s">
        <v>173</v>
      </c>
      <c r="CH214" t="s">
        <v>173</v>
      </c>
      <c r="CI214" t="s">
        <v>173</v>
      </c>
      <c r="CJ214" t="s">
        <v>173</v>
      </c>
      <c r="CK214" t="s">
        <v>173</v>
      </c>
      <c r="CL214" t="s">
        <v>173</v>
      </c>
      <c r="CM214" t="s">
        <v>173</v>
      </c>
      <c r="CN214" t="s">
        <v>173</v>
      </c>
      <c r="CO214" t="s">
        <v>173</v>
      </c>
      <c r="CP214" t="s">
        <v>173</v>
      </c>
      <c r="CQ214" t="s">
        <v>173</v>
      </c>
      <c r="CR214" t="s">
        <v>173</v>
      </c>
      <c r="CS214" t="s">
        <v>173</v>
      </c>
      <c r="CT214" t="s">
        <v>173</v>
      </c>
      <c r="CU214" t="s">
        <v>173</v>
      </c>
      <c r="CV214" t="s">
        <v>173</v>
      </c>
      <c r="CW214" t="s">
        <v>173</v>
      </c>
      <c r="CX214" t="s">
        <v>173</v>
      </c>
      <c r="CY214" t="s">
        <v>173</v>
      </c>
      <c r="CZ214" t="s">
        <v>173</v>
      </c>
      <c r="DA214" t="s">
        <v>173</v>
      </c>
      <c r="DB214" t="s">
        <v>173</v>
      </c>
      <c r="DC214" t="s">
        <v>173</v>
      </c>
      <c r="DD214" t="s">
        <v>173</v>
      </c>
      <c r="DE214" t="s">
        <v>173</v>
      </c>
      <c r="DF214" t="s">
        <v>172</v>
      </c>
      <c r="DG214" t="s">
        <v>608</v>
      </c>
      <c r="DH214" t="s">
        <v>173</v>
      </c>
    </row>
    <row r="215" spans="1:112">
      <c r="A215">
        <v>80</v>
      </c>
      <c r="B215" t="s">
        <v>603</v>
      </c>
      <c r="C215" t="s">
        <v>604</v>
      </c>
      <c r="D215">
        <v>2024</v>
      </c>
      <c r="E215" t="s">
        <v>605</v>
      </c>
      <c r="F215" t="s">
        <v>606</v>
      </c>
      <c r="G215" t="s">
        <v>454</v>
      </c>
      <c r="H215">
        <v>1</v>
      </c>
      <c r="I215" t="s">
        <v>173</v>
      </c>
      <c r="J215" t="s">
        <v>607</v>
      </c>
      <c r="K215" t="s">
        <v>607</v>
      </c>
      <c r="L215" t="s">
        <v>524</v>
      </c>
      <c r="M215" t="s">
        <v>454</v>
      </c>
      <c r="N215" t="s">
        <v>454</v>
      </c>
      <c r="O215" t="s">
        <v>530</v>
      </c>
      <c r="P215">
        <v>30</v>
      </c>
      <c r="Q215" t="s">
        <v>459</v>
      </c>
      <c r="R215">
        <v>75</v>
      </c>
      <c r="S215">
        <v>19</v>
      </c>
      <c r="T215">
        <v>5</v>
      </c>
      <c r="U215" t="s">
        <v>173</v>
      </c>
      <c r="V215" t="s">
        <v>173</v>
      </c>
      <c r="W215" t="s">
        <v>173</v>
      </c>
      <c r="X215" t="s">
        <v>173</v>
      </c>
      <c r="Y215" t="s">
        <v>173</v>
      </c>
      <c r="Z215" t="s">
        <v>173</v>
      </c>
      <c r="AA215" t="s">
        <v>173</v>
      </c>
      <c r="AB215" t="s">
        <v>173</v>
      </c>
      <c r="AC215" t="s">
        <v>173</v>
      </c>
      <c r="AD215" t="s">
        <v>173</v>
      </c>
      <c r="AE215" t="s">
        <v>173</v>
      </c>
      <c r="AF215" t="s">
        <v>173</v>
      </c>
      <c r="AG215" t="s">
        <v>173</v>
      </c>
      <c r="AH215" t="s">
        <v>173</v>
      </c>
      <c r="AI215" t="s">
        <v>173</v>
      </c>
      <c r="AJ215" t="s">
        <v>173</v>
      </c>
      <c r="AK215" t="s">
        <v>173</v>
      </c>
      <c r="AL215" t="s">
        <v>173</v>
      </c>
      <c r="AM215" t="s">
        <v>173</v>
      </c>
      <c r="AN215" t="s">
        <v>173</v>
      </c>
      <c r="AO215" t="s">
        <v>173</v>
      </c>
      <c r="AP215" t="s">
        <v>173</v>
      </c>
      <c r="AQ215" t="s">
        <v>173</v>
      </c>
      <c r="AR215" t="s">
        <v>173</v>
      </c>
      <c r="AS215" t="s">
        <v>173</v>
      </c>
      <c r="AT215" t="s">
        <v>173</v>
      </c>
      <c r="AU215" t="s">
        <v>173</v>
      </c>
      <c r="AV215" t="s">
        <v>173</v>
      </c>
      <c r="AW215" t="s">
        <v>173</v>
      </c>
      <c r="AX215" t="s">
        <v>173</v>
      </c>
      <c r="AY215" t="s">
        <v>173</v>
      </c>
      <c r="AZ215" t="s">
        <v>173</v>
      </c>
      <c r="BA215">
        <v>1.31</v>
      </c>
      <c r="BB215">
        <v>0.01</v>
      </c>
      <c r="BC215" t="s">
        <v>460</v>
      </c>
      <c r="BD215">
        <f>_xlfn.XLOOKUP(Table7[[#This Row],[WVP_unit]],ConversionFactors!$B$3:$B$10,ConversionFactors!$S$3:$S$10)</f>
        <v>2400000</v>
      </c>
      <c r="BE215">
        <f>Table7[[#This Row],[WVP_value]]*Table7[[#This Row],[WVP_conversion_factor]]</f>
        <v>3144000</v>
      </c>
      <c r="BF215">
        <f>Table7[[#This Row],[WVP_SD]]*Table7[[#This Row],[WVP_conversion_factor]]</f>
        <v>24000</v>
      </c>
      <c r="BG215" t="s">
        <v>461</v>
      </c>
      <c r="BH215">
        <v>23</v>
      </c>
      <c r="BI215">
        <v>50</v>
      </c>
      <c r="BJ215">
        <f>10^(8.07131-1730.63/(233.426+Table7[[#This Row],[WVP_temperature_°C]]))*0.00133322368</f>
        <v>2.8000798091486985E-2</v>
      </c>
      <c r="BK215">
        <f>Table7[[#This Row],[WVP_RH_%]]/100*Table7[[#This Row],[WVP_psat_bar]]</f>
        <v>1.4000399045743493E-2</v>
      </c>
      <c r="BL215" t="s">
        <v>173</v>
      </c>
      <c r="BM215" t="s">
        <v>173</v>
      </c>
      <c r="BN215" t="s">
        <v>173</v>
      </c>
      <c r="BO215" t="s">
        <v>173</v>
      </c>
      <c r="BP215">
        <f>Table7[[#This Row],[WVP_g·µm·m-2·d-1·bar-1]]*Table7[[#This Row],[WVP_Δp_bar]]/100</f>
        <v>440.17254599817539</v>
      </c>
      <c r="BQ215">
        <f>Table7[[#This Row],[WVP_SD_g·µm·m-2·d-1 ]]*Table7[[#This Row],[WVP_Δp_bar]]/100</f>
        <v>3.3600957709784383</v>
      </c>
      <c r="BR215" t="s">
        <v>461</v>
      </c>
      <c r="BS215">
        <v>23</v>
      </c>
      <c r="BT215">
        <v>50</v>
      </c>
      <c r="BU215">
        <v>3</v>
      </c>
      <c r="BV215" t="s">
        <v>173</v>
      </c>
      <c r="BX215" t="s">
        <v>173</v>
      </c>
      <c r="BY215" t="s">
        <v>173</v>
      </c>
      <c r="BZ215" t="s">
        <v>173</v>
      </c>
      <c r="CA215" t="s">
        <v>173</v>
      </c>
      <c r="CB215" t="s">
        <v>173</v>
      </c>
      <c r="CC215" t="s">
        <v>173</v>
      </c>
      <c r="CD215" t="s">
        <v>173</v>
      </c>
      <c r="CE215" t="s">
        <v>173</v>
      </c>
      <c r="CF215" t="s">
        <v>173</v>
      </c>
      <c r="CG215" t="s">
        <v>173</v>
      </c>
      <c r="CH215" t="s">
        <v>173</v>
      </c>
      <c r="CI215" t="s">
        <v>173</v>
      </c>
      <c r="CJ215" t="s">
        <v>173</v>
      </c>
      <c r="CK215" t="s">
        <v>173</v>
      </c>
      <c r="CL215" t="s">
        <v>173</v>
      </c>
      <c r="CM215" t="s">
        <v>173</v>
      </c>
      <c r="CN215" t="s">
        <v>173</v>
      </c>
      <c r="CO215" t="s">
        <v>173</v>
      </c>
      <c r="CP215" t="s">
        <v>173</v>
      </c>
      <c r="CQ215" t="s">
        <v>173</v>
      </c>
      <c r="CR215" t="s">
        <v>173</v>
      </c>
      <c r="CS215" t="s">
        <v>173</v>
      </c>
      <c r="CT215" t="s">
        <v>173</v>
      </c>
      <c r="CU215" t="s">
        <v>173</v>
      </c>
      <c r="CV215" t="s">
        <v>173</v>
      </c>
      <c r="CW215" t="s">
        <v>173</v>
      </c>
      <c r="CX215" t="s">
        <v>173</v>
      </c>
      <c r="CY215" t="s">
        <v>173</v>
      </c>
      <c r="CZ215" t="s">
        <v>173</v>
      </c>
      <c r="DA215" t="s">
        <v>173</v>
      </c>
      <c r="DB215" t="s">
        <v>173</v>
      </c>
      <c r="DC215" t="s">
        <v>173</v>
      </c>
      <c r="DD215" t="s">
        <v>173</v>
      </c>
      <c r="DE215" t="s">
        <v>173</v>
      </c>
      <c r="DF215" t="s">
        <v>172</v>
      </c>
      <c r="DG215" t="s">
        <v>608</v>
      </c>
      <c r="DH215" t="s">
        <v>173</v>
      </c>
    </row>
    <row r="216" spans="1:112">
      <c r="A216">
        <v>80</v>
      </c>
      <c r="B216" t="s">
        <v>603</v>
      </c>
      <c r="C216" t="s">
        <v>604</v>
      </c>
      <c r="D216">
        <v>2024</v>
      </c>
      <c r="E216" t="s">
        <v>605</v>
      </c>
      <c r="F216" t="s">
        <v>606</v>
      </c>
      <c r="G216" t="s">
        <v>454</v>
      </c>
      <c r="H216">
        <v>1</v>
      </c>
      <c r="I216" t="s">
        <v>173</v>
      </c>
      <c r="J216" t="s">
        <v>607</v>
      </c>
      <c r="K216" t="s">
        <v>607</v>
      </c>
      <c r="L216" t="s">
        <v>524</v>
      </c>
      <c r="M216" t="s">
        <v>454</v>
      </c>
      <c r="N216" t="s">
        <v>454</v>
      </c>
      <c r="O216" t="s">
        <v>609</v>
      </c>
      <c r="P216">
        <v>30</v>
      </c>
      <c r="Q216" t="s">
        <v>459</v>
      </c>
      <c r="R216">
        <v>70</v>
      </c>
      <c r="S216">
        <v>23</v>
      </c>
      <c r="T216">
        <v>5</v>
      </c>
      <c r="U216" t="s">
        <v>173</v>
      </c>
      <c r="V216" t="s">
        <v>173</v>
      </c>
      <c r="W216" t="s">
        <v>173</v>
      </c>
      <c r="X216" t="s">
        <v>173</v>
      </c>
      <c r="Y216" t="s">
        <v>173</v>
      </c>
      <c r="Z216" t="s">
        <v>173</v>
      </c>
      <c r="AA216" t="s">
        <v>173</v>
      </c>
      <c r="AB216" t="s">
        <v>173</v>
      </c>
      <c r="AC216" t="s">
        <v>173</v>
      </c>
      <c r="AD216" t="s">
        <v>173</v>
      </c>
      <c r="AE216" t="s">
        <v>173</v>
      </c>
      <c r="AF216" t="s">
        <v>173</v>
      </c>
      <c r="AG216" t="s">
        <v>173</v>
      </c>
      <c r="AH216" t="s">
        <v>173</v>
      </c>
      <c r="AI216" t="s">
        <v>173</v>
      </c>
      <c r="AJ216" t="s">
        <v>173</v>
      </c>
      <c r="AK216" t="s">
        <v>173</v>
      </c>
      <c r="AL216" t="s">
        <v>173</v>
      </c>
      <c r="AM216" t="s">
        <v>173</v>
      </c>
      <c r="AN216" t="s">
        <v>173</v>
      </c>
      <c r="AO216" t="s">
        <v>173</v>
      </c>
      <c r="AP216" t="s">
        <v>173</v>
      </c>
      <c r="AQ216" t="s">
        <v>173</v>
      </c>
      <c r="AR216" t="s">
        <v>173</v>
      </c>
      <c r="AS216" t="s">
        <v>173</v>
      </c>
      <c r="AT216" t="s">
        <v>173</v>
      </c>
      <c r="AU216" t="s">
        <v>173</v>
      </c>
      <c r="AV216" t="s">
        <v>173</v>
      </c>
      <c r="AW216" t="s">
        <v>173</v>
      </c>
      <c r="AX216" t="s">
        <v>173</v>
      </c>
      <c r="AY216" t="s">
        <v>173</v>
      </c>
      <c r="AZ216" t="s">
        <v>173</v>
      </c>
      <c r="BA216">
        <v>1.3</v>
      </c>
      <c r="BB216">
        <v>0.06</v>
      </c>
      <c r="BC216" t="s">
        <v>460</v>
      </c>
      <c r="BD216">
        <f>_xlfn.XLOOKUP(Table7[[#This Row],[WVP_unit]],ConversionFactors!$B$3:$B$10,ConversionFactors!$S$3:$S$10)</f>
        <v>2400000</v>
      </c>
      <c r="BE216">
        <f>Table7[[#This Row],[WVP_value]]*Table7[[#This Row],[WVP_conversion_factor]]</f>
        <v>3120000</v>
      </c>
      <c r="BF216">
        <f>Table7[[#This Row],[WVP_SD]]*Table7[[#This Row],[WVP_conversion_factor]]</f>
        <v>144000</v>
      </c>
      <c r="BG216" t="s">
        <v>461</v>
      </c>
      <c r="BH216">
        <v>23</v>
      </c>
      <c r="BI216">
        <v>50</v>
      </c>
      <c r="BJ216">
        <f>10^(8.07131-1730.63/(233.426+Table7[[#This Row],[WVP_temperature_°C]]))*0.00133322368</f>
        <v>2.8000798091486985E-2</v>
      </c>
      <c r="BK216">
        <f>Table7[[#This Row],[WVP_RH_%]]/100*Table7[[#This Row],[WVP_psat_bar]]</f>
        <v>1.4000399045743493E-2</v>
      </c>
      <c r="BL216" t="s">
        <v>173</v>
      </c>
      <c r="BM216" t="s">
        <v>173</v>
      </c>
      <c r="BN216" t="s">
        <v>173</v>
      </c>
      <c r="BO216" t="s">
        <v>173</v>
      </c>
      <c r="BP216">
        <f>Table7[[#This Row],[WVP_g·µm·m-2·d-1·bar-1]]*Table7[[#This Row],[WVP_Δp_bar]]/100</f>
        <v>436.81245022719696</v>
      </c>
      <c r="BQ216">
        <f>Table7[[#This Row],[WVP_SD_g·µm·m-2·d-1 ]]*Table7[[#This Row],[WVP_Δp_bar]]/100</f>
        <v>20.16057462587063</v>
      </c>
      <c r="BR216" t="s">
        <v>461</v>
      </c>
      <c r="BS216">
        <v>23</v>
      </c>
      <c r="BT216">
        <v>50</v>
      </c>
      <c r="BU216">
        <v>3</v>
      </c>
      <c r="BV216" t="s">
        <v>173</v>
      </c>
      <c r="BX216" t="s">
        <v>173</v>
      </c>
      <c r="BY216" t="s">
        <v>173</v>
      </c>
      <c r="BZ216" t="s">
        <v>173</v>
      </c>
      <c r="CA216" t="s">
        <v>173</v>
      </c>
      <c r="CB216" t="s">
        <v>173</v>
      </c>
      <c r="CC216" t="s">
        <v>173</v>
      </c>
      <c r="CD216" t="s">
        <v>173</v>
      </c>
      <c r="CE216" t="s">
        <v>173</v>
      </c>
      <c r="CF216" t="s">
        <v>173</v>
      </c>
      <c r="CG216" t="s">
        <v>173</v>
      </c>
      <c r="CH216" t="s">
        <v>173</v>
      </c>
      <c r="CI216" t="s">
        <v>173</v>
      </c>
      <c r="CJ216" t="s">
        <v>173</v>
      </c>
      <c r="CK216" t="s">
        <v>173</v>
      </c>
      <c r="CL216" t="s">
        <v>173</v>
      </c>
      <c r="CM216" t="s">
        <v>173</v>
      </c>
      <c r="CN216" t="s">
        <v>173</v>
      </c>
      <c r="CO216" t="s">
        <v>173</v>
      </c>
      <c r="CP216" t="s">
        <v>173</v>
      </c>
      <c r="CQ216" t="s">
        <v>173</v>
      </c>
      <c r="CR216" t="s">
        <v>173</v>
      </c>
      <c r="CS216" t="s">
        <v>173</v>
      </c>
      <c r="CT216" t="s">
        <v>173</v>
      </c>
      <c r="CU216" t="s">
        <v>173</v>
      </c>
      <c r="CV216" t="s">
        <v>173</v>
      </c>
      <c r="CW216" t="s">
        <v>173</v>
      </c>
      <c r="CX216" t="s">
        <v>173</v>
      </c>
      <c r="CY216" t="s">
        <v>173</v>
      </c>
      <c r="CZ216" t="s">
        <v>173</v>
      </c>
      <c r="DA216" t="s">
        <v>173</v>
      </c>
      <c r="DB216" t="s">
        <v>173</v>
      </c>
      <c r="DC216" t="s">
        <v>173</v>
      </c>
      <c r="DD216" t="s">
        <v>173</v>
      </c>
      <c r="DE216" t="s">
        <v>173</v>
      </c>
      <c r="DF216" t="s">
        <v>172</v>
      </c>
      <c r="DG216" t="s">
        <v>608</v>
      </c>
      <c r="DH216" t="s">
        <v>173</v>
      </c>
    </row>
    <row r="217" spans="1:112">
      <c r="A217">
        <v>80</v>
      </c>
      <c r="B217" t="s">
        <v>603</v>
      </c>
      <c r="C217" t="s">
        <v>604</v>
      </c>
      <c r="D217">
        <v>2024</v>
      </c>
      <c r="E217" t="s">
        <v>605</v>
      </c>
      <c r="F217" t="s">
        <v>606</v>
      </c>
      <c r="G217" t="s">
        <v>454</v>
      </c>
      <c r="H217">
        <v>1</v>
      </c>
      <c r="I217" t="s">
        <v>173</v>
      </c>
      <c r="J217" t="s">
        <v>173</v>
      </c>
      <c r="K217" t="s">
        <v>173</v>
      </c>
      <c r="L217" t="s">
        <v>173</v>
      </c>
      <c r="M217" t="s">
        <v>173</v>
      </c>
      <c r="N217" t="s">
        <v>173</v>
      </c>
      <c r="O217" t="s">
        <v>173</v>
      </c>
      <c r="P217" t="s">
        <v>173</v>
      </c>
      <c r="Q217" t="s">
        <v>173</v>
      </c>
      <c r="R217" t="s">
        <v>173</v>
      </c>
      <c r="S217" t="s">
        <v>173</v>
      </c>
      <c r="T217" t="s">
        <v>173</v>
      </c>
      <c r="U217" t="s">
        <v>173</v>
      </c>
      <c r="V217" t="s">
        <v>173</v>
      </c>
      <c r="W217" t="s">
        <v>173</v>
      </c>
      <c r="X217" t="s">
        <v>173</v>
      </c>
      <c r="Y217" t="s">
        <v>173</v>
      </c>
      <c r="Z217" t="s">
        <v>173</v>
      </c>
      <c r="AA217" t="s">
        <v>173</v>
      </c>
      <c r="AB217" t="s">
        <v>173</v>
      </c>
      <c r="AC217" t="s">
        <v>173</v>
      </c>
      <c r="AD217" t="s">
        <v>173</v>
      </c>
      <c r="AE217" t="s">
        <v>173</v>
      </c>
      <c r="AF217" t="s">
        <v>173</v>
      </c>
      <c r="AG217" t="s">
        <v>173</v>
      </c>
      <c r="AH217" t="s">
        <v>173</v>
      </c>
      <c r="AI217" t="s">
        <v>173</v>
      </c>
      <c r="AJ217" t="s">
        <v>173</v>
      </c>
      <c r="AK217" t="s">
        <v>173</v>
      </c>
      <c r="AL217" t="s">
        <v>173</v>
      </c>
      <c r="AM217" t="s">
        <v>173</v>
      </c>
      <c r="AN217" t="s">
        <v>173</v>
      </c>
      <c r="AO217" t="s">
        <v>173</v>
      </c>
      <c r="AP217" t="s">
        <v>173</v>
      </c>
      <c r="AQ217" t="s">
        <v>173</v>
      </c>
      <c r="AR217" t="s">
        <v>173</v>
      </c>
      <c r="AS217" t="s">
        <v>173</v>
      </c>
      <c r="AT217" t="s">
        <v>173</v>
      </c>
      <c r="AU217" t="s">
        <v>173</v>
      </c>
      <c r="AV217" t="s">
        <v>173</v>
      </c>
      <c r="AW217" t="s">
        <v>173</v>
      </c>
      <c r="AX217" t="s">
        <v>173</v>
      </c>
      <c r="AY217" t="s">
        <v>173</v>
      </c>
      <c r="AZ217" t="s">
        <v>173</v>
      </c>
      <c r="BA217" t="s">
        <v>173</v>
      </c>
      <c r="BB217" t="s">
        <v>173</v>
      </c>
      <c r="BC217" t="s">
        <v>173</v>
      </c>
      <c r="BD217" t="s">
        <v>173</v>
      </c>
      <c r="BE217" t="s">
        <v>173</v>
      </c>
      <c r="BF217" t="s">
        <v>173</v>
      </c>
      <c r="BG217" t="s">
        <v>173</v>
      </c>
      <c r="BH217" t="s">
        <v>173</v>
      </c>
      <c r="BI217" t="s">
        <v>173</v>
      </c>
      <c r="BJ217" t="s">
        <v>173</v>
      </c>
      <c r="BK217" t="s">
        <v>173</v>
      </c>
      <c r="BL217" t="s">
        <v>173</v>
      </c>
      <c r="BM217" t="s">
        <v>173</v>
      </c>
      <c r="BN217" t="s">
        <v>173</v>
      </c>
      <c r="BO217" t="s">
        <v>173</v>
      </c>
      <c r="BP217" t="s">
        <v>173</v>
      </c>
      <c r="BQ217" t="s">
        <v>173</v>
      </c>
      <c r="BR217" t="s">
        <v>173</v>
      </c>
      <c r="BS217" t="s">
        <v>173</v>
      </c>
      <c r="BT217" t="s">
        <v>173</v>
      </c>
      <c r="BU217" t="s">
        <v>173</v>
      </c>
      <c r="BV217" t="s">
        <v>472</v>
      </c>
      <c r="BW217" t="s">
        <v>473</v>
      </c>
      <c r="BX217" t="s">
        <v>173</v>
      </c>
      <c r="BY217" t="s">
        <v>173</v>
      </c>
      <c r="BZ217" t="s">
        <v>173</v>
      </c>
      <c r="CA217" t="s">
        <v>173</v>
      </c>
      <c r="CB217" t="s">
        <v>173</v>
      </c>
      <c r="CC217" t="s">
        <v>173</v>
      </c>
      <c r="CD217" t="s">
        <v>173</v>
      </c>
      <c r="CE217" t="s">
        <v>173</v>
      </c>
      <c r="CF217" t="s">
        <v>173</v>
      </c>
      <c r="CG217" t="s">
        <v>173</v>
      </c>
      <c r="CH217" t="s">
        <v>173</v>
      </c>
      <c r="CI217" t="s">
        <v>173</v>
      </c>
      <c r="CJ217" t="s">
        <v>173</v>
      </c>
      <c r="CK217" t="s">
        <v>173</v>
      </c>
      <c r="CL217" t="s">
        <v>173</v>
      </c>
      <c r="CM217" t="s">
        <v>173</v>
      </c>
      <c r="CN217" t="s">
        <v>173</v>
      </c>
      <c r="CO217" t="s">
        <v>173</v>
      </c>
      <c r="CP217" t="s">
        <v>173</v>
      </c>
      <c r="CQ217">
        <v>0.03</v>
      </c>
      <c r="CR217" t="s">
        <v>460</v>
      </c>
      <c r="CS217">
        <f>_xlfn.XLOOKUP(Table7[[#This Row],[Reference_WVP_unit]],ConversionFactors!$B$3:$B$10,ConversionFactors!$S$3:$S$10)</f>
        <v>2400000</v>
      </c>
      <c r="CT217">
        <f>Table7[[#This Row],[Reference_WVP_value]]*Table7[[#This Row],[Reference_WVP_conversion_factor]]</f>
        <v>72000</v>
      </c>
      <c r="CU217" t="s">
        <v>173</v>
      </c>
      <c r="CV217" t="s">
        <v>173</v>
      </c>
      <c r="CW217" t="s">
        <v>173</v>
      </c>
      <c r="CX217" t="s">
        <v>173</v>
      </c>
      <c r="CY217" t="s">
        <v>173</v>
      </c>
      <c r="CZ217" t="s">
        <v>173</v>
      </c>
      <c r="DA217" t="s">
        <v>173</v>
      </c>
      <c r="DB217" t="s">
        <v>173</v>
      </c>
      <c r="DC217" t="str">
        <f>Table7[[#This Row],[Reference_WVP_temperature°C]]</f>
        <v>NaN</v>
      </c>
      <c r="DD217" t="str">
        <f>Table7[[#This Row],[Reference_WVP_RH_%]]</f>
        <v>NaN</v>
      </c>
      <c r="DE217" t="s">
        <v>476</v>
      </c>
      <c r="DF217" t="s">
        <v>172</v>
      </c>
      <c r="DG217" t="s">
        <v>608</v>
      </c>
      <c r="DH217" t="s">
        <v>173</v>
      </c>
    </row>
    <row r="218" spans="1:112">
      <c r="A218">
        <v>81</v>
      </c>
      <c r="B218" t="s">
        <v>610</v>
      </c>
      <c r="C218" t="s">
        <v>611</v>
      </c>
      <c r="D218">
        <v>2024</v>
      </c>
      <c r="E218" t="s">
        <v>277</v>
      </c>
      <c r="F218" t="s">
        <v>612</v>
      </c>
      <c r="G218" t="s">
        <v>454</v>
      </c>
      <c r="H218">
        <v>0.79</v>
      </c>
      <c r="I218" t="s">
        <v>173</v>
      </c>
      <c r="J218" t="s">
        <v>495</v>
      </c>
      <c r="K218" t="s">
        <v>495</v>
      </c>
      <c r="L218" t="s">
        <v>496</v>
      </c>
      <c r="M218" t="s">
        <v>454</v>
      </c>
      <c r="N218" t="s">
        <v>454</v>
      </c>
      <c r="O218" t="s">
        <v>173</v>
      </c>
      <c r="P218" t="s">
        <v>173</v>
      </c>
      <c r="Q218" t="s">
        <v>459</v>
      </c>
      <c r="R218">
        <v>125</v>
      </c>
      <c r="S218">
        <v>10</v>
      </c>
      <c r="T218">
        <v>6</v>
      </c>
      <c r="U218" t="s">
        <v>173</v>
      </c>
      <c r="V218" t="s">
        <v>173</v>
      </c>
      <c r="W218" t="s">
        <v>173</v>
      </c>
      <c r="X218" t="s">
        <v>173</v>
      </c>
      <c r="Y218" t="s">
        <v>173</v>
      </c>
      <c r="Z218" t="s">
        <v>173</v>
      </c>
      <c r="AA218" t="s">
        <v>173</v>
      </c>
      <c r="AB218" t="s">
        <v>173</v>
      </c>
      <c r="AC218" t="s">
        <v>173</v>
      </c>
      <c r="AD218">
        <v>1.2999999999999999E-3</v>
      </c>
      <c r="AE218" t="s">
        <v>173</v>
      </c>
      <c r="AF218" t="s">
        <v>613</v>
      </c>
      <c r="AG218">
        <f>_xlfn.XLOOKUP(Table7[[#This Row],[OTR_unit]],ConversionFactors!$B$20:$B$20,ConversionFactors!$S$20:$S$20)</f>
        <v>1</v>
      </c>
      <c r="AH218">
        <v>1.2999999999999999E-3</v>
      </c>
      <c r="AI218" t="s">
        <v>173</v>
      </c>
      <c r="AJ218" t="s">
        <v>173</v>
      </c>
      <c r="AK218">
        <v>23</v>
      </c>
      <c r="AL218">
        <v>0</v>
      </c>
      <c r="AM218" t="s">
        <v>173</v>
      </c>
      <c r="AN218" t="s">
        <v>173</v>
      </c>
      <c r="AO218" t="s">
        <v>173</v>
      </c>
      <c r="AP218" t="s">
        <v>173</v>
      </c>
      <c r="AQ218" t="s">
        <v>173</v>
      </c>
      <c r="AR218" t="s">
        <v>173</v>
      </c>
      <c r="AS218" t="s">
        <v>173</v>
      </c>
      <c r="AT218" t="s">
        <v>173</v>
      </c>
      <c r="AU218" t="s">
        <v>173</v>
      </c>
      <c r="AV218" t="s">
        <v>173</v>
      </c>
      <c r="AW218" t="s">
        <v>173</v>
      </c>
      <c r="AX218" t="s">
        <v>173</v>
      </c>
      <c r="AY218" t="s">
        <v>173</v>
      </c>
      <c r="AZ218" t="s">
        <v>173</v>
      </c>
      <c r="BA218" s="3">
        <v>2.41E-7</v>
      </c>
      <c r="BB218" t="s">
        <v>173</v>
      </c>
      <c r="BC218" t="s">
        <v>614</v>
      </c>
      <c r="BD218">
        <f>_xlfn.XLOOKUP(Table7[[#This Row],[WVP_unit]],ConversionFactors!$B$3:$B$10,ConversionFactors!$S$3:$S$10)</f>
        <v>100000000000</v>
      </c>
      <c r="BE218">
        <f>Table7[[#This Row],[WVP_value]]*Table7[[#This Row],[WVP_conversion_factor]]</f>
        <v>24100</v>
      </c>
      <c r="BF218" t="s">
        <v>173</v>
      </c>
      <c r="BG218" t="s">
        <v>461</v>
      </c>
      <c r="BH218">
        <v>20</v>
      </c>
      <c r="BI218">
        <v>100</v>
      </c>
      <c r="BJ218">
        <f>10^(8.07131-1730.63/(233.426+Table7[[#This Row],[WVP_temperature_°C]]))*0.00133322368</f>
        <v>2.3295753445794164E-2</v>
      </c>
      <c r="BK218">
        <f>Table7[[#This Row],[WVP_RH_%]]/100*Table7[[#This Row],[WVP_psat_bar]]</f>
        <v>2.3295753445794164E-2</v>
      </c>
      <c r="BL218">
        <v>4.3499999999999996</v>
      </c>
      <c r="BM218" t="s">
        <v>615</v>
      </c>
      <c r="BN218" t="s">
        <v>509</v>
      </c>
      <c r="BO218">
        <f>_xlfn.XLOOKUP(Table7[[#This Row],[WVTR_unit]],ConversionFactors!$B$11:$B$12,ConversionFactors!$S$11:$S$12)</f>
        <v>1</v>
      </c>
      <c r="BP218">
        <f>Table7[[#This Row],[WVTR_value]]*Table7[[#This Row],[WVTR_conversion_factor]]*Table7[[#This Row],[Film_thickness_µm]]/100</f>
        <v>5.4375</v>
      </c>
      <c r="BQ218" t="s">
        <v>173</v>
      </c>
      <c r="BR218" t="s">
        <v>461</v>
      </c>
      <c r="BS218">
        <v>20</v>
      </c>
      <c r="BT218">
        <v>100</v>
      </c>
      <c r="BU218" t="s">
        <v>173</v>
      </c>
      <c r="BV218" t="s">
        <v>173</v>
      </c>
      <c r="BX218" t="s">
        <v>173</v>
      </c>
      <c r="BY218" t="s">
        <v>173</v>
      </c>
      <c r="BZ218" t="s">
        <v>173</v>
      </c>
      <c r="CA218" t="s">
        <v>173</v>
      </c>
      <c r="CB218" t="s">
        <v>173</v>
      </c>
      <c r="CC218" t="s">
        <v>173</v>
      </c>
      <c r="CD218" t="s">
        <v>173</v>
      </c>
      <c r="CE218" t="s">
        <v>173</v>
      </c>
      <c r="CF218" t="s">
        <v>173</v>
      </c>
      <c r="CG218" t="s">
        <v>173</v>
      </c>
      <c r="CH218" t="s">
        <v>173</v>
      </c>
      <c r="CI218" t="s">
        <v>173</v>
      </c>
      <c r="CJ218" t="s">
        <v>173</v>
      </c>
      <c r="CK218" t="s">
        <v>173</v>
      </c>
      <c r="CL218" t="s">
        <v>173</v>
      </c>
      <c r="CM218" t="s">
        <v>173</v>
      </c>
      <c r="CN218" t="s">
        <v>173</v>
      </c>
      <c r="CO218" t="s">
        <v>173</v>
      </c>
      <c r="CP218" t="s">
        <v>173</v>
      </c>
      <c r="CQ218" t="s">
        <v>173</v>
      </c>
      <c r="CR218" t="s">
        <v>173</v>
      </c>
      <c r="CS218" t="s">
        <v>173</v>
      </c>
      <c r="CT218" t="s">
        <v>173</v>
      </c>
      <c r="CU218" t="s">
        <v>173</v>
      </c>
      <c r="CV218" t="s">
        <v>173</v>
      </c>
      <c r="CW218" t="s">
        <v>173</v>
      </c>
      <c r="CX218" t="s">
        <v>173</v>
      </c>
      <c r="CY218" t="s">
        <v>173</v>
      </c>
      <c r="CZ218" t="s">
        <v>173</v>
      </c>
      <c r="DA218" t="s">
        <v>173</v>
      </c>
      <c r="DB218" t="s">
        <v>173</v>
      </c>
      <c r="DC218" t="s">
        <v>173</v>
      </c>
      <c r="DD218" t="s">
        <v>173</v>
      </c>
      <c r="DE218" t="s">
        <v>173</v>
      </c>
      <c r="DF218" t="s">
        <v>172</v>
      </c>
      <c r="DG218" t="s">
        <v>616</v>
      </c>
      <c r="DH218" t="s">
        <v>173</v>
      </c>
    </row>
    <row r="219" spans="1:112">
      <c r="A219">
        <v>93</v>
      </c>
      <c r="B219" t="s">
        <v>617</v>
      </c>
      <c r="C219" t="s">
        <v>618</v>
      </c>
      <c r="D219">
        <v>2024</v>
      </c>
      <c r="E219" t="s">
        <v>619</v>
      </c>
      <c r="F219" t="s">
        <v>620</v>
      </c>
      <c r="G219" t="s">
        <v>454</v>
      </c>
      <c r="H219">
        <v>0.86</v>
      </c>
      <c r="I219" t="s">
        <v>173</v>
      </c>
      <c r="J219" t="s">
        <v>552</v>
      </c>
      <c r="K219" t="s">
        <v>552</v>
      </c>
      <c r="L219" t="s">
        <v>524</v>
      </c>
      <c r="M219" t="s">
        <v>454</v>
      </c>
      <c r="N219" t="s">
        <v>454</v>
      </c>
      <c r="O219" t="s">
        <v>530</v>
      </c>
      <c r="P219">
        <v>40</v>
      </c>
      <c r="Q219" t="s">
        <v>459</v>
      </c>
      <c r="R219">
        <v>63</v>
      </c>
      <c r="S219">
        <v>1E-3</v>
      </c>
      <c r="T219">
        <v>3</v>
      </c>
      <c r="U219" t="s">
        <v>173</v>
      </c>
      <c r="V219" t="s">
        <v>173</v>
      </c>
      <c r="W219" t="s">
        <v>173</v>
      </c>
      <c r="X219" t="s">
        <v>173</v>
      </c>
      <c r="Y219" t="s">
        <v>173</v>
      </c>
      <c r="Z219" t="s">
        <v>173</v>
      </c>
      <c r="AA219" t="s">
        <v>173</v>
      </c>
      <c r="AB219" t="s">
        <v>173</v>
      </c>
      <c r="AC219" t="s">
        <v>173</v>
      </c>
      <c r="AD219" t="s">
        <v>173</v>
      </c>
      <c r="AE219" t="s">
        <v>173</v>
      </c>
      <c r="AF219" t="s">
        <v>173</v>
      </c>
      <c r="AG219" t="s">
        <v>173</v>
      </c>
      <c r="AH219" t="s">
        <v>173</v>
      </c>
      <c r="AI219" t="s">
        <v>173</v>
      </c>
      <c r="AJ219" t="s">
        <v>173</v>
      </c>
      <c r="AK219" t="s">
        <v>173</v>
      </c>
      <c r="AL219" t="s">
        <v>173</v>
      </c>
      <c r="AM219" t="s">
        <v>173</v>
      </c>
      <c r="AN219" t="s">
        <v>173</v>
      </c>
      <c r="AO219" t="s">
        <v>173</v>
      </c>
      <c r="AP219" t="s">
        <v>173</v>
      </c>
      <c r="AQ219" t="s">
        <v>173</v>
      </c>
      <c r="AR219" t="s">
        <v>173</v>
      </c>
      <c r="AS219" t="s">
        <v>173</v>
      </c>
      <c r="AT219" t="s">
        <v>173</v>
      </c>
      <c r="AU219" t="s">
        <v>173</v>
      </c>
      <c r="AV219" t="s">
        <v>173</v>
      </c>
      <c r="AW219" t="s">
        <v>173</v>
      </c>
      <c r="AX219" t="s">
        <v>173</v>
      </c>
      <c r="AY219" t="s">
        <v>173</v>
      </c>
      <c r="AZ219" t="s">
        <v>173</v>
      </c>
      <c r="BA219">
        <v>3.4299999999999999E-9</v>
      </c>
      <c r="BB219">
        <v>1.2999999999999999E-10</v>
      </c>
      <c r="BC219" t="s">
        <v>475</v>
      </c>
      <c r="BD219">
        <f>_xlfn.XLOOKUP(Table7[[#This Row],[WVP_unit]],ConversionFactors!$B$3:$B$10,ConversionFactors!$S$3:$S$10)</f>
        <v>8640000000000000</v>
      </c>
      <c r="BE219">
        <f>Table7[[#This Row],[WVP_value]]*Table7[[#This Row],[WVP_conversion_factor]]</f>
        <v>29635200</v>
      </c>
      <c r="BF219">
        <f>Table7[[#This Row],[WVP_SD]]*Table7[[#This Row],[WVP_conversion_factor]]</f>
        <v>1123200</v>
      </c>
      <c r="BG219" t="s">
        <v>173</v>
      </c>
      <c r="BH219">
        <v>25</v>
      </c>
      <c r="BI219">
        <v>60</v>
      </c>
      <c r="BJ219">
        <f>10^(8.07131-1730.63/(233.426+Table7[[#This Row],[WVP_temperature_°C]]))*0.00133322368</f>
        <v>3.1579287443259496E-2</v>
      </c>
      <c r="BK219">
        <f>Table7[[#This Row],[WVP_RH_%]]/100*Table7[[#This Row],[WVP_psat_bar]]</f>
        <v>1.8947572465955697E-2</v>
      </c>
      <c r="BL219" t="s">
        <v>173</v>
      </c>
      <c r="BM219" t="s">
        <v>173</v>
      </c>
      <c r="BN219" t="s">
        <v>173</v>
      </c>
      <c r="BO219" t="s">
        <v>173</v>
      </c>
      <c r="BP219">
        <f>Table7[[#This Row],[WVP_g·µm·m-2·d-1·bar-1]]*Table7[[#This Row],[WVP_Δp_bar]]/100</f>
        <v>5615.1509954309031</v>
      </c>
      <c r="BQ219">
        <f>Table7[[#This Row],[WVP_SD_g·µm·m-2·d-1 ]]*Table7[[#This Row],[WVP_Δp_bar]]/100</f>
        <v>212.8191339376144</v>
      </c>
      <c r="BR219" t="s">
        <v>173</v>
      </c>
      <c r="BS219">
        <v>25</v>
      </c>
      <c r="BT219">
        <v>60</v>
      </c>
      <c r="BU219">
        <v>3</v>
      </c>
      <c r="BV219" t="s">
        <v>173</v>
      </c>
      <c r="BX219" t="s">
        <v>173</v>
      </c>
      <c r="BY219" t="s">
        <v>173</v>
      </c>
      <c r="BZ219" t="s">
        <v>173</v>
      </c>
      <c r="CA219" t="s">
        <v>173</v>
      </c>
      <c r="CB219" t="s">
        <v>173</v>
      </c>
      <c r="CC219" t="s">
        <v>173</v>
      </c>
      <c r="CD219" t="s">
        <v>173</v>
      </c>
      <c r="CE219" t="s">
        <v>173</v>
      </c>
      <c r="CF219" t="s">
        <v>173</v>
      </c>
      <c r="CG219" t="s">
        <v>173</v>
      </c>
      <c r="CH219" t="s">
        <v>173</v>
      </c>
      <c r="CI219" t="s">
        <v>173</v>
      </c>
      <c r="CJ219" t="s">
        <v>173</v>
      </c>
      <c r="CK219" t="s">
        <v>173</v>
      </c>
      <c r="CL219" t="s">
        <v>173</v>
      </c>
      <c r="CM219" t="s">
        <v>173</v>
      </c>
      <c r="CN219" t="s">
        <v>173</v>
      </c>
      <c r="CO219" t="s">
        <v>173</v>
      </c>
      <c r="CP219" t="s">
        <v>173</v>
      </c>
      <c r="CQ219" t="s">
        <v>173</v>
      </c>
      <c r="CR219" t="s">
        <v>173</v>
      </c>
      <c r="CS219" t="s">
        <v>173</v>
      </c>
      <c r="CT219" t="s">
        <v>173</v>
      </c>
      <c r="CU219" t="s">
        <v>173</v>
      </c>
      <c r="CV219" t="s">
        <v>173</v>
      </c>
      <c r="CW219" t="s">
        <v>173</v>
      </c>
      <c r="CX219" t="s">
        <v>173</v>
      </c>
      <c r="CY219" t="s">
        <v>173</v>
      </c>
      <c r="CZ219" t="s">
        <v>173</v>
      </c>
      <c r="DA219" t="s">
        <v>173</v>
      </c>
      <c r="DB219" t="s">
        <v>173</v>
      </c>
      <c r="DC219" t="s">
        <v>173</v>
      </c>
      <c r="DD219" t="s">
        <v>173</v>
      </c>
      <c r="DE219" t="s">
        <v>173</v>
      </c>
      <c r="DF219" t="s">
        <v>172</v>
      </c>
      <c r="DG219" t="s">
        <v>621</v>
      </c>
      <c r="DH219" t="s">
        <v>173</v>
      </c>
    </row>
    <row r="220" spans="1:112">
      <c r="A220">
        <v>93</v>
      </c>
      <c r="B220" t="s">
        <v>617</v>
      </c>
      <c r="C220" t="s">
        <v>618</v>
      </c>
      <c r="D220">
        <v>2024</v>
      </c>
      <c r="E220" t="s">
        <v>619</v>
      </c>
      <c r="F220" t="s">
        <v>620</v>
      </c>
      <c r="G220" t="s">
        <v>454</v>
      </c>
      <c r="H220">
        <v>0.86</v>
      </c>
      <c r="I220" t="s">
        <v>173</v>
      </c>
      <c r="J220" t="s">
        <v>552</v>
      </c>
      <c r="K220" t="s">
        <v>552</v>
      </c>
      <c r="L220" t="s">
        <v>524</v>
      </c>
      <c r="M220" t="s">
        <v>454</v>
      </c>
      <c r="N220" t="s">
        <v>454</v>
      </c>
      <c r="O220" t="s">
        <v>622</v>
      </c>
      <c r="P220" t="s">
        <v>623</v>
      </c>
      <c r="Q220" t="s">
        <v>459</v>
      </c>
      <c r="R220">
        <v>67</v>
      </c>
      <c r="S220">
        <v>2E-3</v>
      </c>
      <c r="T220">
        <v>3</v>
      </c>
      <c r="U220" t="s">
        <v>173</v>
      </c>
      <c r="V220" t="s">
        <v>173</v>
      </c>
      <c r="W220" t="s">
        <v>173</v>
      </c>
      <c r="X220" t="s">
        <v>173</v>
      </c>
      <c r="Y220" t="s">
        <v>173</v>
      </c>
      <c r="Z220" t="s">
        <v>173</v>
      </c>
      <c r="AA220" t="s">
        <v>173</v>
      </c>
      <c r="AB220" t="s">
        <v>173</v>
      </c>
      <c r="AC220" t="s">
        <v>173</v>
      </c>
      <c r="AD220" t="s">
        <v>173</v>
      </c>
      <c r="AE220" t="s">
        <v>173</v>
      </c>
      <c r="AF220" t="s">
        <v>173</v>
      </c>
      <c r="AG220" t="s">
        <v>173</v>
      </c>
      <c r="AH220" t="s">
        <v>173</v>
      </c>
      <c r="AI220" t="s">
        <v>173</v>
      </c>
      <c r="AJ220" t="s">
        <v>173</v>
      </c>
      <c r="AK220" t="s">
        <v>173</v>
      </c>
      <c r="AL220" t="s">
        <v>173</v>
      </c>
      <c r="AM220" t="s">
        <v>173</v>
      </c>
      <c r="AN220" t="s">
        <v>173</v>
      </c>
      <c r="AO220" t="s">
        <v>173</v>
      </c>
      <c r="AP220" t="s">
        <v>173</v>
      </c>
      <c r="AQ220" t="s">
        <v>173</v>
      </c>
      <c r="AR220" t="s">
        <v>173</v>
      </c>
      <c r="AS220" t="s">
        <v>173</v>
      </c>
      <c r="AT220" t="s">
        <v>173</v>
      </c>
      <c r="AU220" t="s">
        <v>173</v>
      </c>
      <c r="AV220" t="s">
        <v>173</v>
      </c>
      <c r="AW220" t="s">
        <v>173</v>
      </c>
      <c r="AX220" t="s">
        <v>173</v>
      </c>
      <c r="AY220" t="s">
        <v>173</v>
      </c>
      <c r="AZ220" t="s">
        <v>173</v>
      </c>
      <c r="BA220">
        <v>3.3299999999999999E-9</v>
      </c>
      <c r="BB220">
        <v>5.0000000000000002E-11</v>
      </c>
      <c r="BC220" t="s">
        <v>475</v>
      </c>
      <c r="BD220">
        <f>_xlfn.XLOOKUP(Table7[[#This Row],[WVP_unit]],ConversionFactors!$B$3:$B$10,ConversionFactors!$S$3:$S$10)</f>
        <v>8640000000000000</v>
      </c>
      <c r="BE220">
        <f>Table7[[#This Row],[WVP_value]]*Table7[[#This Row],[WVP_conversion_factor]]</f>
        <v>28771200</v>
      </c>
      <c r="BF220">
        <f>Table7[[#This Row],[WVP_SD]]*Table7[[#This Row],[WVP_conversion_factor]]</f>
        <v>432000</v>
      </c>
      <c r="BG220" t="s">
        <v>173</v>
      </c>
      <c r="BH220">
        <v>25</v>
      </c>
      <c r="BI220">
        <v>60</v>
      </c>
      <c r="BJ220">
        <f>10^(8.07131-1730.63/(233.426+Table7[[#This Row],[WVP_temperature_°C]]))*0.00133322368</f>
        <v>3.1579287443259496E-2</v>
      </c>
      <c r="BK220">
        <f>Table7[[#This Row],[WVP_RH_%]]/100*Table7[[#This Row],[WVP_psat_bar]]</f>
        <v>1.8947572465955697E-2</v>
      </c>
      <c r="BL220" t="s">
        <v>173</v>
      </c>
      <c r="BM220" t="s">
        <v>173</v>
      </c>
      <c r="BN220" t="s">
        <v>173</v>
      </c>
      <c r="BO220" t="s">
        <v>173</v>
      </c>
      <c r="BP220">
        <f>Table7[[#This Row],[WVP_g·µm·m-2·d-1·bar-1]]*Table7[[#This Row],[WVP_Δp_bar]]/100</f>
        <v>5451.4439693250461</v>
      </c>
      <c r="BQ220">
        <f>Table7[[#This Row],[WVP_SD_g·µm·m-2·d-1 ]]*Table7[[#This Row],[WVP_Δp_bar]]/100</f>
        <v>81.853513052928605</v>
      </c>
      <c r="BR220" t="s">
        <v>173</v>
      </c>
      <c r="BS220">
        <v>25</v>
      </c>
      <c r="BT220">
        <v>60</v>
      </c>
      <c r="BU220">
        <v>3</v>
      </c>
      <c r="BV220" t="s">
        <v>173</v>
      </c>
      <c r="BX220" t="s">
        <v>173</v>
      </c>
      <c r="BY220" t="s">
        <v>173</v>
      </c>
      <c r="BZ220" t="s">
        <v>173</v>
      </c>
      <c r="CA220" t="s">
        <v>173</v>
      </c>
      <c r="CB220" t="s">
        <v>173</v>
      </c>
      <c r="CC220" t="s">
        <v>173</v>
      </c>
      <c r="CD220" t="s">
        <v>173</v>
      </c>
      <c r="CE220" t="s">
        <v>173</v>
      </c>
      <c r="CF220" t="s">
        <v>173</v>
      </c>
      <c r="CG220" t="s">
        <v>173</v>
      </c>
      <c r="CH220" t="s">
        <v>173</v>
      </c>
      <c r="CI220" t="s">
        <v>173</v>
      </c>
      <c r="CJ220" t="s">
        <v>173</v>
      </c>
      <c r="CK220" t="s">
        <v>173</v>
      </c>
      <c r="CL220" t="s">
        <v>173</v>
      </c>
      <c r="CM220" t="s">
        <v>173</v>
      </c>
      <c r="CN220" t="s">
        <v>173</v>
      </c>
      <c r="CO220" t="s">
        <v>173</v>
      </c>
      <c r="CP220" t="s">
        <v>173</v>
      </c>
      <c r="CQ220" t="s">
        <v>173</v>
      </c>
      <c r="CR220" t="s">
        <v>173</v>
      </c>
      <c r="CS220" t="s">
        <v>173</v>
      </c>
      <c r="CT220" t="s">
        <v>173</v>
      </c>
      <c r="CU220" t="s">
        <v>173</v>
      </c>
      <c r="CV220" t="s">
        <v>173</v>
      </c>
      <c r="CW220" t="s">
        <v>173</v>
      </c>
      <c r="CX220" t="s">
        <v>173</v>
      </c>
      <c r="CY220" t="s">
        <v>173</v>
      </c>
      <c r="CZ220" t="s">
        <v>173</v>
      </c>
      <c r="DA220" t="s">
        <v>173</v>
      </c>
      <c r="DB220" t="s">
        <v>173</v>
      </c>
      <c r="DC220" t="s">
        <v>173</v>
      </c>
      <c r="DD220" t="s">
        <v>173</v>
      </c>
      <c r="DE220" t="s">
        <v>173</v>
      </c>
      <c r="DF220" t="s">
        <v>172</v>
      </c>
      <c r="DG220" t="s">
        <v>621</v>
      </c>
      <c r="DH220" t="s">
        <v>173</v>
      </c>
    </row>
    <row r="221" spans="1:112">
      <c r="A221">
        <v>93</v>
      </c>
      <c r="B221" t="s">
        <v>617</v>
      </c>
      <c r="C221" t="s">
        <v>618</v>
      </c>
      <c r="D221">
        <v>2024</v>
      </c>
      <c r="E221" t="s">
        <v>619</v>
      </c>
      <c r="F221" t="s">
        <v>620</v>
      </c>
      <c r="G221" t="s">
        <v>454</v>
      </c>
      <c r="H221">
        <v>0.86</v>
      </c>
      <c r="I221" t="s">
        <v>173</v>
      </c>
      <c r="J221" t="s">
        <v>552</v>
      </c>
      <c r="K221" t="s">
        <v>552</v>
      </c>
      <c r="L221" t="s">
        <v>524</v>
      </c>
      <c r="M221" t="s">
        <v>454</v>
      </c>
      <c r="N221" t="s">
        <v>454</v>
      </c>
      <c r="O221" t="s">
        <v>622</v>
      </c>
      <c r="P221" t="s">
        <v>624</v>
      </c>
      <c r="Q221" t="s">
        <v>459</v>
      </c>
      <c r="R221">
        <v>68</v>
      </c>
      <c r="S221">
        <v>1E-3</v>
      </c>
      <c r="T221">
        <v>3</v>
      </c>
      <c r="U221" t="s">
        <v>173</v>
      </c>
      <c r="V221" t="s">
        <v>173</v>
      </c>
      <c r="W221" t="s">
        <v>173</v>
      </c>
      <c r="X221" t="s">
        <v>173</v>
      </c>
      <c r="Y221" t="s">
        <v>173</v>
      </c>
      <c r="Z221" t="s">
        <v>173</v>
      </c>
      <c r="AA221" t="s">
        <v>173</v>
      </c>
      <c r="AB221" t="s">
        <v>173</v>
      </c>
      <c r="AC221" t="s">
        <v>173</v>
      </c>
      <c r="AD221" t="s">
        <v>173</v>
      </c>
      <c r="AE221" t="s">
        <v>173</v>
      </c>
      <c r="AF221" t="s">
        <v>173</v>
      </c>
      <c r="AG221" t="s">
        <v>173</v>
      </c>
      <c r="AH221" t="s">
        <v>173</v>
      </c>
      <c r="AI221" t="s">
        <v>173</v>
      </c>
      <c r="AJ221" t="s">
        <v>173</v>
      </c>
      <c r="AK221" t="s">
        <v>173</v>
      </c>
      <c r="AL221" t="s">
        <v>173</v>
      </c>
      <c r="AM221" t="s">
        <v>173</v>
      </c>
      <c r="AN221" t="s">
        <v>173</v>
      </c>
      <c r="AO221" t="s">
        <v>173</v>
      </c>
      <c r="AP221" t="s">
        <v>173</v>
      </c>
      <c r="AQ221" t="s">
        <v>173</v>
      </c>
      <c r="AR221" t="s">
        <v>173</v>
      </c>
      <c r="AS221" t="s">
        <v>173</v>
      </c>
      <c r="AT221" t="s">
        <v>173</v>
      </c>
      <c r="AU221" t="s">
        <v>173</v>
      </c>
      <c r="AV221" t="s">
        <v>173</v>
      </c>
      <c r="AW221" t="s">
        <v>173</v>
      </c>
      <c r="AX221" t="s">
        <v>173</v>
      </c>
      <c r="AY221" t="s">
        <v>173</v>
      </c>
      <c r="AZ221" t="s">
        <v>173</v>
      </c>
      <c r="BA221">
        <v>3.2700000000000001E-9</v>
      </c>
      <c r="BB221">
        <v>3.9999999999999998E-11</v>
      </c>
      <c r="BC221" t="s">
        <v>475</v>
      </c>
      <c r="BD221">
        <f>_xlfn.XLOOKUP(Table7[[#This Row],[WVP_unit]],ConversionFactors!$B$3:$B$10,ConversionFactors!$S$3:$S$10)</f>
        <v>8640000000000000</v>
      </c>
      <c r="BE221">
        <f>Table7[[#This Row],[WVP_value]]*Table7[[#This Row],[WVP_conversion_factor]]</f>
        <v>28252800</v>
      </c>
      <c r="BF221">
        <f>Table7[[#This Row],[WVP_SD]]*Table7[[#This Row],[WVP_conversion_factor]]</f>
        <v>345600</v>
      </c>
      <c r="BG221" t="s">
        <v>173</v>
      </c>
      <c r="BH221">
        <v>25</v>
      </c>
      <c r="BI221">
        <v>60</v>
      </c>
      <c r="BJ221">
        <f>10^(8.07131-1730.63/(233.426+Table7[[#This Row],[WVP_temperature_°C]]))*0.00133322368</f>
        <v>3.1579287443259496E-2</v>
      </c>
      <c r="BK221">
        <f>Table7[[#This Row],[WVP_RH_%]]/100*Table7[[#This Row],[WVP_psat_bar]]</f>
        <v>1.8947572465955697E-2</v>
      </c>
      <c r="BL221" t="s">
        <v>173</v>
      </c>
      <c r="BM221" t="s">
        <v>173</v>
      </c>
      <c r="BN221" t="s">
        <v>173</v>
      </c>
      <c r="BO221" t="s">
        <v>173</v>
      </c>
      <c r="BP221">
        <f>Table7[[#This Row],[WVP_g·µm·m-2·d-1·bar-1]]*Table7[[#This Row],[WVP_Δp_bar]]/100</f>
        <v>5353.2197536615313</v>
      </c>
      <c r="BQ221">
        <f>Table7[[#This Row],[WVP_SD_g·µm·m-2·d-1 ]]*Table7[[#This Row],[WVP_Δp_bar]]/100</f>
        <v>65.482810442342895</v>
      </c>
      <c r="BR221" t="s">
        <v>173</v>
      </c>
      <c r="BS221">
        <v>25</v>
      </c>
      <c r="BT221">
        <v>60</v>
      </c>
      <c r="BU221">
        <v>3</v>
      </c>
      <c r="BV221" t="s">
        <v>173</v>
      </c>
      <c r="BX221" t="s">
        <v>173</v>
      </c>
      <c r="BY221" t="s">
        <v>173</v>
      </c>
      <c r="BZ221" t="s">
        <v>173</v>
      </c>
      <c r="CA221" t="s">
        <v>173</v>
      </c>
      <c r="CB221" t="s">
        <v>173</v>
      </c>
      <c r="CC221" t="s">
        <v>173</v>
      </c>
      <c r="CD221" t="s">
        <v>173</v>
      </c>
      <c r="CE221" t="s">
        <v>173</v>
      </c>
      <c r="CF221" t="s">
        <v>173</v>
      </c>
      <c r="CG221" t="s">
        <v>173</v>
      </c>
      <c r="CH221" t="s">
        <v>173</v>
      </c>
      <c r="CI221" t="s">
        <v>173</v>
      </c>
      <c r="CJ221" t="s">
        <v>173</v>
      </c>
      <c r="CK221" t="s">
        <v>173</v>
      </c>
      <c r="CL221" t="s">
        <v>173</v>
      </c>
      <c r="CM221" t="s">
        <v>173</v>
      </c>
      <c r="CN221" t="s">
        <v>173</v>
      </c>
      <c r="CO221" t="s">
        <v>173</v>
      </c>
      <c r="CP221" t="s">
        <v>173</v>
      </c>
      <c r="CQ221" t="s">
        <v>173</v>
      </c>
      <c r="CR221" t="s">
        <v>173</v>
      </c>
      <c r="CS221" t="s">
        <v>173</v>
      </c>
      <c r="CT221" t="s">
        <v>173</v>
      </c>
      <c r="CU221" t="s">
        <v>173</v>
      </c>
      <c r="CV221" t="s">
        <v>173</v>
      </c>
      <c r="CW221" t="s">
        <v>173</v>
      </c>
      <c r="CX221" t="s">
        <v>173</v>
      </c>
      <c r="CY221" t="s">
        <v>173</v>
      </c>
      <c r="CZ221" t="s">
        <v>173</v>
      </c>
      <c r="DA221" t="s">
        <v>173</v>
      </c>
      <c r="DB221" t="s">
        <v>173</v>
      </c>
      <c r="DC221" t="s">
        <v>173</v>
      </c>
      <c r="DD221" t="s">
        <v>173</v>
      </c>
      <c r="DE221" t="s">
        <v>173</v>
      </c>
      <c r="DF221" t="s">
        <v>172</v>
      </c>
      <c r="DG221" t="s">
        <v>621</v>
      </c>
      <c r="DH221" t="s">
        <v>173</v>
      </c>
    </row>
    <row r="222" spans="1:112">
      <c r="A222">
        <v>93</v>
      </c>
      <c r="B222" t="s">
        <v>617</v>
      </c>
      <c r="C222" t="s">
        <v>618</v>
      </c>
      <c r="D222">
        <v>2024</v>
      </c>
      <c r="E222" t="s">
        <v>619</v>
      </c>
      <c r="F222" t="s">
        <v>620</v>
      </c>
      <c r="G222" t="s">
        <v>454</v>
      </c>
      <c r="H222">
        <v>0.86</v>
      </c>
      <c r="I222" t="s">
        <v>173</v>
      </c>
      <c r="J222" t="s">
        <v>552</v>
      </c>
      <c r="K222" t="s">
        <v>552</v>
      </c>
      <c r="L222" t="s">
        <v>524</v>
      </c>
      <c r="M222" t="s">
        <v>454</v>
      </c>
      <c r="N222" t="s">
        <v>454</v>
      </c>
      <c r="O222" t="s">
        <v>622</v>
      </c>
      <c r="P222" t="s">
        <v>625</v>
      </c>
      <c r="Q222" t="s">
        <v>459</v>
      </c>
      <c r="R222">
        <v>69</v>
      </c>
      <c r="S222">
        <v>1E-3</v>
      </c>
      <c r="T222">
        <v>3</v>
      </c>
      <c r="U222" t="s">
        <v>173</v>
      </c>
      <c r="V222" t="s">
        <v>173</v>
      </c>
      <c r="W222" t="s">
        <v>173</v>
      </c>
      <c r="X222" t="s">
        <v>173</v>
      </c>
      <c r="Y222" t="s">
        <v>173</v>
      </c>
      <c r="Z222" t="s">
        <v>173</v>
      </c>
      <c r="AA222" t="s">
        <v>173</v>
      </c>
      <c r="AB222" t="s">
        <v>173</v>
      </c>
      <c r="AC222" t="s">
        <v>173</v>
      </c>
      <c r="AD222" t="s">
        <v>173</v>
      </c>
      <c r="AE222" t="s">
        <v>173</v>
      </c>
      <c r="AF222" t="s">
        <v>173</v>
      </c>
      <c r="AG222" t="s">
        <v>173</v>
      </c>
      <c r="AH222" t="s">
        <v>173</v>
      </c>
      <c r="AI222" t="s">
        <v>173</v>
      </c>
      <c r="AJ222" t="s">
        <v>173</v>
      </c>
      <c r="AK222" t="s">
        <v>173</v>
      </c>
      <c r="AL222" t="s">
        <v>173</v>
      </c>
      <c r="AM222" t="s">
        <v>173</v>
      </c>
      <c r="AN222" t="s">
        <v>173</v>
      </c>
      <c r="AO222" t="s">
        <v>173</v>
      </c>
      <c r="AP222" t="s">
        <v>173</v>
      </c>
      <c r="AQ222" t="s">
        <v>173</v>
      </c>
      <c r="AR222" t="s">
        <v>173</v>
      </c>
      <c r="AS222" t="s">
        <v>173</v>
      </c>
      <c r="AT222" t="s">
        <v>173</v>
      </c>
      <c r="AU222" t="s">
        <v>173</v>
      </c>
      <c r="AV222" t="s">
        <v>173</v>
      </c>
      <c r="AW222" t="s">
        <v>173</v>
      </c>
      <c r="AX222" t="s">
        <v>173</v>
      </c>
      <c r="AY222" t="s">
        <v>173</v>
      </c>
      <c r="AZ222" t="s">
        <v>173</v>
      </c>
      <c r="BA222">
        <v>3.24E-9</v>
      </c>
      <c r="BB222">
        <v>1.9999999999999999E-11</v>
      </c>
      <c r="BC222" t="s">
        <v>475</v>
      </c>
      <c r="BD222">
        <f>_xlfn.XLOOKUP(Table7[[#This Row],[WVP_unit]],ConversionFactors!$B$3:$B$10,ConversionFactors!$S$3:$S$10)</f>
        <v>8640000000000000</v>
      </c>
      <c r="BE222">
        <f>Table7[[#This Row],[WVP_value]]*Table7[[#This Row],[WVP_conversion_factor]]</f>
        <v>27993600</v>
      </c>
      <c r="BF222">
        <f>Table7[[#This Row],[WVP_SD]]*Table7[[#This Row],[WVP_conversion_factor]]</f>
        <v>172800</v>
      </c>
      <c r="BG222" t="s">
        <v>173</v>
      </c>
      <c r="BH222">
        <v>25</v>
      </c>
      <c r="BI222">
        <v>60</v>
      </c>
      <c r="BJ222">
        <f>10^(8.07131-1730.63/(233.426+Table7[[#This Row],[WVP_temperature_°C]]))*0.00133322368</f>
        <v>3.1579287443259496E-2</v>
      </c>
      <c r="BK222">
        <f>Table7[[#This Row],[WVP_RH_%]]/100*Table7[[#This Row],[WVP_psat_bar]]</f>
        <v>1.8947572465955697E-2</v>
      </c>
      <c r="BL222" t="s">
        <v>173</v>
      </c>
      <c r="BM222" t="s">
        <v>173</v>
      </c>
      <c r="BN222" t="s">
        <v>173</v>
      </c>
      <c r="BO222" t="s">
        <v>173</v>
      </c>
      <c r="BP222">
        <f>Table7[[#This Row],[WVP_g·µm·m-2·d-1·bar-1]]*Table7[[#This Row],[WVP_Δp_bar]]/100</f>
        <v>5304.1076458297739</v>
      </c>
      <c r="BQ222">
        <f>Table7[[#This Row],[WVP_SD_g·µm·m-2·d-1 ]]*Table7[[#This Row],[WVP_Δp_bar]]/100</f>
        <v>32.741405221171448</v>
      </c>
      <c r="BR222" t="s">
        <v>173</v>
      </c>
      <c r="BS222">
        <v>25</v>
      </c>
      <c r="BT222">
        <v>60</v>
      </c>
      <c r="BU222">
        <v>3</v>
      </c>
      <c r="BV222" t="s">
        <v>173</v>
      </c>
      <c r="BX222" t="s">
        <v>173</v>
      </c>
      <c r="BY222" t="s">
        <v>173</v>
      </c>
      <c r="BZ222" t="s">
        <v>173</v>
      </c>
      <c r="CA222" t="s">
        <v>173</v>
      </c>
      <c r="CB222" t="s">
        <v>173</v>
      </c>
      <c r="CC222" t="s">
        <v>173</v>
      </c>
      <c r="CD222" t="s">
        <v>173</v>
      </c>
      <c r="CE222" t="s">
        <v>173</v>
      </c>
      <c r="CF222" t="s">
        <v>173</v>
      </c>
      <c r="CG222" t="s">
        <v>173</v>
      </c>
      <c r="CH222" t="s">
        <v>173</v>
      </c>
      <c r="CI222" t="s">
        <v>173</v>
      </c>
      <c r="CJ222" t="s">
        <v>173</v>
      </c>
      <c r="CK222" t="s">
        <v>173</v>
      </c>
      <c r="CL222" t="s">
        <v>173</v>
      </c>
      <c r="CM222" t="s">
        <v>173</v>
      </c>
      <c r="CN222" t="s">
        <v>173</v>
      </c>
      <c r="CO222" t="s">
        <v>173</v>
      </c>
      <c r="CP222" t="s">
        <v>173</v>
      </c>
      <c r="CQ222" t="s">
        <v>173</v>
      </c>
      <c r="CR222" t="s">
        <v>173</v>
      </c>
      <c r="CS222" t="s">
        <v>173</v>
      </c>
      <c r="CT222" t="s">
        <v>173</v>
      </c>
      <c r="CU222" t="s">
        <v>173</v>
      </c>
      <c r="CV222" t="s">
        <v>173</v>
      </c>
      <c r="CW222" t="s">
        <v>173</v>
      </c>
      <c r="CX222" t="s">
        <v>173</v>
      </c>
      <c r="CY222" t="s">
        <v>173</v>
      </c>
      <c r="CZ222" t="s">
        <v>173</v>
      </c>
      <c r="DA222" t="s">
        <v>173</v>
      </c>
      <c r="DB222" t="s">
        <v>173</v>
      </c>
      <c r="DC222" t="s">
        <v>173</v>
      </c>
      <c r="DD222" t="s">
        <v>173</v>
      </c>
      <c r="DE222" t="s">
        <v>173</v>
      </c>
      <c r="DF222" t="s">
        <v>172</v>
      </c>
      <c r="DG222" t="s">
        <v>621</v>
      </c>
      <c r="DH222" t="s">
        <v>173</v>
      </c>
    </row>
    <row r="626" spans="57:58">
      <c r="BE626">
        <v>0</v>
      </c>
      <c r="BF626">
        <v>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3237-5653-4161-A4F3-E587BA0056A8}">
  <dimension ref="A1:S23"/>
  <sheetViews>
    <sheetView topLeftCell="O16" workbookViewId="0">
      <selection activeCell="O29" sqref="O29"/>
    </sheetView>
  </sheetViews>
  <sheetFormatPr defaultRowHeight="14.45"/>
  <cols>
    <col min="1" max="1" width="11.28515625" bestFit="1" customWidth="1"/>
    <col min="2" max="2" width="22.28515625" bestFit="1" customWidth="1"/>
    <col min="3" max="3" width="17.42578125" bestFit="1" customWidth="1"/>
    <col min="4" max="4" width="9.42578125" bestFit="1" customWidth="1"/>
    <col min="5" max="5" width="10.28515625" bestFit="1" customWidth="1"/>
    <col min="6" max="6" width="10.42578125" bestFit="1" customWidth="1"/>
    <col min="7" max="7" width="9.42578125" bestFit="1" customWidth="1"/>
    <col min="8" max="8" width="10.28515625" bestFit="1" customWidth="1"/>
    <col min="9" max="9" width="10.42578125" bestFit="1" customWidth="1"/>
    <col min="10" max="10" width="9.42578125" bestFit="1" customWidth="1"/>
    <col min="11" max="11" width="10.28515625" bestFit="1" customWidth="1"/>
    <col min="12" max="12" width="10.42578125" bestFit="1" customWidth="1"/>
    <col min="13" max="13" width="9.42578125" bestFit="1" customWidth="1"/>
    <col min="14" max="14" width="10.28515625" bestFit="1" customWidth="1"/>
    <col min="15" max="15" width="10.42578125" bestFit="1" customWidth="1"/>
    <col min="16" max="16" width="9.42578125" bestFit="1" customWidth="1"/>
    <col min="17" max="17" width="10.28515625" bestFit="1" customWidth="1"/>
    <col min="18" max="18" width="11.42578125" bestFit="1" customWidth="1"/>
    <col min="19" max="19" width="13.7109375" bestFit="1" customWidth="1"/>
  </cols>
  <sheetData>
    <row r="1" spans="1:19" ht="14.45" customHeight="1">
      <c r="A1" t="s">
        <v>626</v>
      </c>
      <c r="B1" t="s">
        <v>627</v>
      </c>
      <c r="C1" t="s">
        <v>628</v>
      </c>
      <c r="D1" t="s">
        <v>629</v>
      </c>
      <c r="E1" t="s">
        <v>630</v>
      </c>
      <c r="F1" t="s">
        <v>631</v>
      </c>
      <c r="G1" t="s">
        <v>632</v>
      </c>
      <c r="H1" t="s">
        <v>633</v>
      </c>
      <c r="I1" t="s">
        <v>634</v>
      </c>
      <c r="J1" t="s">
        <v>635</v>
      </c>
      <c r="K1" t="s">
        <v>636</v>
      </c>
      <c r="L1" t="s">
        <v>637</v>
      </c>
      <c r="M1" t="s">
        <v>638</v>
      </c>
      <c r="N1" t="s">
        <v>639</v>
      </c>
      <c r="O1" t="s">
        <v>640</v>
      </c>
      <c r="P1" t="s">
        <v>641</v>
      </c>
      <c r="Q1" t="s">
        <v>642</v>
      </c>
      <c r="R1" t="s">
        <v>643</v>
      </c>
      <c r="S1" t="s">
        <v>644</v>
      </c>
    </row>
    <row r="2" spans="1:19">
      <c r="A2" t="s">
        <v>645</v>
      </c>
      <c r="B2" t="s">
        <v>646</v>
      </c>
      <c r="C2" t="s">
        <v>647</v>
      </c>
      <c r="D2" s="12" t="s">
        <v>646</v>
      </c>
      <c r="E2" s="13" t="s">
        <v>647</v>
      </c>
      <c r="F2" s="14" t="s">
        <v>648</v>
      </c>
      <c r="G2" s="12" t="s">
        <v>646</v>
      </c>
      <c r="H2" s="13" t="s">
        <v>647</v>
      </c>
      <c r="I2" s="14" t="s">
        <v>648</v>
      </c>
      <c r="J2" s="12" t="s">
        <v>646</v>
      </c>
      <c r="K2" s="13" t="s">
        <v>647</v>
      </c>
      <c r="L2" s="14" t="s">
        <v>648</v>
      </c>
      <c r="M2" s="12" t="s">
        <v>646</v>
      </c>
      <c r="N2" s="13" t="s">
        <v>647</v>
      </c>
      <c r="O2" s="14" t="s">
        <v>648</v>
      </c>
      <c r="P2" s="12" t="s">
        <v>646</v>
      </c>
      <c r="Q2" s="13" t="s">
        <v>647</v>
      </c>
      <c r="R2" s="14" t="s">
        <v>648</v>
      </c>
    </row>
    <row r="3" spans="1:19">
      <c r="A3" s="4" t="s">
        <v>649</v>
      </c>
      <c r="B3" s="16" t="s">
        <v>614</v>
      </c>
      <c r="C3" s="4" t="s">
        <v>650</v>
      </c>
      <c r="D3" s="15" t="s">
        <v>651</v>
      </c>
      <c r="E3" s="16" t="s">
        <v>651</v>
      </c>
      <c r="F3" s="17">
        <v>1</v>
      </c>
      <c r="G3" s="15" t="s">
        <v>652</v>
      </c>
      <c r="H3" s="16" t="s">
        <v>653</v>
      </c>
      <c r="I3" s="17">
        <v>1000000</v>
      </c>
      <c r="J3" s="15" t="s">
        <v>654</v>
      </c>
      <c r="K3" s="16" t="s">
        <v>654</v>
      </c>
      <c r="L3" s="17">
        <v>1</v>
      </c>
      <c r="M3" s="15" t="s">
        <v>655</v>
      </c>
      <c r="N3" s="16" t="s">
        <v>655</v>
      </c>
      <c r="O3" s="17">
        <v>1</v>
      </c>
      <c r="P3" s="15" t="s">
        <v>656</v>
      </c>
      <c r="Q3" s="16" t="s">
        <v>657</v>
      </c>
      <c r="R3" s="17">
        <v>100000</v>
      </c>
      <c r="S3" s="5">
        <f>Tabel5[[#This Row],[mass/volume_factor]]*Tabel5[[#This Row],[thickness_factor]]*Tabel5[[#This Row],[area_factor]]*Tabel5[[#This Row],[time_factor]]*Tabel5[[#This Row],[pressure_factor]]</f>
        <v>100000000000</v>
      </c>
    </row>
    <row r="4" spans="1:19">
      <c r="A4" s="4" t="s">
        <v>649</v>
      </c>
      <c r="B4" s="16" t="s">
        <v>570</v>
      </c>
      <c r="C4" s="4" t="s">
        <v>650</v>
      </c>
      <c r="D4" s="15" t="s">
        <v>658</v>
      </c>
      <c r="E4" s="16" t="s">
        <v>651</v>
      </c>
      <c r="F4" s="17">
        <v>1</v>
      </c>
      <c r="G4" s="15" t="s">
        <v>659</v>
      </c>
      <c r="H4" s="16" t="s">
        <v>653</v>
      </c>
      <c r="I4" s="17">
        <v>1000</v>
      </c>
      <c r="J4" s="15" t="s">
        <v>654</v>
      </c>
      <c r="K4" s="16" t="s">
        <v>654</v>
      </c>
      <c r="L4" s="17">
        <v>1</v>
      </c>
      <c r="M4" s="15" t="s">
        <v>655</v>
      </c>
      <c r="N4" s="16" t="s">
        <v>655</v>
      </c>
      <c r="O4" s="17">
        <v>1</v>
      </c>
      <c r="P4" s="15" t="s">
        <v>660</v>
      </c>
      <c r="Q4" s="16" t="s">
        <v>657</v>
      </c>
      <c r="R4" s="17">
        <v>100</v>
      </c>
      <c r="S4" s="5">
        <f>Tabel5[[#This Row],[mass/volume_factor]]*Tabel5[[#This Row],[thickness_factor]]*Tabel5[[#This Row],[area_factor]]*Tabel5[[#This Row],[time_factor]]*Tabel5[[#This Row],[pressure_factor]]</f>
        <v>100000</v>
      </c>
    </row>
    <row r="5" spans="1:19">
      <c r="A5" s="4" t="s">
        <v>649</v>
      </c>
      <c r="B5" s="16" t="s">
        <v>525</v>
      </c>
      <c r="C5" s="4" t="s">
        <v>650</v>
      </c>
      <c r="D5" s="15" t="s">
        <v>651</v>
      </c>
      <c r="E5" s="16" t="s">
        <v>651</v>
      </c>
      <c r="F5" s="17">
        <v>1</v>
      </c>
      <c r="G5" s="15" t="s">
        <v>652</v>
      </c>
      <c r="H5" s="16" t="s">
        <v>653</v>
      </c>
      <c r="I5" s="17">
        <v>1000000</v>
      </c>
      <c r="J5" s="15" t="s">
        <v>654</v>
      </c>
      <c r="K5" s="16" t="s">
        <v>654</v>
      </c>
      <c r="L5" s="17">
        <v>1</v>
      </c>
      <c r="M5" s="15" t="s">
        <v>661</v>
      </c>
      <c r="N5" s="16" t="s">
        <v>655</v>
      </c>
      <c r="O5" s="17">
        <v>24</v>
      </c>
      <c r="P5" s="15" t="s">
        <v>656</v>
      </c>
      <c r="Q5" s="16" t="s">
        <v>657</v>
      </c>
      <c r="R5" s="17">
        <v>100000</v>
      </c>
      <c r="S5" s="5">
        <f>Tabel5[[#This Row],[mass/volume_factor]]*Tabel5[[#This Row],[thickness_factor]]*Tabel5[[#This Row],[area_factor]]*Tabel5[[#This Row],[time_factor]]*Tabel5[[#This Row],[pressure_factor]]</f>
        <v>2400000000000</v>
      </c>
    </row>
    <row r="6" spans="1:19">
      <c r="A6" s="4" t="s">
        <v>649</v>
      </c>
      <c r="B6" s="16" t="s">
        <v>475</v>
      </c>
      <c r="C6" s="4" t="s">
        <v>650</v>
      </c>
      <c r="D6" s="15" t="s">
        <v>651</v>
      </c>
      <c r="E6" s="16" t="s">
        <v>651</v>
      </c>
      <c r="F6" s="17">
        <v>1</v>
      </c>
      <c r="G6" s="15" t="s">
        <v>652</v>
      </c>
      <c r="H6" s="16" t="s">
        <v>653</v>
      </c>
      <c r="I6" s="17">
        <v>1000000</v>
      </c>
      <c r="J6" s="15" t="s">
        <v>654</v>
      </c>
      <c r="K6" s="16" t="s">
        <v>654</v>
      </c>
      <c r="L6" s="17">
        <v>1</v>
      </c>
      <c r="M6" s="15" t="s">
        <v>662</v>
      </c>
      <c r="N6" s="16" t="s">
        <v>655</v>
      </c>
      <c r="O6" s="17">
        <v>86400</v>
      </c>
      <c r="P6" s="15" t="s">
        <v>656</v>
      </c>
      <c r="Q6" s="16" t="s">
        <v>657</v>
      </c>
      <c r="R6" s="17">
        <v>100000</v>
      </c>
      <c r="S6" s="5">
        <f>Tabel5[[#This Row],[mass/volume_factor]]*Tabel5[[#This Row],[thickness_factor]]*Tabel5[[#This Row],[area_factor]]*Tabel5[[#This Row],[time_factor]]*Tabel5[[#This Row],[pressure_factor]]</f>
        <v>8640000000000000</v>
      </c>
    </row>
    <row r="7" spans="1:19">
      <c r="A7" s="4" t="s">
        <v>649</v>
      </c>
      <c r="B7" s="16" t="s">
        <v>500</v>
      </c>
      <c r="C7" s="4" t="s">
        <v>663</v>
      </c>
      <c r="D7" s="15" t="s">
        <v>651</v>
      </c>
      <c r="E7" s="16" t="s">
        <v>651</v>
      </c>
      <c r="F7" s="17">
        <v>1</v>
      </c>
      <c r="G7" s="15" t="s">
        <v>659</v>
      </c>
      <c r="H7" s="16" t="s">
        <v>653</v>
      </c>
      <c r="I7" s="17">
        <v>1000</v>
      </c>
      <c r="J7" s="15" t="s">
        <v>654</v>
      </c>
      <c r="K7" s="16" t="s">
        <v>654</v>
      </c>
      <c r="L7" s="17">
        <v>1</v>
      </c>
      <c r="M7" s="15" t="s">
        <v>655</v>
      </c>
      <c r="N7" s="16" t="s">
        <v>655</v>
      </c>
      <c r="O7" s="17">
        <v>1</v>
      </c>
      <c r="P7" s="15" t="s">
        <v>664</v>
      </c>
      <c r="Q7" s="16" t="s">
        <v>657</v>
      </c>
      <c r="R7" s="17">
        <f>1/0.0239</f>
        <v>41.841004184100413</v>
      </c>
      <c r="S7" s="5">
        <f>Tabel5[[#This Row],[mass/volume_factor]]*Tabel5[[#This Row],[thickness_factor]]*Tabel5[[#This Row],[area_factor]]*Tabel5[[#This Row],[time_factor]]*Tabel5[[#This Row],[pressure_factor]]</f>
        <v>41841.004184100413</v>
      </c>
    </row>
    <row r="8" spans="1:19">
      <c r="A8" s="4" t="s">
        <v>649</v>
      </c>
      <c r="B8" s="16" t="s">
        <v>460</v>
      </c>
      <c r="C8" s="4" t="s">
        <v>650</v>
      </c>
      <c r="D8" s="15" t="s">
        <v>651</v>
      </c>
      <c r="E8" s="16" t="s">
        <v>651</v>
      </c>
      <c r="F8" s="17">
        <v>1</v>
      </c>
      <c r="G8" s="15" t="s">
        <v>659</v>
      </c>
      <c r="H8" s="16" t="s">
        <v>653</v>
      </c>
      <c r="I8" s="17">
        <v>1000</v>
      </c>
      <c r="J8" s="15" t="s">
        <v>654</v>
      </c>
      <c r="K8" s="16" t="s">
        <v>654</v>
      </c>
      <c r="L8" s="17">
        <v>1</v>
      </c>
      <c r="M8" s="15" t="s">
        <v>661</v>
      </c>
      <c r="N8" s="16" t="s">
        <v>655</v>
      </c>
      <c r="O8" s="17">
        <v>24</v>
      </c>
      <c r="P8" s="15" t="s">
        <v>660</v>
      </c>
      <c r="Q8" s="16" t="s">
        <v>657</v>
      </c>
      <c r="R8" s="17">
        <v>100</v>
      </c>
      <c r="S8" s="5">
        <f>Tabel5[[#This Row],[mass/volume_factor]]*Tabel5[[#This Row],[thickness_factor]]*Tabel5[[#This Row],[area_factor]]*Tabel5[[#This Row],[time_factor]]*Tabel5[[#This Row],[pressure_factor]]</f>
        <v>2400000</v>
      </c>
    </row>
    <row r="9" spans="1:19">
      <c r="A9" s="4" t="s">
        <v>649</v>
      </c>
      <c r="B9" s="16" t="s">
        <v>585</v>
      </c>
      <c r="C9" s="4" t="s">
        <v>650</v>
      </c>
      <c r="D9" s="15" t="s">
        <v>665</v>
      </c>
      <c r="E9" s="16" t="s">
        <v>651</v>
      </c>
      <c r="F9" s="17">
        <v>1000</v>
      </c>
      <c r="G9" s="15" t="s">
        <v>652</v>
      </c>
      <c r="H9" s="16" t="s">
        <v>653</v>
      </c>
      <c r="I9" s="17">
        <v>1000000</v>
      </c>
      <c r="J9" s="15" t="s">
        <v>654</v>
      </c>
      <c r="K9" s="16" t="s">
        <v>654</v>
      </c>
      <c r="L9" s="17">
        <v>1</v>
      </c>
      <c r="M9" s="15" t="s">
        <v>662</v>
      </c>
      <c r="N9" s="16" t="s">
        <v>655</v>
      </c>
      <c r="O9" s="17">
        <v>86400</v>
      </c>
      <c r="P9" s="15" t="s">
        <v>656</v>
      </c>
      <c r="Q9" s="16" t="s">
        <v>657</v>
      </c>
      <c r="R9" s="17">
        <v>100000</v>
      </c>
      <c r="S9" s="5">
        <f>Tabel5[[#This Row],[mass/volume_factor]]*Tabel5[[#This Row],[thickness_factor]]*Tabel5[[#This Row],[area_factor]]*Tabel5[[#This Row],[time_factor]]*Tabel5[[#This Row],[pressure_factor]]</f>
        <v>8.64E+18</v>
      </c>
    </row>
    <row r="10" spans="1:19">
      <c r="A10" s="4" t="s">
        <v>649</v>
      </c>
      <c r="B10" s="16" t="s">
        <v>584</v>
      </c>
      <c r="C10" s="4" t="s">
        <v>650</v>
      </c>
      <c r="D10" s="15" t="s">
        <v>666</v>
      </c>
      <c r="E10" s="16" t="s">
        <v>651</v>
      </c>
      <c r="F10" s="17">
        <v>1000000</v>
      </c>
      <c r="G10" s="15" t="s">
        <v>652</v>
      </c>
      <c r="H10" s="16" t="s">
        <v>653</v>
      </c>
      <c r="I10" s="17">
        <v>1000000</v>
      </c>
      <c r="J10" s="15" t="s">
        <v>654</v>
      </c>
      <c r="K10" s="16" t="s">
        <v>654</v>
      </c>
      <c r="L10" s="17">
        <v>1</v>
      </c>
      <c r="M10" s="15" t="s">
        <v>662</v>
      </c>
      <c r="N10" s="16" t="s">
        <v>655</v>
      </c>
      <c r="O10" s="17">
        <v>86400</v>
      </c>
      <c r="P10" s="15" t="s">
        <v>656</v>
      </c>
      <c r="Q10" s="16" t="s">
        <v>657</v>
      </c>
      <c r="R10" s="17">
        <v>100000</v>
      </c>
      <c r="S10" s="5">
        <f>Tabel5[[#This Row],[mass/volume_factor]]*Tabel5[[#This Row],[thickness_factor]]*Tabel5[[#This Row],[area_factor]]*Tabel5[[#This Row],[time_factor]]*Tabel5[[#This Row],[pressure_factor]]</f>
        <v>8.64E+21</v>
      </c>
    </row>
    <row r="11" spans="1:19">
      <c r="A11" s="6" t="s">
        <v>667</v>
      </c>
      <c r="B11" s="19" t="s">
        <v>509</v>
      </c>
      <c r="C11" s="6" t="s">
        <v>509</v>
      </c>
      <c r="D11" s="18" t="s">
        <v>651</v>
      </c>
      <c r="E11" s="19" t="s">
        <v>651</v>
      </c>
      <c r="F11" s="20">
        <v>1</v>
      </c>
      <c r="G11" s="18" t="s">
        <v>668</v>
      </c>
      <c r="H11" s="19" t="s">
        <v>668</v>
      </c>
      <c r="I11" s="20" t="s">
        <v>668</v>
      </c>
      <c r="J11" s="18" t="s">
        <v>654</v>
      </c>
      <c r="K11" s="19" t="s">
        <v>654</v>
      </c>
      <c r="L11" s="20">
        <v>1</v>
      </c>
      <c r="M11" s="18" t="s">
        <v>655</v>
      </c>
      <c r="N11" s="19" t="s">
        <v>655</v>
      </c>
      <c r="O11" s="20">
        <v>1</v>
      </c>
      <c r="P11" s="18" t="s">
        <v>668</v>
      </c>
      <c r="Q11" s="19" t="s">
        <v>668</v>
      </c>
      <c r="R11" s="20" t="s">
        <v>668</v>
      </c>
      <c r="S11" s="7">
        <f>Tabel5[[#This Row],[mass/volume_factor]]*Tabel5[[#This Row],[area_factor]]*Tabel5[[#This Row],[time_factor]]</f>
        <v>1</v>
      </c>
    </row>
    <row r="12" spans="1:19">
      <c r="A12" s="6" t="s">
        <v>667</v>
      </c>
      <c r="B12" s="19" t="s">
        <v>538</v>
      </c>
      <c r="C12" s="6" t="s">
        <v>509</v>
      </c>
      <c r="D12" s="18" t="s">
        <v>651</v>
      </c>
      <c r="E12" s="19" t="s">
        <v>651</v>
      </c>
      <c r="F12" s="20">
        <v>1</v>
      </c>
      <c r="G12" s="18" t="s">
        <v>668</v>
      </c>
      <c r="H12" s="19" t="s">
        <v>668</v>
      </c>
      <c r="I12" s="20" t="s">
        <v>668</v>
      </c>
      <c r="J12" s="18" t="s">
        <v>654</v>
      </c>
      <c r="K12" s="19" t="s">
        <v>654</v>
      </c>
      <c r="L12" s="20">
        <v>1</v>
      </c>
      <c r="M12" s="18" t="s">
        <v>662</v>
      </c>
      <c r="N12" s="19" t="s">
        <v>655</v>
      </c>
      <c r="O12" s="20">
        <v>86400</v>
      </c>
      <c r="P12" s="18" t="s">
        <v>668</v>
      </c>
      <c r="Q12" s="19" t="s">
        <v>668</v>
      </c>
      <c r="R12" s="20" t="s">
        <v>668</v>
      </c>
      <c r="S12" s="7">
        <f>Tabel5[[#This Row],[mass/volume_factor]]*Tabel5[[#This Row],[area_factor]]*Tabel5[[#This Row],[time_factor]]</f>
        <v>86400</v>
      </c>
    </row>
    <row r="13" spans="1:19">
      <c r="A13" s="8" t="s">
        <v>669</v>
      </c>
      <c r="B13" s="28" t="s">
        <v>588</v>
      </c>
      <c r="C13" s="8" t="s">
        <v>670</v>
      </c>
      <c r="D13" s="21" t="s">
        <v>658</v>
      </c>
      <c r="E13" s="22" t="s">
        <v>658</v>
      </c>
      <c r="F13" s="23">
        <v>1</v>
      </c>
      <c r="G13" s="21" t="s">
        <v>671</v>
      </c>
      <c r="H13" s="22" t="s">
        <v>653</v>
      </c>
      <c r="I13" s="23">
        <v>10000</v>
      </c>
      <c r="J13" s="21" t="s">
        <v>672</v>
      </c>
      <c r="K13" s="22" t="s">
        <v>654</v>
      </c>
      <c r="L13" s="23">
        <v>10000</v>
      </c>
      <c r="M13" s="21" t="s">
        <v>662</v>
      </c>
      <c r="N13" s="22" t="s">
        <v>655</v>
      </c>
      <c r="O13" s="23">
        <v>86400</v>
      </c>
      <c r="P13" s="21" t="s">
        <v>673</v>
      </c>
      <c r="Q13" s="22" t="s">
        <v>657</v>
      </c>
      <c r="R13" s="23">
        <v>0.9869</v>
      </c>
      <c r="S13" s="9">
        <f>Tabel5[[#This Row],[mass/volume_factor]]*Tabel5[[#This Row],[thickness_factor]]*Tabel5[[#This Row],[area_factor]]*Tabel5[[#This Row],[time_factor]]*Tabel5[[#This Row],[pressure_factor]]</f>
        <v>8526816000000</v>
      </c>
    </row>
    <row r="14" spans="1:19">
      <c r="A14" s="8" t="s">
        <v>669</v>
      </c>
      <c r="B14" s="22" t="s">
        <v>558</v>
      </c>
      <c r="C14" s="8" t="s">
        <v>670</v>
      </c>
      <c r="D14" s="21" t="s">
        <v>658</v>
      </c>
      <c r="E14" s="22" t="s">
        <v>658</v>
      </c>
      <c r="F14" s="23">
        <v>1</v>
      </c>
      <c r="G14" s="21" t="s">
        <v>671</v>
      </c>
      <c r="H14" s="22" t="s">
        <v>653</v>
      </c>
      <c r="I14" s="23">
        <v>10000</v>
      </c>
      <c r="J14" s="21" t="s">
        <v>654</v>
      </c>
      <c r="K14" s="22" t="s">
        <v>654</v>
      </c>
      <c r="L14" s="23">
        <v>1</v>
      </c>
      <c r="M14" s="21" t="s">
        <v>655</v>
      </c>
      <c r="N14" s="22" t="s">
        <v>655</v>
      </c>
      <c r="O14" s="23">
        <v>1</v>
      </c>
      <c r="P14" s="21" t="s">
        <v>673</v>
      </c>
      <c r="Q14" s="22" t="s">
        <v>657</v>
      </c>
      <c r="R14" s="23">
        <v>0.9869</v>
      </c>
      <c r="S14" s="9">
        <f>Tabel5[[#This Row],[mass/volume_factor]]*Tabel5[[#This Row],[thickness_factor]]*Tabel5[[#This Row],[area_factor]]*Tabel5[[#This Row],[time_factor]]*Tabel5[[#This Row],[pressure_factor]]</f>
        <v>9869</v>
      </c>
    </row>
    <row r="15" spans="1:19">
      <c r="A15" s="8" t="s">
        <v>669</v>
      </c>
      <c r="B15" s="29" t="s">
        <v>499</v>
      </c>
      <c r="C15" s="8" t="s">
        <v>674</v>
      </c>
      <c r="D15" s="21" t="s">
        <v>658</v>
      </c>
      <c r="E15" s="22" t="s">
        <v>658</v>
      </c>
      <c r="F15" s="30">
        <v>1</v>
      </c>
      <c r="G15" s="21" t="s">
        <v>659</v>
      </c>
      <c r="H15" s="22" t="s">
        <v>653</v>
      </c>
      <c r="I15" s="30">
        <v>1000</v>
      </c>
      <c r="J15" s="21" t="s">
        <v>654</v>
      </c>
      <c r="K15" s="22" t="s">
        <v>654</v>
      </c>
      <c r="L15" s="23">
        <v>1</v>
      </c>
      <c r="M15" s="21" t="s">
        <v>655</v>
      </c>
      <c r="N15" s="22" t="s">
        <v>655</v>
      </c>
      <c r="O15" s="23">
        <v>1</v>
      </c>
      <c r="P15" s="21" t="s">
        <v>673</v>
      </c>
      <c r="Q15" s="22" t="s">
        <v>657</v>
      </c>
      <c r="R15" s="23">
        <v>0.9869</v>
      </c>
      <c r="S15" s="9">
        <f>Tabel5[[#This Row],[mass/volume_factor]]*Tabel5[[#This Row],[thickness_factor]]*Tabel5[[#This Row],[area_factor]]*Tabel5[[#This Row],[time_factor]]*Tabel5[[#This Row],[pressure_factor]]</f>
        <v>986.9</v>
      </c>
    </row>
    <row r="16" spans="1:19">
      <c r="A16" s="8" t="s">
        <v>669</v>
      </c>
      <c r="B16" s="28" t="s">
        <v>518</v>
      </c>
      <c r="C16" s="8" t="s">
        <v>674</v>
      </c>
      <c r="D16" s="21" t="s">
        <v>658</v>
      </c>
      <c r="E16" s="22" t="s">
        <v>658</v>
      </c>
      <c r="F16" s="30">
        <v>1</v>
      </c>
      <c r="G16" s="31" t="s">
        <v>659</v>
      </c>
      <c r="H16" s="22" t="s">
        <v>653</v>
      </c>
      <c r="I16" s="30">
        <v>1000</v>
      </c>
      <c r="J16" s="21" t="s">
        <v>654</v>
      </c>
      <c r="K16" s="22" t="s">
        <v>654</v>
      </c>
      <c r="L16" s="23">
        <v>1</v>
      </c>
      <c r="M16" s="21" t="s">
        <v>655</v>
      </c>
      <c r="N16" s="22" t="s">
        <v>655</v>
      </c>
      <c r="O16" s="23">
        <v>1</v>
      </c>
      <c r="P16" s="21" t="s">
        <v>657</v>
      </c>
      <c r="Q16" s="22" t="s">
        <v>657</v>
      </c>
      <c r="R16" s="30">
        <v>1</v>
      </c>
      <c r="S16" s="9">
        <f>Tabel5[[#This Row],[mass/volume_factor]]*Tabel5[[#This Row],[thickness_factor]]*Tabel5[[#This Row],[area_factor]]*Tabel5[[#This Row],[time_factor]]*Tabel5[[#This Row],[pressure_factor]]</f>
        <v>1000</v>
      </c>
    </row>
    <row r="17" spans="1:19">
      <c r="A17" s="8" t="s">
        <v>669</v>
      </c>
      <c r="B17" s="22" t="s">
        <v>570</v>
      </c>
      <c r="C17" s="8" t="s">
        <v>670</v>
      </c>
      <c r="D17" s="21" t="s">
        <v>658</v>
      </c>
      <c r="E17" s="22" t="s">
        <v>658</v>
      </c>
      <c r="F17" s="23">
        <v>1</v>
      </c>
      <c r="G17" s="21" t="s">
        <v>659</v>
      </c>
      <c r="H17" s="22" t="s">
        <v>653</v>
      </c>
      <c r="I17" s="23">
        <v>1000</v>
      </c>
      <c r="J17" s="21" t="s">
        <v>654</v>
      </c>
      <c r="K17" s="22" t="s">
        <v>654</v>
      </c>
      <c r="L17" s="23">
        <v>1</v>
      </c>
      <c r="M17" s="21" t="s">
        <v>655</v>
      </c>
      <c r="N17" s="22" t="s">
        <v>655</v>
      </c>
      <c r="O17" s="23">
        <v>1</v>
      </c>
      <c r="P17" s="21" t="s">
        <v>660</v>
      </c>
      <c r="Q17" s="22" t="s">
        <v>657</v>
      </c>
      <c r="R17" s="23">
        <v>100</v>
      </c>
      <c r="S17" s="9">
        <f>Tabel5[[#This Row],[mass/volume_factor]]*Tabel5[[#This Row],[thickness_factor]]*Tabel5[[#This Row],[area_factor]]*Tabel5[[#This Row],[time_factor]]*Tabel5[[#This Row],[pressure_factor]]</f>
        <v>100000</v>
      </c>
    </row>
    <row r="18" spans="1:19">
      <c r="A18" s="8" t="s">
        <v>669</v>
      </c>
      <c r="B18" s="32" t="s">
        <v>584</v>
      </c>
      <c r="C18" s="8" t="s">
        <v>674</v>
      </c>
      <c r="D18" s="21" t="s">
        <v>666</v>
      </c>
      <c r="E18" s="22" t="s">
        <v>658</v>
      </c>
      <c r="F18" s="30">
        <v>1000000</v>
      </c>
      <c r="G18" s="21" t="s">
        <v>652</v>
      </c>
      <c r="H18" s="22" t="s">
        <v>653</v>
      </c>
      <c r="I18" s="23">
        <v>1000000</v>
      </c>
      <c r="J18" s="21" t="s">
        <v>654</v>
      </c>
      <c r="K18" s="22" t="s">
        <v>654</v>
      </c>
      <c r="L18" s="23">
        <v>1</v>
      </c>
      <c r="M18" s="21" t="s">
        <v>662</v>
      </c>
      <c r="N18" s="22" t="s">
        <v>655</v>
      </c>
      <c r="O18" s="23">
        <v>86400</v>
      </c>
      <c r="P18" s="21" t="s">
        <v>656</v>
      </c>
      <c r="Q18" s="22" t="s">
        <v>657</v>
      </c>
      <c r="R18" s="23">
        <v>100000</v>
      </c>
      <c r="S18" s="9">
        <f>Tabel5[[#This Row],[mass/volume_factor]]*Tabel5[[#This Row],[thickness_factor]]*Tabel5[[#This Row],[area_factor]]*Tabel5[[#This Row],[time_factor]]*Tabel5[[#This Row],[pressure_factor]]</f>
        <v>8.64E+21</v>
      </c>
    </row>
    <row r="19" spans="1:19">
      <c r="A19" s="8" t="s">
        <v>669</v>
      </c>
      <c r="B19" s="22" t="s">
        <v>474</v>
      </c>
      <c r="C19" s="8" t="s">
        <v>675</v>
      </c>
      <c r="D19" s="21" t="s">
        <v>676</v>
      </c>
      <c r="E19" s="22" t="s">
        <v>658</v>
      </c>
      <c r="F19" s="30">
        <v>1</v>
      </c>
      <c r="G19" s="31" t="s">
        <v>652</v>
      </c>
      <c r="H19" s="22" t="s">
        <v>653</v>
      </c>
      <c r="I19" s="23">
        <v>1000000</v>
      </c>
      <c r="J19" s="21" t="s">
        <v>654</v>
      </c>
      <c r="K19" s="22" t="s">
        <v>654</v>
      </c>
      <c r="L19" s="23">
        <v>1</v>
      </c>
      <c r="M19" s="21" t="s">
        <v>655</v>
      </c>
      <c r="N19" s="22" t="s">
        <v>655</v>
      </c>
      <c r="O19" s="23">
        <v>1</v>
      </c>
      <c r="P19" s="21" t="s">
        <v>656</v>
      </c>
      <c r="Q19" s="22" t="s">
        <v>657</v>
      </c>
      <c r="R19" s="23">
        <v>100000</v>
      </c>
      <c r="S19" s="9">
        <f>Tabel5[[#This Row],[mass/volume_factor]]*Tabel5[[#This Row],[thickness_factor]]*Tabel5[[#This Row],[area_factor]]*Tabel5[[#This Row],[time_factor]]*Tabel5[[#This Row],[pressure_factor]]</f>
        <v>100000000000</v>
      </c>
    </row>
    <row r="20" spans="1:19">
      <c r="A20" s="10" t="s">
        <v>677</v>
      </c>
      <c r="B20" s="25" t="s">
        <v>613</v>
      </c>
      <c r="C20" s="10" t="s">
        <v>678</v>
      </c>
      <c r="D20" s="24" t="s">
        <v>658</v>
      </c>
      <c r="E20" s="25" t="s">
        <v>658</v>
      </c>
      <c r="F20" s="26">
        <v>1</v>
      </c>
      <c r="G20" s="24" t="s">
        <v>668</v>
      </c>
      <c r="H20" s="25" t="s">
        <v>668</v>
      </c>
      <c r="I20" s="26" t="s">
        <v>668</v>
      </c>
      <c r="J20" s="24" t="s">
        <v>654</v>
      </c>
      <c r="K20" s="25" t="s">
        <v>654</v>
      </c>
      <c r="L20" s="26">
        <v>1</v>
      </c>
      <c r="M20" s="24" t="s">
        <v>655</v>
      </c>
      <c r="N20" s="25" t="s">
        <v>655</v>
      </c>
      <c r="O20" s="26">
        <v>1</v>
      </c>
      <c r="P20" s="24" t="s">
        <v>679</v>
      </c>
      <c r="Q20" s="25" t="s">
        <v>657</v>
      </c>
      <c r="R20" s="26">
        <v>1</v>
      </c>
      <c r="S20" s="11">
        <f>Tabel5[[#This Row],[mass/volume_factor]]*Tabel5[[#This Row],[area_factor]]*Tabel5[[#This Row],[time_factor]]*Tabel5[[#This Row],[pressure_factor]]</f>
        <v>1</v>
      </c>
    </row>
    <row r="21" spans="1:19">
      <c r="A21" s="33" t="s">
        <v>680</v>
      </c>
      <c r="B21" s="33" t="s">
        <v>588</v>
      </c>
      <c r="C21" s="33" t="s">
        <v>670</v>
      </c>
      <c r="D21" s="34" t="s">
        <v>658</v>
      </c>
      <c r="E21" s="35" t="s">
        <v>658</v>
      </c>
      <c r="F21" s="36">
        <v>1</v>
      </c>
      <c r="G21" s="34" t="s">
        <v>671</v>
      </c>
      <c r="H21" s="35" t="s">
        <v>653</v>
      </c>
      <c r="I21" s="36">
        <v>10000</v>
      </c>
      <c r="J21" s="34" t="s">
        <v>672</v>
      </c>
      <c r="K21" s="35" t="s">
        <v>654</v>
      </c>
      <c r="L21" s="36">
        <v>10000</v>
      </c>
      <c r="M21" s="34" t="s">
        <v>662</v>
      </c>
      <c r="N21" s="35" t="s">
        <v>655</v>
      </c>
      <c r="O21" s="36">
        <v>86400</v>
      </c>
      <c r="P21" s="34" t="s">
        <v>673</v>
      </c>
      <c r="Q21" s="35" t="s">
        <v>657</v>
      </c>
      <c r="R21" s="36">
        <v>0.9869</v>
      </c>
      <c r="S21" s="37">
        <f>Tabel5[[#This Row],[mass/volume_factor]]*Tabel5[[#This Row],[thickness_factor]]*Tabel5[[#This Row],[area_factor]]*Tabel5[[#This Row],[time_factor]]*Tabel5[[#This Row],[pressure_factor]]</f>
        <v>8526816000000</v>
      </c>
    </row>
    <row r="22" spans="1:19">
      <c r="A22" s="33" t="s">
        <v>680</v>
      </c>
      <c r="B22" s="35" t="s">
        <v>558</v>
      </c>
      <c r="C22" s="33" t="s">
        <v>670</v>
      </c>
      <c r="D22" s="34" t="s">
        <v>658</v>
      </c>
      <c r="E22" s="35" t="s">
        <v>658</v>
      </c>
      <c r="F22" s="36">
        <v>1</v>
      </c>
      <c r="G22" s="34" t="s">
        <v>671</v>
      </c>
      <c r="H22" s="35" t="s">
        <v>653</v>
      </c>
      <c r="I22" s="36">
        <v>10000</v>
      </c>
      <c r="J22" s="34" t="s">
        <v>654</v>
      </c>
      <c r="K22" s="35" t="s">
        <v>654</v>
      </c>
      <c r="L22" s="36">
        <v>1</v>
      </c>
      <c r="M22" s="34" t="s">
        <v>655</v>
      </c>
      <c r="N22" s="35" t="s">
        <v>655</v>
      </c>
      <c r="O22" s="36">
        <v>1</v>
      </c>
      <c r="P22" s="34" t="s">
        <v>673</v>
      </c>
      <c r="Q22" s="35" t="s">
        <v>657</v>
      </c>
      <c r="R22" s="36">
        <v>0.9869</v>
      </c>
      <c r="S22" s="37">
        <f>Tabel5[[#This Row],[mass/volume_factor]]*Tabel5[[#This Row],[thickness_factor]]*Tabel5[[#This Row],[area_factor]]*Tabel5[[#This Row],[time_factor]]*Tabel5[[#This Row],[pressure_factor]]</f>
        <v>9869</v>
      </c>
    </row>
    <row r="23" spans="1:19">
      <c r="A23" s="33" t="s">
        <v>680</v>
      </c>
      <c r="B23" s="35" t="s">
        <v>570</v>
      </c>
      <c r="C23" s="33" t="s">
        <v>670</v>
      </c>
      <c r="D23" s="34" t="s">
        <v>658</v>
      </c>
      <c r="E23" s="35" t="s">
        <v>658</v>
      </c>
      <c r="F23" s="36">
        <v>1</v>
      </c>
      <c r="G23" s="34" t="s">
        <v>659</v>
      </c>
      <c r="H23" s="35" t="s">
        <v>653</v>
      </c>
      <c r="I23" s="36">
        <v>1000</v>
      </c>
      <c r="J23" s="34" t="s">
        <v>654</v>
      </c>
      <c r="K23" s="35" t="s">
        <v>654</v>
      </c>
      <c r="L23" s="36">
        <v>1</v>
      </c>
      <c r="M23" s="34" t="s">
        <v>655</v>
      </c>
      <c r="N23" s="35" t="s">
        <v>655</v>
      </c>
      <c r="O23" s="36">
        <v>1</v>
      </c>
      <c r="P23" s="34" t="s">
        <v>660</v>
      </c>
      <c r="Q23" s="35" t="s">
        <v>657</v>
      </c>
      <c r="R23" s="36">
        <v>100</v>
      </c>
      <c r="S23" s="37">
        <f>Tabel5[[#This Row],[mass/volume_factor]]*Tabel5[[#This Row],[thickness_factor]]*Tabel5[[#This Row],[area_factor]]*Tabel5[[#This Row],[time_factor]]*Tabel5[[#This Row],[pressure_factor]]</f>
        <v>100000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EB3D0-DB11-47AB-9B20-B5745BE5AC49}">
  <dimension ref="A1:W29"/>
  <sheetViews>
    <sheetView zoomScale="76" zoomScaleNormal="76" workbookViewId="0">
      <selection activeCell="B11" sqref="B11"/>
    </sheetView>
  </sheetViews>
  <sheetFormatPr defaultRowHeight="14.45"/>
  <cols>
    <col min="1" max="1" width="14.5703125" bestFit="1" customWidth="1"/>
    <col min="2" max="2" width="106.85546875" bestFit="1" customWidth="1"/>
    <col min="3" max="3" width="200.140625" bestFit="1" customWidth="1"/>
    <col min="4" max="4" width="10" bestFit="1" customWidth="1"/>
    <col min="5" max="5" width="35" bestFit="1" customWidth="1"/>
    <col min="6" max="6" width="32.7109375" bestFit="1" customWidth="1"/>
    <col min="7" max="7" width="15.28515625" bestFit="1" customWidth="1"/>
    <col min="8" max="8" width="34.28515625" bestFit="1" customWidth="1"/>
    <col min="9" max="9" width="255.7109375" bestFit="1" customWidth="1"/>
    <col min="10" max="10" width="18" bestFit="1" customWidth="1"/>
    <col min="11" max="11" width="86.28515625" bestFit="1" customWidth="1"/>
    <col min="12" max="12" width="18" bestFit="1" customWidth="1"/>
    <col min="13" max="13" width="27.42578125" bestFit="1" customWidth="1"/>
    <col min="14" max="14" width="16.28515625" bestFit="1" customWidth="1"/>
    <col min="15" max="15" width="55.5703125" bestFit="1" customWidth="1"/>
    <col min="16" max="16" width="19.7109375" bestFit="1" customWidth="1"/>
    <col min="17" max="17" width="69" bestFit="1" customWidth="1"/>
    <col min="18" max="18" width="17.7109375" bestFit="1" customWidth="1"/>
    <col min="19" max="19" width="69.28515625" bestFit="1" customWidth="1"/>
    <col min="20" max="20" width="21.28515625" bestFit="1" customWidth="1"/>
    <col min="21" max="21" width="68.42578125" bestFit="1" customWidth="1"/>
    <col min="22" max="22" width="16.7109375" bestFit="1" customWidth="1"/>
    <col min="23" max="23" width="12.42578125" bestFit="1" customWidth="1"/>
  </cols>
  <sheetData>
    <row r="1" spans="1:23" ht="122.25" customHeight="1">
      <c r="A1" t="s">
        <v>56</v>
      </c>
      <c r="B1" t="s">
        <v>57</v>
      </c>
      <c r="C1" t="s">
        <v>58</v>
      </c>
      <c r="D1" t="s">
        <v>59</v>
      </c>
      <c r="E1" t="s">
        <v>681</v>
      </c>
      <c r="F1" t="s">
        <v>61</v>
      </c>
      <c r="G1" t="s">
        <v>682</v>
      </c>
      <c r="H1" t="s">
        <v>683</v>
      </c>
      <c r="I1" t="s">
        <v>684</v>
      </c>
      <c r="J1" t="s">
        <v>685</v>
      </c>
      <c r="K1" t="s">
        <v>686</v>
      </c>
      <c r="L1" t="s">
        <v>687</v>
      </c>
      <c r="M1" t="s">
        <v>688</v>
      </c>
      <c r="N1" t="s">
        <v>689</v>
      </c>
      <c r="O1" t="s">
        <v>690</v>
      </c>
      <c r="P1" t="s">
        <v>691</v>
      </c>
      <c r="Q1" t="s">
        <v>692</v>
      </c>
      <c r="R1" t="s">
        <v>693</v>
      </c>
      <c r="S1" t="s">
        <v>694</v>
      </c>
      <c r="T1" t="s">
        <v>695</v>
      </c>
      <c r="U1" t="s">
        <v>696</v>
      </c>
      <c r="V1" t="s">
        <v>697</v>
      </c>
      <c r="W1" t="s">
        <v>698</v>
      </c>
    </row>
    <row r="2" spans="1:23">
      <c r="A2">
        <v>1</v>
      </c>
      <c r="B2" t="s">
        <v>451</v>
      </c>
      <c r="C2" t="s">
        <v>452</v>
      </c>
      <c r="D2">
        <v>2025</v>
      </c>
      <c r="E2" t="s">
        <v>378</v>
      </c>
      <c r="F2" t="s">
        <v>453</v>
      </c>
      <c r="G2" t="s">
        <v>699</v>
      </c>
      <c r="H2">
        <v>1</v>
      </c>
      <c r="I2" t="s">
        <v>700</v>
      </c>
      <c r="J2">
        <v>1</v>
      </c>
      <c r="L2">
        <v>1</v>
      </c>
      <c r="N2">
        <v>0.5</v>
      </c>
      <c r="O2" t="s">
        <v>701</v>
      </c>
      <c r="P2">
        <v>1</v>
      </c>
      <c r="Q2" t="s">
        <v>702</v>
      </c>
      <c r="R2">
        <v>0.5</v>
      </c>
      <c r="S2" t="s">
        <v>703</v>
      </c>
      <c r="T2">
        <v>1</v>
      </c>
      <c r="U2" t="s">
        <v>704</v>
      </c>
      <c r="V2">
        <f>SUM(H2,J2,L2,N2,P2,R2,T2)/7</f>
        <v>0.8571428571428571</v>
      </c>
      <c r="W2" t="s">
        <v>454</v>
      </c>
    </row>
    <row r="3" spans="1:23">
      <c r="A3">
        <v>5</v>
      </c>
      <c r="B3" t="s">
        <v>491</v>
      </c>
      <c r="C3" t="s">
        <v>492</v>
      </c>
      <c r="D3">
        <v>2025</v>
      </c>
      <c r="E3" t="s">
        <v>493</v>
      </c>
      <c r="F3" t="s">
        <v>494</v>
      </c>
      <c r="G3" t="s">
        <v>495</v>
      </c>
      <c r="H3">
        <v>0.5</v>
      </c>
      <c r="I3" t="s">
        <v>705</v>
      </c>
      <c r="J3">
        <v>1</v>
      </c>
      <c r="L3">
        <v>1</v>
      </c>
      <c r="N3">
        <v>1</v>
      </c>
      <c r="O3" t="s">
        <v>706</v>
      </c>
      <c r="P3">
        <v>0.5</v>
      </c>
      <c r="Q3" t="s">
        <v>707</v>
      </c>
      <c r="R3">
        <v>1</v>
      </c>
      <c r="S3" t="s">
        <v>708</v>
      </c>
      <c r="T3">
        <v>1</v>
      </c>
      <c r="U3" t="s">
        <v>709</v>
      </c>
      <c r="V3">
        <f t="shared" ref="V3:V29" si="0">SUM(H3,J3,L3,N3,P3,R3,T3)/7</f>
        <v>0.8571428571428571</v>
      </c>
      <c r="W3" t="s">
        <v>454</v>
      </c>
    </row>
    <row r="4" spans="1:23">
      <c r="A4">
        <v>6</v>
      </c>
      <c r="B4" t="s">
        <v>183</v>
      </c>
      <c r="C4" t="s">
        <v>184</v>
      </c>
      <c r="D4">
        <v>2025</v>
      </c>
      <c r="E4" t="s">
        <v>710</v>
      </c>
      <c r="F4" t="s">
        <v>186</v>
      </c>
      <c r="G4" t="s">
        <v>540</v>
      </c>
      <c r="H4">
        <v>1</v>
      </c>
      <c r="I4" t="s">
        <v>711</v>
      </c>
      <c r="J4">
        <v>0</v>
      </c>
      <c r="K4" t="s">
        <v>712</v>
      </c>
      <c r="L4">
        <v>1</v>
      </c>
      <c r="N4">
        <v>1</v>
      </c>
      <c r="O4" t="s">
        <v>713</v>
      </c>
      <c r="P4">
        <v>0.5</v>
      </c>
      <c r="Q4" t="s">
        <v>707</v>
      </c>
      <c r="R4">
        <v>1</v>
      </c>
      <c r="S4" t="s">
        <v>714</v>
      </c>
      <c r="T4">
        <v>0.5</v>
      </c>
      <c r="U4" t="s">
        <v>715</v>
      </c>
      <c r="V4">
        <f t="shared" si="0"/>
        <v>0.7142857142857143</v>
      </c>
      <c r="W4" t="s">
        <v>172</v>
      </c>
    </row>
    <row r="5" spans="1:23">
      <c r="A5">
        <v>13</v>
      </c>
      <c r="B5" t="s">
        <v>214</v>
      </c>
      <c r="C5" t="s">
        <v>215</v>
      </c>
      <c r="D5">
        <v>2025</v>
      </c>
      <c r="E5" t="s">
        <v>216</v>
      </c>
      <c r="F5" t="s">
        <v>217</v>
      </c>
      <c r="G5" t="s">
        <v>495</v>
      </c>
      <c r="H5">
        <v>0.5</v>
      </c>
      <c r="I5" t="s">
        <v>716</v>
      </c>
      <c r="J5">
        <v>0.5</v>
      </c>
      <c r="K5" t="s">
        <v>717</v>
      </c>
      <c r="L5">
        <v>1</v>
      </c>
      <c r="N5">
        <v>1</v>
      </c>
      <c r="O5" t="s">
        <v>718</v>
      </c>
      <c r="P5">
        <v>0.5</v>
      </c>
      <c r="Q5" t="s">
        <v>707</v>
      </c>
      <c r="R5">
        <v>0.5</v>
      </c>
      <c r="S5" t="s">
        <v>703</v>
      </c>
      <c r="T5">
        <v>0.5</v>
      </c>
      <c r="U5" t="s">
        <v>719</v>
      </c>
      <c r="V5">
        <f>SUM(H5,J5,L5,N5,P5,R5,T5)/7</f>
        <v>0.6428571428571429</v>
      </c>
      <c r="W5" t="s">
        <v>172</v>
      </c>
    </row>
    <row r="6" spans="1:23">
      <c r="A6">
        <v>18</v>
      </c>
      <c r="B6" t="s">
        <v>505</v>
      </c>
      <c r="C6" t="s">
        <v>506</v>
      </c>
      <c r="D6">
        <v>2025</v>
      </c>
      <c r="E6" t="s">
        <v>253</v>
      </c>
      <c r="F6" t="s">
        <v>507</v>
      </c>
      <c r="G6" t="s">
        <v>512</v>
      </c>
      <c r="H6">
        <v>0.5</v>
      </c>
      <c r="I6" t="s">
        <v>716</v>
      </c>
      <c r="J6">
        <v>1</v>
      </c>
      <c r="L6">
        <v>1</v>
      </c>
      <c r="N6">
        <v>1</v>
      </c>
      <c r="O6" t="s">
        <v>720</v>
      </c>
      <c r="P6">
        <v>1</v>
      </c>
      <c r="Q6" t="s">
        <v>721</v>
      </c>
      <c r="R6">
        <v>1</v>
      </c>
      <c r="S6" t="s">
        <v>714</v>
      </c>
      <c r="T6">
        <v>0.5</v>
      </c>
      <c r="U6" t="s">
        <v>722</v>
      </c>
      <c r="V6">
        <f t="shared" si="0"/>
        <v>0.8571428571428571</v>
      </c>
      <c r="W6" t="s">
        <v>454</v>
      </c>
    </row>
    <row r="7" spans="1:23">
      <c r="A7">
        <v>20</v>
      </c>
      <c r="B7" t="s">
        <v>514</v>
      </c>
      <c r="C7" t="s">
        <v>515</v>
      </c>
      <c r="D7">
        <v>2025</v>
      </c>
      <c r="E7" t="s">
        <v>177</v>
      </c>
      <c r="F7" t="s">
        <v>516</v>
      </c>
      <c r="G7" t="s">
        <v>495</v>
      </c>
      <c r="H7">
        <v>1</v>
      </c>
      <c r="I7" t="s">
        <v>723</v>
      </c>
      <c r="J7">
        <v>0.5</v>
      </c>
      <c r="K7" t="s">
        <v>717</v>
      </c>
      <c r="L7">
        <v>1</v>
      </c>
      <c r="N7">
        <v>1</v>
      </c>
      <c r="O7" t="s">
        <v>724</v>
      </c>
      <c r="P7">
        <v>0.5</v>
      </c>
      <c r="Q7" t="s">
        <v>707</v>
      </c>
      <c r="R7">
        <v>1</v>
      </c>
      <c r="S7" t="s">
        <v>714</v>
      </c>
      <c r="T7">
        <v>1</v>
      </c>
      <c r="U7" t="s">
        <v>709</v>
      </c>
      <c r="V7">
        <f t="shared" si="0"/>
        <v>0.8571428571428571</v>
      </c>
      <c r="W7" t="s">
        <v>454</v>
      </c>
    </row>
    <row r="8" spans="1:23">
      <c r="A8">
        <v>21</v>
      </c>
      <c r="B8" t="s">
        <v>236</v>
      </c>
      <c r="C8" t="s">
        <v>237</v>
      </c>
      <c r="D8">
        <v>2025</v>
      </c>
      <c r="E8" t="s">
        <v>238</v>
      </c>
      <c r="F8" t="s">
        <v>239</v>
      </c>
      <c r="G8" t="s">
        <v>527</v>
      </c>
      <c r="H8">
        <v>1</v>
      </c>
      <c r="I8" t="s">
        <v>725</v>
      </c>
      <c r="J8">
        <v>1</v>
      </c>
      <c r="L8">
        <v>1</v>
      </c>
      <c r="N8">
        <v>1</v>
      </c>
      <c r="O8" t="s">
        <v>726</v>
      </c>
      <c r="P8">
        <v>1</v>
      </c>
      <c r="Q8" t="s">
        <v>727</v>
      </c>
      <c r="R8">
        <v>0.5</v>
      </c>
      <c r="S8" t="s">
        <v>728</v>
      </c>
      <c r="T8">
        <v>0.5</v>
      </c>
      <c r="U8" t="s">
        <v>729</v>
      </c>
      <c r="V8">
        <f t="shared" si="0"/>
        <v>0.8571428571428571</v>
      </c>
      <c r="W8" t="s">
        <v>454</v>
      </c>
    </row>
    <row r="9" spans="1:23">
      <c r="A9">
        <v>22</v>
      </c>
      <c r="B9" t="s">
        <v>240</v>
      </c>
      <c r="C9" t="s">
        <v>241</v>
      </c>
      <c r="D9">
        <v>2025</v>
      </c>
      <c r="E9" t="s">
        <v>242</v>
      </c>
      <c r="F9" t="s">
        <v>243</v>
      </c>
      <c r="G9" t="s">
        <v>528</v>
      </c>
      <c r="H9">
        <v>1</v>
      </c>
      <c r="I9" t="s">
        <v>730</v>
      </c>
      <c r="J9">
        <v>1</v>
      </c>
      <c r="L9">
        <v>0.5</v>
      </c>
      <c r="M9" t="s">
        <v>731</v>
      </c>
      <c r="N9">
        <v>1</v>
      </c>
      <c r="O9" t="s">
        <v>732</v>
      </c>
      <c r="P9">
        <v>1</v>
      </c>
      <c r="Q9" t="s">
        <v>733</v>
      </c>
      <c r="R9">
        <v>1</v>
      </c>
      <c r="S9" t="s">
        <v>708</v>
      </c>
      <c r="T9">
        <v>1</v>
      </c>
      <c r="U9" t="s">
        <v>709</v>
      </c>
      <c r="V9">
        <f t="shared" si="0"/>
        <v>0.9285714285714286</v>
      </c>
      <c r="W9" t="s">
        <v>454</v>
      </c>
    </row>
    <row r="10" spans="1:23">
      <c r="A10">
        <v>24</v>
      </c>
      <c r="B10" t="s">
        <v>532</v>
      </c>
      <c r="C10" t="s">
        <v>533</v>
      </c>
      <c r="D10">
        <v>2025</v>
      </c>
      <c r="E10" t="s">
        <v>177</v>
      </c>
      <c r="F10" t="s">
        <v>534</v>
      </c>
      <c r="G10" t="s">
        <v>495</v>
      </c>
      <c r="H10">
        <v>1</v>
      </c>
      <c r="I10" t="s">
        <v>734</v>
      </c>
      <c r="J10">
        <v>1</v>
      </c>
      <c r="L10">
        <v>1</v>
      </c>
      <c r="N10">
        <v>1</v>
      </c>
      <c r="O10" t="s">
        <v>735</v>
      </c>
      <c r="P10">
        <v>0.5</v>
      </c>
      <c r="Q10" t="s">
        <v>707</v>
      </c>
      <c r="R10">
        <v>1</v>
      </c>
      <c r="S10" t="s">
        <v>714</v>
      </c>
      <c r="T10">
        <v>1</v>
      </c>
      <c r="U10" t="s">
        <v>709</v>
      </c>
      <c r="V10">
        <f t="shared" si="0"/>
        <v>0.9285714285714286</v>
      </c>
      <c r="W10" t="s">
        <v>454</v>
      </c>
    </row>
    <row r="11" spans="1:23" ht="15.75" customHeight="1">
      <c r="A11">
        <v>27</v>
      </c>
      <c r="B11" t="s">
        <v>255</v>
      </c>
      <c r="C11" t="s">
        <v>256</v>
      </c>
      <c r="D11">
        <v>2025</v>
      </c>
      <c r="E11" t="s">
        <v>195</v>
      </c>
      <c r="F11" t="s">
        <v>257</v>
      </c>
      <c r="G11" t="s">
        <v>537</v>
      </c>
      <c r="H11">
        <v>1</v>
      </c>
      <c r="I11" t="s">
        <v>736</v>
      </c>
      <c r="J11">
        <v>1</v>
      </c>
      <c r="L11">
        <v>1</v>
      </c>
      <c r="N11">
        <v>1</v>
      </c>
      <c r="O11" t="s">
        <v>737</v>
      </c>
      <c r="P11">
        <v>1</v>
      </c>
      <c r="Q11" t="s">
        <v>702</v>
      </c>
      <c r="R11">
        <v>1</v>
      </c>
      <c r="S11" t="s">
        <v>714</v>
      </c>
      <c r="T11">
        <v>1</v>
      </c>
      <c r="U11" t="s">
        <v>709</v>
      </c>
      <c r="V11">
        <f t="shared" si="0"/>
        <v>1</v>
      </c>
      <c r="W11" t="s">
        <v>454</v>
      </c>
    </row>
    <row r="12" spans="1:23" ht="15.75" customHeight="1">
      <c r="A12">
        <v>33</v>
      </c>
      <c r="B12" t="s">
        <v>542</v>
      </c>
      <c r="C12" t="s">
        <v>738</v>
      </c>
      <c r="D12">
        <v>2025</v>
      </c>
      <c r="E12" t="s">
        <v>739</v>
      </c>
      <c r="F12" t="s">
        <v>545</v>
      </c>
      <c r="G12" t="s">
        <v>385</v>
      </c>
      <c r="H12">
        <v>1</v>
      </c>
      <c r="I12" t="s">
        <v>740</v>
      </c>
      <c r="J12">
        <v>1</v>
      </c>
      <c r="L12">
        <v>1</v>
      </c>
      <c r="N12">
        <v>1</v>
      </c>
      <c r="O12" t="s">
        <v>741</v>
      </c>
      <c r="P12">
        <v>0.5</v>
      </c>
      <c r="Q12" t="s">
        <v>707</v>
      </c>
      <c r="R12">
        <v>1</v>
      </c>
      <c r="S12" t="s">
        <v>714</v>
      </c>
      <c r="T12">
        <v>0.5</v>
      </c>
      <c r="U12" t="s">
        <v>742</v>
      </c>
      <c r="V12">
        <f t="shared" si="0"/>
        <v>0.8571428571428571</v>
      </c>
      <c r="W12" t="s">
        <v>454</v>
      </c>
    </row>
    <row r="13" spans="1:23">
      <c r="A13">
        <v>34</v>
      </c>
      <c r="B13" t="s">
        <v>548</v>
      </c>
      <c r="C13" t="s">
        <v>549</v>
      </c>
      <c r="D13">
        <v>2025</v>
      </c>
      <c r="E13" t="s">
        <v>550</v>
      </c>
      <c r="F13" t="s">
        <v>551</v>
      </c>
      <c r="G13" t="s">
        <v>552</v>
      </c>
      <c r="H13">
        <v>1</v>
      </c>
      <c r="I13" t="s">
        <v>743</v>
      </c>
      <c r="J13">
        <v>0.5</v>
      </c>
      <c r="K13" t="s">
        <v>744</v>
      </c>
      <c r="L13">
        <v>1</v>
      </c>
      <c r="N13">
        <v>1</v>
      </c>
      <c r="O13" t="s">
        <v>745</v>
      </c>
      <c r="P13">
        <v>0.5</v>
      </c>
      <c r="Q13" t="s">
        <v>707</v>
      </c>
      <c r="R13">
        <v>1</v>
      </c>
      <c r="S13" t="s">
        <v>714</v>
      </c>
      <c r="T13">
        <v>0.5</v>
      </c>
      <c r="U13" t="s">
        <v>742</v>
      </c>
      <c r="V13">
        <f t="shared" si="0"/>
        <v>0.7857142857142857</v>
      </c>
      <c r="W13" t="s">
        <v>454</v>
      </c>
    </row>
    <row r="14" spans="1:23" s="2" customFormat="1">
      <c r="A14">
        <v>39</v>
      </c>
      <c r="B14" t="s">
        <v>554</v>
      </c>
      <c r="C14" t="s">
        <v>555</v>
      </c>
      <c r="D14">
        <v>2025</v>
      </c>
      <c r="E14" t="s">
        <v>746</v>
      </c>
      <c r="F14" t="s">
        <v>557</v>
      </c>
      <c r="G14" t="s">
        <v>512</v>
      </c>
      <c r="H14">
        <v>1</v>
      </c>
      <c r="I14" t="s">
        <v>747</v>
      </c>
      <c r="J14">
        <v>0.5</v>
      </c>
      <c r="K14" t="s">
        <v>748</v>
      </c>
      <c r="L14">
        <v>1</v>
      </c>
      <c r="M14"/>
      <c r="N14">
        <v>1</v>
      </c>
      <c r="O14" t="s">
        <v>749</v>
      </c>
      <c r="P14">
        <v>0.5</v>
      </c>
      <c r="Q14" t="s">
        <v>750</v>
      </c>
      <c r="R14">
        <v>0.5</v>
      </c>
      <c r="S14" t="s">
        <v>751</v>
      </c>
      <c r="T14">
        <v>1</v>
      </c>
      <c r="U14" t="s">
        <v>709</v>
      </c>
      <c r="V14">
        <f t="shared" si="0"/>
        <v>0.7857142857142857</v>
      </c>
      <c r="W14" t="s">
        <v>454</v>
      </c>
    </row>
    <row r="15" spans="1:23">
      <c r="A15">
        <v>44</v>
      </c>
      <c r="B15" t="s">
        <v>566</v>
      </c>
      <c r="C15" t="s">
        <v>752</v>
      </c>
      <c r="D15">
        <v>2025</v>
      </c>
      <c r="E15" t="s">
        <v>253</v>
      </c>
      <c r="F15" t="s">
        <v>568</v>
      </c>
      <c r="G15" t="s">
        <v>753</v>
      </c>
      <c r="H15">
        <v>1</v>
      </c>
      <c r="I15" t="s">
        <v>754</v>
      </c>
      <c r="J15">
        <v>1</v>
      </c>
      <c r="L15">
        <v>1</v>
      </c>
      <c r="N15">
        <v>1</v>
      </c>
      <c r="O15" t="s">
        <v>755</v>
      </c>
      <c r="P15">
        <v>1</v>
      </c>
      <c r="Q15" t="s">
        <v>727</v>
      </c>
      <c r="R15">
        <v>1</v>
      </c>
      <c r="S15" t="s">
        <v>714</v>
      </c>
      <c r="T15">
        <v>0.5</v>
      </c>
      <c r="U15" t="s">
        <v>756</v>
      </c>
      <c r="V15">
        <f t="shared" si="0"/>
        <v>0.9285714285714286</v>
      </c>
      <c r="W15" t="s">
        <v>454</v>
      </c>
    </row>
    <row r="16" spans="1:23" s="2" customFormat="1">
      <c r="A16">
        <v>53</v>
      </c>
      <c r="B16" t="s">
        <v>333</v>
      </c>
      <c r="C16" t="s">
        <v>757</v>
      </c>
      <c r="D16">
        <v>2024</v>
      </c>
      <c r="E16" t="s">
        <v>200</v>
      </c>
      <c r="F16" t="s">
        <v>335</v>
      </c>
      <c r="G16" t="s">
        <v>758</v>
      </c>
      <c r="H16">
        <v>0.5</v>
      </c>
      <c r="I16" t="s">
        <v>759</v>
      </c>
      <c r="J16">
        <v>1</v>
      </c>
      <c r="K16" t="s">
        <v>748</v>
      </c>
      <c r="L16">
        <v>1</v>
      </c>
      <c r="M16"/>
      <c r="N16">
        <v>1</v>
      </c>
      <c r="O16" t="s">
        <v>760</v>
      </c>
      <c r="P16">
        <v>0</v>
      </c>
      <c r="Q16" t="s">
        <v>761</v>
      </c>
      <c r="R16">
        <v>1</v>
      </c>
      <c r="S16" t="s">
        <v>714</v>
      </c>
      <c r="T16">
        <v>0.5</v>
      </c>
      <c r="U16" t="s">
        <v>762</v>
      </c>
      <c r="V16">
        <f t="shared" si="0"/>
        <v>0.7142857142857143</v>
      </c>
      <c r="W16" t="s">
        <v>172</v>
      </c>
    </row>
    <row r="17" spans="1:23">
      <c r="A17">
        <v>55</v>
      </c>
      <c r="B17" t="s">
        <v>575</v>
      </c>
      <c r="C17" t="s">
        <v>576</v>
      </c>
      <c r="D17">
        <v>2024</v>
      </c>
      <c r="E17" t="s">
        <v>181</v>
      </c>
      <c r="F17" t="s">
        <v>577</v>
      </c>
      <c r="G17" t="s">
        <v>552</v>
      </c>
      <c r="H17">
        <v>1</v>
      </c>
      <c r="I17" t="s">
        <v>763</v>
      </c>
      <c r="J17">
        <v>1</v>
      </c>
      <c r="L17">
        <v>1</v>
      </c>
      <c r="N17">
        <v>1</v>
      </c>
      <c r="O17" t="s">
        <v>764</v>
      </c>
      <c r="P17">
        <v>1</v>
      </c>
      <c r="Q17" t="s">
        <v>765</v>
      </c>
      <c r="R17">
        <v>0.5</v>
      </c>
      <c r="S17" t="s">
        <v>703</v>
      </c>
      <c r="T17">
        <v>1</v>
      </c>
      <c r="U17" t="s">
        <v>709</v>
      </c>
      <c r="V17">
        <f t="shared" si="0"/>
        <v>0.9285714285714286</v>
      </c>
      <c r="W17" t="s">
        <v>454</v>
      </c>
    </row>
    <row r="18" spans="1:23" s="2" customFormat="1">
      <c r="A18">
        <v>63</v>
      </c>
      <c r="B18" t="s">
        <v>364</v>
      </c>
      <c r="C18" t="s">
        <v>766</v>
      </c>
      <c r="D18">
        <v>2024</v>
      </c>
      <c r="E18" t="s">
        <v>366</v>
      </c>
      <c r="F18" t="s">
        <v>367</v>
      </c>
      <c r="G18" t="s">
        <v>758</v>
      </c>
      <c r="H18">
        <v>1</v>
      </c>
      <c r="I18" t="s">
        <v>767</v>
      </c>
      <c r="J18">
        <v>0.5</v>
      </c>
      <c r="K18" t="s">
        <v>768</v>
      </c>
      <c r="L18">
        <v>1</v>
      </c>
      <c r="M18"/>
      <c r="N18">
        <v>0</v>
      </c>
      <c r="O18" t="s">
        <v>769</v>
      </c>
      <c r="P18">
        <v>0.5</v>
      </c>
      <c r="Q18" t="s">
        <v>750</v>
      </c>
      <c r="R18">
        <v>0.5</v>
      </c>
      <c r="S18" t="s">
        <v>770</v>
      </c>
      <c r="T18">
        <v>1</v>
      </c>
      <c r="U18" t="s">
        <v>709</v>
      </c>
      <c r="V18">
        <f t="shared" si="0"/>
        <v>0.6428571428571429</v>
      </c>
      <c r="W18" t="s">
        <v>172</v>
      </c>
    </row>
    <row r="19" spans="1:23">
      <c r="A19">
        <v>64</v>
      </c>
      <c r="B19" t="s">
        <v>368</v>
      </c>
      <c r="C19" t="s">
        <v>369</v>
      </c>
      <c r="D19">
        <v>2024</v>
      </c>
      <c r="E19" t="s">
        <v>771</v>
      </c>
      <c r="F19" t="s">
        <v>371</v>
      </c>
      <c r="G19" t="s">
        <v>552</v>
      </c>
      <c r="H19">
        <v>0.5</v>
      </c>
      <c r="I19" t="s">
        <v>772</v>
      </c>
      <c r="J19">
        <v>1</v>
      </c>
      <c r="L19">
        <v>1</v>
      </c>
      <c r="N19">
        <v>0</v>
      </c>
      <c r="O19" t="s">
        <v>773</v>
      </c>
      <c r="P19">
        <v>1</v>
      </c>
      <c r="Q19" t="s">
        <v>702</v>
      </c>
      <c r="R19">
        <v>0.5</v>
      </c>
      <c r="S19" t="s">
        <v>774</v>
      </c>
      <c r="T19">
        <v>1</v>
      </c>
      <c r="U19" t="s">
        <v>709</v>
      </c>
      <c r="V19">
        <f t="shared" si="0"/>
        <v>0.7142857142857143</v>
      </c>
      <c r="W19" t="s">
        <v>172</v>
      </c>
    </row>
    <row r="20" spans="1:23">
      <c r="A20">
        <v>71</v>
      </c>
      <c r="B20" t="s">
        <v>579</v>
      </c>
      <c r="C20" t="s">
        <v>580</v>
      </c>
      <c r="D20">
        <v>2024</v>
      </c>
      <c r="E20" t="s">
        <v>177</v>
      </c>
      <c r="F20" t="s">
        <v>581</v>
      </c>
      <c r="G20" t="s">
        <v>582</v>
      </c>
      <c r="H20">
        <v>1</v>
      </c>
      <c r="I20" t="s">
        <v>775</v>
      </c>
      <c r="J20">
        <v>1</v>
      </c>
      <c r="K20" t="s">
        <v>776</v>
      </c>
      <c r="L20">
        <v>1</v>
      </c>
      <c r="N20">
        <v>1</v>
      </c>
      <c r="O20" t="s">
        <v>777</v>
      </c>
      <c r="P20">
        <v>0.5</v>
      </c>
      <c r="Q20" t="s">
        <v>750</v>
      </c>
      <c r="R20">
        <v>1</v>
      </c>
      <c r="S20" t="s">
        <v>714</v>
      </c>
      <c r="T20">
        <v>1</v>
      </c>
      <c r="U20" t="s">
        <v>709</v>
      </c>
      <c r="V20">
        <f t="shared" si="0"/>
        <v>0.9285714285714286</v>
      </c>
      <c r="W20" t="s">
        <v>454</v>
      </c>
    </row>
    <row r="21" spans="1:23">
      <c r="A21">
        <v>72</v>
      </c>
      <c r="B21" t="s">
        <v>592</v>
      </c>
      <c r="C21" t="s">
        <v>593</v>
      </c>
      <c r="D21">
        <v>2024</v>
      </c>
      <c r="E21" t="s">
        <v>177</v>
      </c>
      <c r="F21" t="s">
        <v>594</v>
      </c>
      <c r="G21" t="s">
        <v>758</v>
      </c>
      <c r="H21">
        <v>0.5</v>
      </c>
      <c r="I21" t="s">
        <v>778</v>
      </c>
      <c r="J21">
        <v>1</v>
      </c>
      <c r="L21">
        <v>1</v>
      </c>
      <c r="N21">
        <v>1</v>
      </c>
      <c r="O21" t="s">
        <v>779</v>
      </c>
      <c r="P21">
        <v>0.5</v>
      </c>
      <c r="Q21" t="s">
        <v>750</v>
      </c>
      <c r="R21">
        <v>0.5</v>
      </c>
      <c r="S21" t="s">
        <v>780</v>
      </c>
      <c r="T21">
        <v>1</v>
      </c>
      <c r="U21" t="s">
        <v>709</v>
      </c>
      <c r="V21">
        <f>SUM(H21,J21,L21,N21,P21,R21,T21)/7</f>
        <v>0.7857142857142857</v>
      </c>
      <c r="W21" t="s">
        <v>454</v>
      </c>
    </row>
    <row r="22" spans="1:23">
      <c r="A22">
        <v>73</v>
      </c>
      <c r="B22" t="s">
        <v>597</v>
      </c>
      <c r="C22" t="s">
        <v>598</v>
      </c>
      <c r="D22">
        <v>2024</v>
      </c>
      <c r="E22" t="s">
        <v>599</v>
      </c>
      <c r="F22" t="s">
        <v>600</v>
      </c>
      <c r="G22" t="s">
        <v>527</v>
      </c>
      <c r="H22">
        <v>1</v>
      </c>
      <c r="I22" t="s">
        <v>781</v>
      </c>
      <c r="J22">
        <v>1</v>
      </c>
      <c r="L22">
        <v>1</v>
      </c>
      <c r="N22">
        <v>1</v>
      </c>
      <c r="O22" t="s">
        <v>782</v>
      </c>
      <c r="P22">
        <v>1</v>
      </c>
      <c r="Q22" t="s">
        <v>765</v>
      </c>
      <c r="R22">
        <v>1</v>
      </c>
      <c r="S22" t="s">
        <v>714</v>
      </c>
      <c r="T22">
        <v>1</v>
      </c>
      <c r="U22" t="s">
        <v>709</v>
      </c>
      <c r="V22">
        <f t="shared" si="0"/>
        <v>1</v>
      </c>
      <c r="W22" t="s">
        <v>454</v>
      </c>
    </row>
    <row r="23" spans="1:23">
      <c r="A23">
        <v>77</v>
      </c>
      <c r="B23" t="s">
        <v>404</v>
      </c>
      <c r="C23" t="s">
        <v>405</v>
      </c>
      <c r="D23">
        <v>2024</v>
      </c>
      <c r="E23" t="s">
        <v>710</v>
      </c>
      <c r="F23" t="s">
        <v>406</v>
      </c>
      <c r="G23" t="s">
        <v>385</v>
      </c>
      <c r="H23">
        <v>0.5</v>
      </c>
      <c r="I23" t="s">
        <v>783</v>
      </c>
      <c r="J23">
        <v>0.5</v>
      </c>
      <c r="K23" t="s">
        <v>717</v>
      </c>
      <c r="L23">
        <v>1</v>
      </c>
      <c r="N23">
        <v>1</v>
      </c>
      <c r="O23" t="s">
        <v>784</v>
      </c>
      <c r="P23">
        <v>0.5</v>
      </c>
      <c r="Q23" t="s">
        <v>707</v>
      </c>
      <c r="R23">
        <v>0.5</v>
      </c>
      <c r="S23" t="s">
        <v>785</v>
      </c>
      <c r="T23">
        <v>1</v>
      </c>
      <c r="U23" t="s">
        <v>709</v>
      </c>
      <c r="V23">
        <f t="shared" si="0"/>
        <v>0.7142857142857143</v>
      </c>
      <c r="W23" t="s">
        <v>172</v>
      </c>
    </row>
    <row r="24" spans="1:23">
      <c r="A24">
        <v>79</v>
      </c>
      <c r="B24" t="s">
        <v>410</v>
      </c>
      <c r="C24" t="s">
        <v>411</v>
      </c>
      <c r="D24">
        <v>2024</v>
      </c>
      <c r="E24" t="s">
        <v>786</v>
      </c>
      <c r="F24" t="s">
        <v>413</v>
      </c>
      <c r="G24" t="s">
        <v>787</v>
      </c>
      <c r="H24">
        <v>1</v>
      </c>
      <c r="I24" t="s">
        <v>788</v>
      </c>
      <c r="J24">
        <v>0.5</v>
      </c>
      <c r="K24" t="s">
        <v>776</v>
      </c>
      <c r="L24">
        <v>1</v>
      </c>
      <c r="N24">
        <v>1</v>
      </c>
      <c r="O24" t="s">
        <v>789</v>
      </c>
      <c r="P24">
        <v>0</v>
      </c>
      <c r="Q24" t="s">
        <v>790</v>
      </c>
      <c r="R24">
        <v>0.5</v>
      </c>
      <c r="S24" t="s">
        <v>791</v>
      </c>
      <c r="T24">
        <v>1</v>
      </c>
      <c r="U24" t="s">
        <v>709</v>
      </c>
      <c r="V24">
        <f>SUM(H24,J24,L24,N24,P24,R24,T24)/7</f>
        <v>0.7142857142857143</v>
      </c>
      <c r="W24" t="s">
        <v>172</v>
      </c>
    </row>
    <row r="25" spans="1:23">
      <c r="A25">
        <v>80</v>
      </c>
      <c r="B25" t="s">
        <v>603</v>
      </c>
      <c r="C25" t="s">
        <v>604</v>
      </c>
      <c r="D25">
        <v>2024</v>
      </c>
      <c r="E25" t="s">
        <v>605</v>
      </c>
      <c r="F25" t="s">
        <v>606</v>
      </c>
      <c r="G25" t="s">
        <v>385</v>
      </c>
      <c r="H25">
        <v>1</v>
      </c>
      <c r="I25" t="s">
        <v>792</v>
      </c>
      <c r="J25">
        <v>1</v>
      </c>
      <c r="L25">
        <v>1</v>
      </c>
      <c r="N25">
        <v>1</v>
      </c>
      <c r="O25" t="s">
        <v>793</v>
      </c>
      <c r="P25">
        <v>1</v>
      </c>
      <c r="Q25" t="s">
        <v>765</v>
      </c>
      <c r="R25">
        <v>1</v>
      </c>
      <c r="S25" t="s">
        <v>714</v>
      </c>
      <c r="T25">
        <v>1</v>
      </c>
      <c r="U25" t="s">
        <v>709</v>
      </c>
      <c r="V25">
        <f t="shared" si="0"/>
        <v>1</v>
      </c>
      <c r="W25" t="s">
        <v>454</v>
      </c>
    </row>
    <row r="26" spans="1:23">
      <c r="A26">
        <v>81</v>
      </c>
      <c r="B26" t="s">
        <v>610</v>
      </c>
      <c r="C26" t="s">
        <v>611</v>
      </c>
      <c r="D26">
        <v>2024</v>
      </c>
      <c r="E26" t="s">
        <v>277</v>
      </c>
      <c r="F26" t="s">
        <v>612</v>
      </c>
      <c r="G26" t="s">
        <v>495</v>
      </c>
      <c r="H26">
        <v>1</v>
      </c>
      <c r="I26" t="s">
        <v>794</v>
      </c>
      <c r="J26">
        <v>1</v>
      </c>
      <c r="L26">
        <v>1</v>
      </c>
      <c r="N26">
        <v>1</v>
      </c>
      <c r="O26" t="s">
        <v>795</v>
      </c>
      <c r="P26">
        <v>0.5</v>
      </c>
      <c r="Q26" t="s">
        <v>796</v>
      </c>
      <c r="R26">
        <v>0.5</v>
      </c>
      <c r="S26" t="s">
        <v>797</v>
      </c>
      <c r="T26">
        <v>0.5</v>
      </c>
      <c r="U26" t="s">
        <v>798</v>
      </c>
      <c r="V26">
        <f t="shared" si="0"/>
        <v>0.7857142857142857</v>
      </c>
      <c r="W26" t="s">
        <v>454</v>
      </c>
    </row>
    <row r="27" spans="1:23">
      <c r="A27">
        <v>82</v>
      </c>
      <c r="B27" t="s">
        <v>414</v>
      </c>
      <c r="C27" t="s">
        <v>415</v>
      </c>
      <c r="D27">
        <v>2024</v>
      </c>
      <c r="E27" t="s">
        <v>249</v>
      </c>
      <c r="F27" t="s">
        <v>416</v>
      </c>
      <c r="G27" t="s">
        <v>799</v>
      </c>
      <c r="H27">
        <v>1</v>
      </c>
      <c r="I27" t="s">
        <v>800</v>
      </c>
      <c r="J27">
        <v>0.5</v>
      </c>
      <c r="K27" t="s">
        <v>717</v>
      </c>
      <c r="L27">
        <v>1</v>
      </c>
      <c r="N27">
        <v>1</v>
      </c>
      <c r="O27" t="s">
        <v>801</v>
      </c>
      <c r="P27">
        <v>0.5</v>
      </c>
      <c r="Q27" t="s">
        <v>707</v>
      </c>
      <c r="R27">
        <v>0.5</v>
      </c>
      <c r="S27" t="s">
        <v>797</v>
      </c>
      <c r="T27">
        <v>0.5</v>
      </c>
      <c r="U27" t="s">
        <v>742</v>
      </c>
      <c r="V27">
        <f t="shared" si="0"/>
        <v>0.7142857142857143</v>
      </c>
      <c r="W27" t="s">
        <v>172</v>
      </c>
    </row>
    <row r="28" spans="1:23">
      <c r="A28">
        <v>91</v>
      </c>
      <c r="B28" t="s">
        <v>802</v>
      </c>
      <c r="C28" t="s">
        <v>445</v>
      </c>
      <c r="D28">
        <v>2024</v>
      </c>
      <c r="E28" t="s">
        <v>446</v>
      </c>
      <c r="F28" t="s">
        <v>447</v>
      </c>
      <c r="G28" t="s">
        <v>552</v>
      </c>
      <c r="H28">
        <v>1</v>
      </c>
      <c r="I28" t="s">
        <v>803</v>
      </c>
      <c r="J28">
        <v>0.5</v>
      </c>
      <c r="K28" t="s">
        <v>717</v>
      </c>
      <c r="L28">
        <v>1</v>
      </c>
      <c r="N28">
        <v>1</v>
      </c>
      <c r="O28" t="s">
        <v>804</v>
      </c>
      <c r="P28">
        <v>0</v>
      </c>
      <c r="Q28" t="s">
        <v>805</v>
      </c>
      <c r="R28">
        <v>0.5</v>
      </c>
      <c r="S28" t="s">
        <v>797</v>
      </c>
      <c r="T28">
        <v>0.5</v>
      </c>
      <c r="U28" t="s">
        <v>742</v>
      </c>
      <c r="V28">
        <f t="shared" si="0"/>
        <v>0.6428571428571429</v>
      </c>
      <c r="W28" t="s">
        <v>172</v>
      </c>
    </row>
    <row r="29" spans="1:23">
      <c r="A29">
        <v>93</v>
      </c>
      <c r="B29" t="s">
        <v>617</v>
      </c>
      <c r="C29" t="s">
        <v>618</v>
      </c>
      <c r="D29">
        <v>2024</v>
      </c>
      <c r="E29" t="s">
        <v>619</v>
      </c>
      <c r="F29" t="s">
        <v>620</v>
      </c>
      <c r="G29" t="s">
        <v>552</v>
      </c>
      <c r="H29">
        <v>1</v>
      </c>
      <c r="I29" t="s">
        <v>806</v>
      </c>
      <c r="J29">
        <v>1</v>
      </c>
      <c r="L29">
        <v>0.5</v>
      </c>
      <c r="M29" t="s">
        <v>731</v>
      </c>
      <c r="N29">
        <v>1</v>
      </c>
      <c r="O29" t="s">
        <v>804</v>
      </c>
      <c r="P29">
        <v>1</v>
      </c>
      <c r="Q29" t="s">
        <v>733</v>
      </c>
      <c r="R29">
        <v>1</v>
      </c>
      <c r="S29" t="s">
        <v>714</v>
      </c>
      <c r="T29">
        <v>0.5</v>
      </c>
      <c r="U29" t="s">
        <v>742</v>
      </c>
      <c r="V29">
        <f t="shared" si="0"/>
        <v>0.8571428571428571</v>
      </c>
      <c r="W29" t="s">
        <v>454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16" workbookViewId="0">
      <selection activeCell="B132" sqref="B132:B133"/>
    </sheetView>
  </sheetViews>
  <sheetFormatPr defaultRowHeight="14.45"/>
  <cols>
    <col min="1" max="1" width="26" customWidth="1"/>
    <col min="2" max="2" width="55.7109375" customWidth="1"/>
  </cols>
  <sheetData>
    <row r="1" spans="1:26">
      <c r="A1" s="44" t="s">
        <v>807</v>
      </c>
      <c r="B1" s="44" t="s">
        <v>808</v>
      </c>
      <c r="C1" s="1"/>
      <c r="D1" s="1"/>
      <c r="E1" s="1"/>
      <c r="F1" s="1"/>
      <c r="G1" s="1"/>
      <c r="H1" s="1"/>
      <c r="I1" s="1"/>
      <c r="J1" s="1"/>
      <c r="K1" s="1"/>
      <c r="L1" s="1"/>
      <c r="M1" s="1"/>
      <c r="N1" s="1"/>
      <c r="O1" s="1"/>
      <c r="P1" s="1"/>
      <c r="Q1" s="1"/>
      <c r="R1" s="1"/>
      <c r="S1" s="1"/>
      <c r="T1" s="1"/>
      <c r="U1" s="1"/>
      <c r="V1" s="1"/>
      <c r="W1" s="1"/>
      <c r="X1" s="1"/>
      <c r="Y1" s="1"/>
      <c r="Z1" s="1"/>
    </row>
    <row r="2" spans="1:26">
      <c r="A2" s="45" t="s">
        <v>62</v>
      </c>
      <c r="B2" s="45" t="s">
        <v>454</v>
      </c>
      <c r="C2" s="1"/>
      <c r="D2" s="1"/>
      <c r="E2" s="1"/>
      <c r="F2" s="1"/>
      <c r="G2" s="1"/>
      <c r="H2" s="1"/>
      <c r="I2" s="1"/>
      <c r="J2" s="1"/>
      <c r="K2" s="1"/>
      <c r="L2" s="1"/>
      <c r="M2" s="1"/>
      <c r="N2" s="1"/>
      <c r="O2" s="1"/>
      <c r="P2" s="1"/>
      <c r="Q2" s="1"/>
      <c r="R2" s="1"/>
      <c r="S2" s="1"/>
      <c r="T2" s="1"/>
      <c r="U2" s="1"/>
      <c r="V2" s="1"/>
      <c r="W2" s="1"/>
      <c r="X2" s="1"/>
      <c r="Y2" s="1"/>
      <c r="Z2" s="1"/>
    </row>
    <row r="3" spans="1:26">
      <c r="A3" s="44" t="s">
        <v>62</v>
      </c>
      <c r="B3" s="44" t="s">
        <v>172</v>
      </c>
      <c r="C3" s="1"/>
      <c r="D3" s="1"/>
      <c r="E3" s="1"/>
      <c r="F3" s="1"/>
      <c r="G3" s="1"/>
      <c r="H3" s="1"/>
      <c r="I3" s="1"/>
      <c r="J3" s="1"/>
      <c r="K3" s="1"/>
      <c r="L3" s="1"/>
      <c r="M3" s="1"/>
      <c r="N3" s="1"/>
      <c r="O3" s="1"/>
      <c r="P3" s="1"/>
      <c r="Q3" s="1"/>
      <c r="R3" s="1"/>
      <c r="S3" s="1"/>
      <c r="T3" s="1"/>
      <c r="U3" s="1"/>
      <c r="V3" s="1"/>
      <c r="W3" s="1"/>
      <c r="X3" s="1"/>
      <c r="Y3" s="1"/>
      <c r="Z3" s="1"/>
    </row>
    <row r="4" spans="1:26">
      <c r="A4" s="45" t="s">
        <v>64</v>
      </c>
      <c r="B4" s="46" t="s">
        <v>197</v>
      </c>
      <c r="C4" s="1"/>
      <c r="D4" s="1"/>
      <c r="E4" s="1"/>
      <c r="F4" s="1"/>
      <c r="G4" s="1"/>
      <c r="H4" s="1"/>
      <c r="I4" s="1"/>
      <c r="J4" s="1"/>
      <c r="K4" s="1"/>
      <c r="L4" s="1"/>
      <c r="M4" s="1"/>
      <c r="N4" s="1"/>
      <c r="O4" s="1"/>
      <c r="P4" s="1"/>
      <c r="Q4" s="1"/>
      <c r="R4" s="1"/>
      <c r="S4" s="1"/>
      <c r="T4" s="1"/>
      <c r="U4" s="1"/>
      <c r="V4" s="1"/>
      <c r="W4" s="1"/>
      <c r="X4" s="1"/>
      <c r="Y4" s="1"/>
      <c r="Z4" s="1"/>
    </row>
    <row r="5" spans="1:26">
      <c r="A5" s="44" t="s">
        <v>64</v>
      </c>
      <c r="B5" s="44" t="s">
        <v>192</v>
      </c>
      <c r="C5" s="1"/>
      <c r="D5" s="1"/>
      <c r="E5" s="1"/>
      <c r="F5" s="1"/>
      <c r="G5" s="1"/>
      <c r="H5" s="1"/>
      <c r="I5" s="1"/>
      <c r="J5" s="1"/>
      <c r="K5" s="1"/>
      <c r="L5" s="1"/>
      <c r="M5" s="1"/>
      <c r="N5" s="1"/>
      <c r="O5" s="1"/>
      <c r="P5" s="1"/>
      <c r="Q5" s="1"/>
      <c r="R5" s="1"/>
      <c r="S5" s="1"/>
      <c r="T5" s="1"/>
      <c r="U5" s="1"/>
      <c r="V5" s="1"/>
      <c r="W5" s="1"/>
      <c r="X5" s="1"/>
      <c r="Y5" s="1"/>
      <c r="Z5" s="1"/>
    </row>
    <row r="6" spans="1:26">
      <c r="A6" s="45" t="s">
        <v>64</v>
      </c>
      <c r="B6" s="45" t="s">
        <v>187</v>
      </c>
      <c r="C6" s="1"/>
      <c r="D6" s="1"/>
      <c r="E6" s="1"/>
      <c r="F6" s="1"/>
      <c r="G6" s="1"/>
      <c r="H6" s="1"/>
      <c r="I6" s="1"/>
      <c r="J6" s="1"/>
      <c r="K6" s="1"/>
      <c r="L6" s="1"/>
      <c r="M6" s="1"/>
      <c r="N6" s="1"/>
      <c r="O6" s="1"/>
      <c r="P6" s="1"/>
      <c r="Q6" s="1"/>
      <c r="R6" s="1"/>
      <c r="S6" s="1"/>
      <c r="T6" s="1"/>
      <c r="U6" s="1"/>
      <c r="V6" s="1"/>
      <c r="W6" s="1"/>
      <c r="X6" s="1"/>
      <c r="Y6" s="1"/>
      <c r="Z6" s="1"/>
    </row>
    <row r="7" spans="1:26">
      <c r="A7" s="44" t="s">
        <v>64</v>
      </c>
      <c r="B7" s="47" t="s">
        <v>174</v>
      </c>
      <c r="C7" s="1"/>
      <c r="D7" s="1"/>
      <c r="E7" s="1"/>
      <c r="F7" s="1"/>
      <c r="G7" s="1"/>
      <c r="H7" s="1"/>
      <c r="I7" s="1"/>
      <c r="J7" s="1"/>
      <c r="K7" s="1"/>
      <c r="L7" s="1"/>
      <c r="M7" s="1"/>
      <c r="N7" s="1"/>
      <c r="O7" s="1"/>
      <c r="P7" s="1"/>
      <c r="Q7" s="1"/>
      <c r="R7" s="1"/>
      <c r="S7" s="1"/>
      <c r="T7" s="1"/>
      <c r="U7" s="1"/>
      <c r="V7" s="1"/>
      <c r="W7" s="1"/>
      <c r="X7" s="1"/>
      <c r="Y7" s="1"/>
      <c r="Z7" s="1"/>
    </row>
    <row r="8" spans="1:26">
      <c r="A8" s="45" t="s">
        <v>65</v>
      </c>
      <c r="B8" s="45" t="s">
        <v>522</v>
      </c>
      <c r="C8" s="1"/>
      <c r="D8" s="1"/>
      <c r="E8" s="1"/>
      <c r="F8" s="1"/>
      <c r="G8" s="1"/>
      <c r="H8" s="1"/>
      <c r="I8" s="1"/>
      <c r="J8" s="1"/>
      <c r="K8" s="1"/>
      <c r="L8" s="1"/>
      <c r="M8" s="1"/>
      <c r="N8" s="1"/>
      <c r="O8" s="1"/>
      <c r="P8" s="1"/>
      <c r="Q8" s="1"/>
      <c r="R8" s="1"/>
      <c r="S8" s="1"/>
      <c r="T8" s="1"/>
      <c r="U8" s="1"/>
      <c r="V8" s="1"/>
      <c r="W8" s="1"/>
      <c r="X8" s="1"/>
      <c r="Y8" s="1"/>
      <c r="Z8" s="1"/>
    </row>
    <row r="9" spans="1:26">
      <c r="A9" s="44" t="s">
        <v>65</v>
      </c>
      <c r="B9" s="44" t="s">
        <v>527</v>
      </c>
      <c r="C9" s="1"/>
      <c r="D9" s="1"/>
      <c r="E9" s="1"/>
      <c r="F9" s="1"/>
      <c r="G9" s="1"/>
      <c r="H9" s="1"/>
      <c r="I9" s="1"/>
      <c r="J9" s="1"/>
      <c r="K9" s="1"/>
      <c r="L9" s="1"/>
      <c r="M9" s="1"/>
      <c r="N9" s="1"/>
      <c r="O9" s="1"/>
      <c r="P9" s="1"/>
      <c r="Q9" s="1"/>
      <c r="R9" s="1"/>
      <c r="S9" s="1"/>
      <c r="T9" s="1"/>
      <c r="U9" s="1"/>
      <c r="V9" s="1"/>
      <c r="W9" s="1"/>
      <c r="X9" s="1"/>
      <c r="Y9" s="1"/>
      <c r="Z9" s="1"/>
    </row>
    <row r="10" spans="1:26">
      <c r="A10" s="45" t="s">
        <v>65</v>
      </c>
      <c r="B10" s="46" t="s">
        <v>601</v>
      </c>
      <c r="C10" s="1"/>
      <c r="D10" s="1"/>
      <c r="E10" s="1"/>
      <c r="F10" s="1"/>
      <c r="G10" s="1"/>
      <c r="H10" s="1"/>
      <c r="I10" s="1"/>
      <c r="J10" s="1"/>
      <c r="K10" s="1"/>
      <c r="L10" s="1"/>
      <c r="M10" s="1"/>
      <c r="N10" s="1"/>
      <c r="O10" s="1"/>
      <c r="P10" s="1"/>
      <c r="Q10" s="1"/>
      <c r="R10" s="1"/>
      <c r="S10" s="1"/>
      <c r="T10" s="1"/>
      <c r="U10" s="1"/>
      <c r="V10" s="1"/>
      <c r="W10" s="1"/>
      <c r="X10" s="1"/>
      <c r="Y10" s="1"/>
      <c r="Z10" s="1"/>
    </row>
    <row r="11" spans="1:26">
      <c r="A11" s="44" t="s">
        <v>65</v>
      </c>
      <c r="B11" s="44" t="s">
        <v>607</v>
      </c>
      <c r="C11" s="1"/>
      <c r="D11" s="1"/>
      <c r="E11" s="1"/>
      <c r="F11" s="1"/>
      <c r="G11" s="1"/>
      <c r="H11" s="1"/>
      <c r="I11" s="1"/>
      <c r="J11" s="1"/>
      <c r="K11" s="1"/>
      <c r="L11" s="1"/>
      <c r="M11" s="1"/>
      <c r="N11" s="1"/>
      <c r="O11" s="1"/>
      <c r="P11" s="1"/>
      <c r="Q11" s="1"/>
      <c r="R11" s="1"/>
      <c r="S11" s="1"/>
      <c r="T11" s="1"/>
      <c r="U11" s="1"/>
      <c r="V11" s="1"/>
      <c r="W11" s="1"/>
      <c r="X11" s="1"/>
      <c r="Y11" s="1"/>
      <c r="Z11" s="1"/>
    </row>
    <row r="12" spans="1:26">
      <c r="A12" s="45" t="s">
        <v>65</v>
      </c>
      <c r="B12" s="45" t="s">
        <v>546</v>
      </c>
      <c r="C12" s="1"/>
      <c r="D12" s="1"/>
      <c r="E12" s="1"/>
      <c r="F12" s="1"/>
      <c r="G12" s="1"/>
      <c r="H12" s="1"/>
      <c r="I12" s="1"/>
      <c r="J12" s="1"/>
      <c r="K12" s="1"/>
      <c r="L12" s="1"/>
      <c r="M12" s="1"/>
      <c r="N12" s="1"/>
      <c r="O12" s="1"/>
      <c r="P12" s="1"/>
      <c r="Q12" s="1"/>
      <c r="R12" s="1"/>
      <c r="S12" s="1"/>
      <c r="T12" s="1"/>
      <c r="U12" s="1"/>
      <c r="V12" s="1"/>
      <c r="W12" s="1"/>
      <c r="X12" s="1"/>
      <c r="Y12" s="1"/>
      <c r="Z12" s="1"/>
    </row>
    <row r="13" spans="1:26">
      <c r="A13" s="44" t="s">
        <v>65</v>
      </c>
      <c r="B13" s="44" t="s">
        <v>540</v>
      </c>
      <c r="C13" s="1"/>
      <c r="D13" s="1"/>
      <c r="E13" s="1"/>
      <c r="F13" s="1"/>
      <c r="G13" s="1"/>
      <c r="H13" s="1"/>
      <c r="I13" s="1"/>
      <c r="J13" s="1"/>
      <c r="K13" s="1"/>
      <c r="L13" s="1"/>
      <c r="M13" s="1"/>
      <c r="N13" s="1"/>
      <c r="O13" s="1"/>
      <c r="P13" s="1"/>
      <c r="Q13" s="1"/>
      <c r="R13" s="1"/>
      <c r="S13" s="1"/>
      <c r="T13" s="1"/>
      <c r="U13" s="1"/>
      <c r="V13" s="1"/>
      <c r="W13" s="1"/>
      <c r="X13" s="1"/>
      <c r="Y13" s="1"/>
      <c r="Z13" s="1"/>
    </row>
    <row r="14" spans="1:26">
      <c r="A14" s="45" t="s">
        <v>65</v>
      </c>
      <c r="B14" s="45" t="s">
        <v>528</v>
      </c>
      <c r="C14" s="1"/>
      <c r="D14" s="1"/>
      <c r="E14" s="1"/>
      <c r="F14" s="1"/>
      <c r="G14" s="1"/>
      <c r="H14" s="1"/>
      <c r="I14" s="1"/>
      <c r="J14" s="1"/>
      <c r="K14" s="1"/>
      <c r="L14" s="1"/>
      <c r="M14" s="1"/>
      <c r="N14" s="1"/>
      <c r="O14" s="1"/>
      <c r="P14" s="1"/>
      <c r="Q14" s="1"/>
      <c r="R14" s="1"/>
      <c r="S14" s="1"/>
      <c r="T14" s="1"/>
      <c r="U14" s="1"/>
      <c r="V14" s="1"/>
      <c r="W14" s="1"/>
      <c r="X14" s="1"/>
      <c r="Y14" s="1"/>
      <c r="Z14" s="1"/>
    </row>
    <row r="15" spans="1:26">
      <c r="A15" s="44" t="s">
        <v>65</v>
      </c>
      <c r="B15" s="44" t="s">
        <v>552</v>
      </c>
      <c r="C15" s="1"/>
      <c r="D15" s="1"/>
      <c r="E15" s="1"/>
      <c r="F15" s="1"/>
      <c r="G15" s="1"/>
      <c r="H15" s="1"/>
      <c r="I15" s="1"/>
      <c r="J15" s="1"/>
      <c r="K15" s="1"/>
      <c r="L15" s="1"/>
      <c r="M15" s="1"/>
      <c r="N15" s="1"/>
      <c r="O15" s="1"/>
      <c r="P15" s="1"/>
      <c r="Q15" s="1"/>
      <c r="R15" s="1"/>
      <c r="S15" s="1"/>
      <c r="T15" s="1"/>
      <c r="U15" s="1"/>
      <c r="V15" s="1"/>
      <c r="W15" s="1"/>
      <c r="X15" s="1"/>
      <c r="Y15" s="1"/>
      <c r="Z15" s="1"/>
    </row>
    <row r="16" spans="1:26">
      <c r="A16" s="45" t="s">
        <v>65</v>
      </c>
      <c r="B16" s="46" t="s">
        <v>455</v>
      </c>
      <c r="C16" s="1"/>
      <c r="D16" s="1"/>
      <c r="E16" s="1"/>
      <c r="F16" s="1"/>
      <c r="G16" s="1"/>
      <c r="H16" s="1"/>
      <c r="I16" s="1"/>
      <c r="J16" s="1"/>
      <c r="K16" s="1"/>
      <c r="L16" s="1"/>
      <c r="M16" s="1"/>
      <c r="N16" s="1"/>
      <c r="O16" s="1"/>
      <c r="P16" s="1"/>
      <c r="Q16" s="1"/>
      <c r="R16" s="1"/>
      <c r="S16" s="1"/>
      <c r="T16" s="1"/>
      <c r="U16" s="1"/>
      <c r="V16" s="1"/>
      <c r="W16" s="1"/>
      <c r="X16" s="1"/>
      <c r="Y16" s="1"/>
      <c r="Z16" s="1"/>
    </row>
    <row r="17" spans="1:26">
      <c r="A17" s="44" t="s">
        <v>65</v>
      </c>
      <c r="B17" s="48" t="s">
        <v>464</v>
      </c>
      <c r="C17" s="1"/>
      <c r="D17" s="1"/>
      <c r="E17" s="1"/>
      <c r="F17" s="1"/>
      <c r="G17" s="1"/>
      <c r="H17" s="1"/>
      <c r="I17" s="1"/>
      <c r="J17" s="1"/>
      <c r="K17" s="1"/>
      <c r="L17" s="1"/>
      <c r="M17" s="1"/>
      <c r="N17" s="1"/>
      <c r="O17" s="1"/>
      <c r="P17" s="1"/>
      <c r="Q17" s="1"/>
      <c r="R17" s="1"/>
      <c r="S17" s="1"/>
      <c r="T17" s="1"/>
      <c r="U17" s="1"/>
      <c r="V17" s="1"/>
      <c r="W17" s="1"/>
      <c r="X17" s="1"/>
      <c r="Y17" s="1"/>
      <c r="Z17" s="1"/>
    </row>
    <row r="18" spans="1:26">
      <c r="A18" s="45" t="s">
        <v>65</v>
      </c>
      <c r="B18" s="46" t="s">
        <v>465</v>
      </c>
      <c r="C18" s="1"/>
      <c r="D18" s="1"/>
      <c r="E18" s="1"/>
      <c r="F18" s="1"/>
      <c r="G18" s="1"/>
      <c r="H18" s="1"/>
      <c r="I18" s="1"/>
      <c r="J18" s="1"/>
      <c r="K18" s="1"/>
      <c r="L18" s="1"/>
      <c r="M18" s="1"/>
      <c r="N18" s="1"/>
      <c r="O18" s="1"/>
      <c r="P18" s="1"/>
      <c r="Q18" s="1"/>
      <c r="R18" s="1"/>
      <c r="S18" s="1"/>
      <c r="T18" s="1"/>
      <c r="U18" s="1"/>
      <c r="V18" s="1"/>
      <c r="W18" s="1"/>
      <c r="X18" s="1"/>
      <c r="Y18" s="1"/>
      <c r="Z18" s="1"/>
    </row>
    <row r="19" spans="1:26">
      <c r="A19" s="44" t="s">
        <v>65</v>
      </c>
      <c r="B19" s="44" t="s">
        <v>537</v>
      </c>
      <c r="C19" s="1"/>
      <c r="D19" s="1"/>
      <c r="E19" s="1"/>
      <c r="F19" s="1"/>
      <c r="G19" s="1"/>
      <c r="H19" s="1"/>
      <c r="I19" s="1"/>
      <c r="J19" s="1"/>
      <c r="K19" s="1"/>
      <c r="L19" s="1"/>
      <c r="M19" s="1"/>
      <c r="N19" s="1"/>
      <c r="O19" s="1"/>
      <c r="P19" s="1"/>
      <c r="Q19" s="1"/>
      <c r="R19" s="1"/>
      <c r="S19" s="1"/>
      <c r="T19" s="1"/>
      <c r="U19" s="1"/>
      <c r="V19" s="1"/>
      <c r="W19" s="1"/>
      <c r="X19" s="1"/>
      <c r="Y19" s="1"/>
      <c r="Z19" s="1"/>
    </row>
    <row r="20" spans="1:26">
      <c r="A20" s="45" t="s">
        <v>65</v>
      </c>
      <c r="B20" s="46" t="s">
        <v>466</v>
      </c>
      <c r="C20" s="1"/>
      <c r="D20" s="1"/>
      <c r="E20" s="1"/>
      <c r="F20" s="1"/>
      <c r="G20" s="1"/>
      <c r="H20" s="1"/>
      <c r="I20" s="1"/>
      <c r="J20" s="1"/>
      <c r="K20" s="1"/>
      <c r="L20" s="1"/>
      <c r="M20" s="1"/>
      <c r="N20" s="1"/>
      <c r="O20" s="1"/>
      <c r="P20" s="1"/>
      <c r="Q20" s="1"/>
      <c r="R20" s="1"/>
      <c r="S20" s="1"/>
      <c r="T20" s="1"/>
      <c r="U20" s="1"/>
      <c r="V20" s="1"/>
      <c r="W20" s="1"/>
      <c r="X20" s="1"/>
      <c r="Y20" s="1"/>
      <c r="Z20" s="1"/>
    </row>
    <row r="21" spans="1:26">
      <c r="A21" s="44" t="s">
        <v>65</v>
      </c>
      <c r="B21" s="48" t="s">
        <v>467</v>
      </c>
      <c r="C21" s="1"/>
      <c r="D21" s="1"/>
      <c r="E21" s="1"/>
      <c r="F21" s="1"/>
      <c r="G21" s="1"/>
      <c r="H21" s="1"/>
      <c r="I21" s="1"/>
      <c r="J21" s="1"/>
      <c r="K21" s="1"/>
      <c r="L21" s="1"/>
      <c r="M21" s="1"/>
      <c r="N21" s="1"/>
      <c r="O21" s="1"/>
      <c r="P21" s="1"/>
      <c r="Q21" s="1"/>
      <c r="R21" s="1"/>
      <c r="S21" s="1"/>
      <c r="T21" s="1"/>
      <c r="U21" s="1"/>
      <c r="V21" s="1"/>
      <c r="W21" s="1"/>
      <c r="X21" s="1"/>
      <c r="Y21" s="1"/>
      <c r="Z21" s="1"/>
    </row>
    <row r="22" spans="1:26">
      <c r="A22" s="45" t="s">
        <v>65</v>
      </c>
      <c r="B22" s="46" t="s">
        <v>468</v>
      </c>
      <c r="C22" s="1"/>
      <c r="D22" s="1"/>
      <c r="E22" s="1"/>
      <c r="F22" s="1"/>
      <c r="G22" s="1"/>
      <c r="H22" s="1"/>
      <c r="I22" s="1"/>
      <c r="J22" s="1"/>
      <c r="K22" s="1"/>
      <c r="L22" s="1"/>
      <c r="M22" s="1"/>
      <c r="N22" s="1"/>
      <c r="O22" s="1"/>
      <c r="P22" s="1"/>
      <c r="Q22" s="1"/>
      <c r="R22" s="1"/>
      <c r="S22" s="1"/>
      <c r="T22" s="1"/>
      <c r="U22" s="1"/>
      <c r="V22" s="1"/>
      <c r="W22" s="1"/>
      <c r="X22" s="1"/>
      <c r="Y22" s="1"/>
      <c r="Z22" s="1"/>
    </row>
    <row r="23" spans="1:26">
      <c r="A23" s="44" t="s">
        <v>65</v>
      </c>
      <c r="B23" s="48" t="s">
        <v>469</v>
      </c>
      <c r="C23" s="1"/>
      <c r="D23" s="1"/>
      <c r="E23" s="1"/>
      <c r="F23" s="1"/>
      <c r="G23" s="1"/>
      <c r="H23" s="1"/>
      <c r="I23" s="1"/>
      <c r="J23" s="1"/>
      <c r="K23" s="1"/>
      <c r="L23" s="1"/>
      <c r="M23" s="1"/>
      <c r="N23" s="1"/>
      <c r="O23" s="1"/>
      <c r="P23" s="1"/>
      <c r="Q23" s="1"/>
      <c r="R23" s="1"/>
      <c r="S23" s="1"/>
      <c r="T23" s="1"/>
      <c r="U23" s="1"/>
      <c r="V23" s="1"/>
      <c r="W23" s="1"/>
      <c r="X23" s="1"/>
      <c r="Y23" s="1"/>
      <c r="Z23" s="1"/>
    </row>
    <row r="24" spans="1:26">
      <c r="A24" s="45" t="s">
        <v>65</v>
      </c>
      <c r="B24" s="46" t="s">
        <v>470</v>
      </c>
      <c r="C24" s="1"/>
      <c r="D24" s="1"/>
      <c r="E24" s="1"/>
      <c r="F24" s="1"/>
      <c r="G24" s="1"/>
      <c r="H24" s="1"/>
      <c r="I24" s="1"/>
      <c r="J24" s="1"/>
      <c r="K24" s="1"/>
      <c r="L24" s="1"/>
      <c r="M24" s="1"/>
      <c r="N24" s="1"/>
      <c r="O24" s="1"/>
      <c r="P24" s="1"/>
      <c r="Q24" s="1"/>
      <c r="R24" s="1"/>
      <c r="S24" s="1"/>
      <c r="T24" s="1"/>
      <c r="U24" s="1"/>
      <c r="V24" s="1"/>
      <c r="W24" s="1"/>
      <c r="X24" s="1"/>
      <c r="Y24" s="1"/>
      <c r="Z24" s="1"/>
    </row>
    <row r="25" spans="1:26">
      <c r="A25" s="44" t="s">
        <v>65</v>
      </c>
      <c r="B25" s="48" t="s">
        <v>471</v>
      </c>
      <c r="C25" s="1"/>
      <c r="D25" s="1"/>
      <c r="E25" s="1"/>
      <c r="F25" s="1"/>
      <c r="G25" s="1"/>
      <c r="H25" s="1"/>
      <c r="I25" s="1"/>
      <c r="J25" s="1"/>
      <c r="K25" s="1"/>
      <c r="L25" s="1"/>
      <c r="M25" s="1"/>
      <c r="N25" s="1"/>
      <c r="O25" s="1"/>
      <c r="P25" s="1"/>
      <c r="Q25" s="1"/>
      <c r="R25" s="1"/>
      <c r="S25" s="1"/>
      <c r="T25" s="1"/>
      <c r="U25" s="1"/>
      <c r="V25" s="1"/>
      <c r="W25" s="1"/>
      <c r="X25" s="1"/>
      <c r="Y25" s="1"/>
      <c r="Z25" s="1"/>
    </row>
    <row r="26" spans="1:26">
      <c r="A26" s="45" t="s">
        <v>65</v>
      </c>
      <c r="B26" s="45" t="s">
        <v>569</v>
      </c>
      <c r="C26" s="1"/>
      <c r="D26" s="1"/>
      <c r="E26" s="1"/>
      <c r="F26" s="1"/>
      <c r="G26" s="1"/>
      <c r="H26" s="1"/>
      <c r="I26" s="1"/>
      <c r="J26" s="1"/>
      <c r="K26" s="1"/>
      <c r="L26" s="1"/>
      <c r="M26" s="1"/>
      <c r="N26" s="1"/>
      <c r="O26" s="1"/>
      <c r="P26" s="1"/>
      <c r="Q26" s="1"/>
      <c r="R26" s="1"/>
      <c r="S26" s="1"/>
      <c r="T26" s="1"/>
      <c r="U26" s="1"/>
      <c r="V26" s="1"/>
      <c r="W26" s="1"/>
      <c r="X26" s="1"/>
      <c r="Y26" s="1"/>
      <c r="Z26" s="1"/>
    </row>
    <row r="27" spans="1:26">
      <c r="A27" s="44" t="s">
        <v>65</v>
      </c>
      <c r="B27" s="44" t="s">
        <v>512</v>
      </c>
      <c r="C27" s="1"/>
      <c r="D27" s="1"/>
      <c r="E27" s="1"/>
      <c r="F27" s="1"/>
      <c r="G27" s="1"/>
      <c r="H27" s="1"/>
      <c r="I27" s="1"/>
      <c r="J27" s="1"/>
      <c r="K27" s="1"/>
      <c r="L27" s="1"/>
      <c r="M27" s="1"/>
      <c r="N27" s="1"/>
      <c r="O27" s="1"/>
      <c r="P27" s="1"/>
      <c r="Q27" s="1"/>
      <c r="R27" s="1"/>
      <c r="S27" s="1"/>
      <c r="T27" s="1"/>
      <c r="U27" s="1"/>
      <c r="V27" s="1"/>
      <c r="W27" s="1"/>
      <c r="X27" s="1"/>
      <c r="Y27" s="1"/>
      <c r="Z27" s="1"/>
    </row>
    <row r="28" spans="1:26">
      <c r="A28" s="45" t="s">
        <v>65</v>
      </c>
      <c r="B28" s="45" t="s">
        <v>513</v>
      </c>
      <c r="C28" s="1"/>
      <c r="D28" s="1"/>
      <c r="E28" s="1"/>
      <c r="F28" s="1"/>
      <c r="G28" s="1"/>
      <c r="H28" s="1"/>
      <c r="I28" s="1"/>
      <c r="J28" s="1"/>
      <c r="K28" s="1"/>
      <c r="L28" s="1"/>
      <c r="M28" s="1"/>
      <c r="N28" s="1"/>
      <c r="O28" s="1"/>
      <c r="P28" s="1"/>
      <c r="Q28" s="1"/>
      <c r="R28" s="1"/>
      <c r="S28" s="1"/>
      <c r="T28" s="1"/>
      <c r="U28" s="1"/>
      <c r="V28" s="1"/>
      <c r="W28" s="1"/>
      <c r="X28" s="1"/>
      <c r="Y28" s="1"/>
      <c r="Z28" s="1"/>
    </row>
    <row r="29" spans="1:26">
      <c r="A29" s="44" t="s">
        <v>65</v>
      </c>
      <c r="B29" s="44" t="s">
        <v>587</v>
      </c>
      <c r="C29" s="1"/>
      <c r="D29" s="1"/>
      <c r="E29" s="1"/>
      <c r="F29" s="1"/>
      <c r="G29" s="1"/>
      <c r="H29" s="1"/>
      <c r="I29" s="1"/>
      <c r="J29" s="1"/>
      <c r="K29" s="1"/>
      <c r="L29" s="1"/>
      <c r="M29" s="1"/>
      <c r="N29" s="1"/>
      <c r="O29" s="1"/>
      <c r="P29" s="1"/>
      <c r="Q29" s="1"/>
      <c r="R29" s="1"/>
      <c r="S29" s="1"/>
      <c r="T29" s="1"/>
      <c r="U29" s="1"/>
      <c r="V29" s="1"/>
      <c r="W29" s="1"/>
      <c r="X29" s="1"/>
      <c r="Y29" s="1"/>
      <c r="Z29" s="1"/>
    </row>
    <row r="30" spans="1:26">
      <c r="A30" s="45" t="s">
        <v>65</v>
      </c>
      <c r="B30" s="45" t="s">
        <v>582</v>
      </c>
      <c r="C30" s="1"/>
      <c r="D30" s="1"/>
      <c r="E30" s="1"/>
      <c r="F30" s="1"/>
      <c r="G30" s="1"/>
      <c r="H30" s="1"/>
      <c r="I30" s="1"/>
      <c r="J30" s="1"/>
      <c r="K30" s="1"/>
      <c r="L30" s="1"/>
      <c r="M30" s="1"/>
      <c r="N30" s="1"/>
      <c r="O30" s="1"/>
      <c r="P30" s="1"/>
      <c r="Q30" s="1"/>
      <c r="R30" s="1"/>
      <c r="S30" s="1"/>
      <c r="T30" s="1"/>
      <c r="U30" s="1"/>
      <c r="V30" s="1"/>
      <c r="W30" s="1"/>
      <c r="X30" s="1"/>
      <c r="Y30" s="1"/>
      <c r="Z30" s="1"/>
    </row>
    <row r="31" spans="1:26">
      <c r="A31" s="44" t="s">
        <v>65</v>
      </c>
      <c r="B31" s="44" t="s">
        <v>595</v>
      </c>
      <c r="C31" s="1"/>
      <c r="D31" s="1"/>
      <c r="E31" s="1"/>
      <c r="F31" s="1"/>
      <c r="G31" s="1"/>
      <c r="H31" s="1"/>
      <c r="I31" s="1"/>
      <c r="J31" s="1"/>
      <c r="K31" s="1"/>
      <c r="L31" s="1"/>
      <c r="M31" s="1"/>
      <c r="N31" s="1"/>
      <c r="O31" s="1"/>
      <c r="P31" s="1"/>
      <c r="Q31" s="1"/>
      <c r="R31" s="1"/>
      <c r="S31" s="1"/>
      <c r="T31" s="1"/>
      <c r="U31" s="1"/>
      <c r="V31" s="1"/>
      <c r="W31" s="1"/>
      <c r="X31" s="1"/>
      <c r="Y31" s="1"/>
      <c r="Z31" s="1"/>
    </row>
    <row r="32" spans="1:26">
      <c r="A32" s="45" t="s">
        <v>65</v>
      </c>
      <c r="B32" s="45" t="s">
        <v>495</v>
      </c>
      <c r="C32" s="1"/>
      <c r="D32" s="1"/>
      <c r="E32" s="1"/>
      <c r="F32" s="1"/>
      <c r="G32" s="1"/>
      <c r="H32" s="1"/>
      <c r="I32" s="1"/>
      <c r="J32" s="1"/>
      <c r="K32" s="1"/>
      <c r="L32" s="1"/>
      <c r="M32" s="1"/>
      <c r="N32" s="1"/>
      <c r="O32" s="1"/>
      <c r="P32" s="1"/>
      <c r="Q32" s="1"/>
      <c r="R32" s="1"/>
      <c r="S32" s="1"/>
      <c r="T32" s="1"/>
      <c r="U32" s="1"/>
      <c r="V32" s="1"/>
      <c r="W32" s="1"/>
      <c r="X32" s="1"/>
      <c r="Y32" s="1"/>
      <c r="Z32" s="1"/>
    </row>
    <row r="33" spans="1:26">
      <c r="A33" s="44" t="s">
        <v>65</v>
      </c>
      <c r="B33" s="44" t="s">
        <v>562</v>
      </c>
      <c r="C33" s="1"/>
      <c r="D33" s="1"/>
      <c r="E33" s="1"/>
      <c r="F33" s="1"/>
      <c r="G33" s="1"/>
      <c r="H33" s="1"/>
      <c r="I33" s="1"/>
      <c r="J33" s="1"/>
      <c r="K33" s="1"/>
      <c r="L33" s="1"/>
      <c r="M33" s="1"/>
      <c r="N33" s="1"/>
      <c r="O33" s="1"/>
      <c r="P33" s="1"/>
      <c r="Q33" s="1"/>
      <c r="R33" s="1"/>
      <c r="S33" s="1"/>
      <c r="T33" s="1"/>
      <c r="U33" s="1"/>
      <c r="V33" s="1"/>
      <c r="W33" s="1"/>
      <c r="X33" s="1"/>
      <c r="Y33" s="1"/>
      <c r="Z33" s="1"/>
    </row>
    <row r="34" spans="1:26">
      <c r="A34" s="45" t="s">
        <v>65</v>
      </c>
      <c r="B34" s="45" t="s">
        <v>503</v>
      </c>
      <c r="C34" s="1"/>
      <c r="D34" s="1"/>
      <c r="E34" s="1"/>
      <c r="F34" s="1"/>
      <c r="G34" s="1"/>
      <c r="H34" s="1"/>
      <c r="I34" s="1"/>
      <c r="J34" s="1"/>
      <c r="K34" s="1"/>
      <c r="L34" s="1"/>
      <c r="M34" s="1"/>
      <c r="N34" s="1"/>
      <c r="O34" s="1"/>
      <c r="P34" s="1"/>
      <c r="Q34" s="1"/>
      <c r="R34" s="1"/>
      <c r="S34" s="1"/>
      <c r="T34" s="1"/>
      <c r="U34" s="1"/>
      <c r="V34" s="1"/>
      <c r="W34" s="1"/>
      <c r="X34" s="1"/>
      <c r="Y34" s="1"/>
      <c r="Z34" s="1"/>
    </row>
    <row r="35" spans="1:26">
      <c r="A35" s="44" t="s">
        <v>65</v>
      </c>
      <c r="B35" s="44" t="s">
        <v>521</v>
      </c>
      <c r="C35" s="1"/>
      <c r="D35" s="1"/>
      <c r="E35" s="1"/>
      <c r="F35" s="1"/>
      <c r="G35" s="1"/>
      <c r="H35" s="1"/>
      <c r="I35" s="1"/>
      <c r="J35" s="1"/>
      <c r="K35" s="1"/>
      <c r="L35" s="1"/>
      <c r="M35" s="1"/>
      <c r="N35" s="1"/>
      <c r="O35" s="1"/>
      <c r="P35" s="1"/>
      <c r="Q35" s="1"/>
      <c r="R35" s="1"/>
      <c r="S35" s="1"/>
      <c r="T35" s="1"/>
      <c r="U35" s="1"/>
      <c r="V35" s="1"/>
      <c r="W35" s="1"/>
      <c r="X35" s="1"/>
      <c r="Y35" s="1"/>
      <c r="Z35" s="1"/>
    </row>
    <row r="36" spans="1:26">
      <c r="A36" s="45" t="s">
        <v>66</v>
      </c>
      <c r="B36" s="45" t="s">
        <v>385</v>
      </c>
      <c r="C36" s="1"/>
      <c r="D36" s="1"/>
      <c r="E36" s="1"/>
      <c r="F36" s="1"/>
      <c r="G36" s="1"/>
      <c r="H36" s="1"/>
      <c r="I36" s="1"/>
      <c r="J36" s="1"/>
      <c r="K36" s="1"/>
      <c r="L36" s="1"/>
      <c r="M36" s="1"/>
      <c r="N36" s="1"/>
      <c r="O36" s="1"/>
      <c r="P36" s="1"/>
      <c r="Q36" s="1"/>
      <c r="R36" s="1"/>
      <c r="S36" s="1"/>
      <c r="T36" s="1"/>
      <c r="U36" s="1"/>
      <c r="V36" s="1"/>
      <c r="W36" s="1"/>
      <c r="X36" s="1"/>
      <c r="Y36" s="1"/>
      <c r="Z36" s="1"/>
    </row>
    <row r="37" spans="1:26">
      <c r="A37" s="44" t="s">
        <v>66</v>
      </c>
      <c r="B37" s="44" t="s">
        <v>527</v>
      </c>
      <c r="C37" s="1"/>
      <c r="D37" s="1"/>
      <c r="E37" s="1"/>
      <c r="F37" s="1"/>
      <c r="G37" s="1"/>
      <c r="H37" s="1"/>
      <c r="I37" s="1"/>
      <c r="J37" s="1"/>
      <c r="K37" s="1"/>
      <c r="L37" s="1"/>
      <c r="M37" s="1"/>
      <c r="N37" s="1"/>
      <c r="O37" s="1"/>
      <c r="P37" s="1"/>
      <c r="Q37" s="1"/>
      <c r="R37" s="1"/>
      <c r="S37" s="1"/>
      <c r="T37" s="1"/>
      <c r="U37" s="1"/>
      <c r="V37" s="1"/>
      <c r="W37" s="1"/>
      <c r="X37" s="1"/>
      <c r="Y37" s="1"/>
      <c r="Z37" s="1"/>
    </row>
    <row r="38" spans="1:26">
      <c r="A38" s="45" t="s">
        <v>66</v>
      </c>
      <c r="B38" s="45" t="s">
        <v>758</v>
      </c>
      <c r="C38" s="1"/>
      <c r="D38" s="1"/>
      <c r="E38" s="1"/>
      <c r="F38" s="1"/>
      <c r="G38" s="1"/>
      <c r="H38" s="1"/>
      <c r="I38" s="1"/>
      <c r="J38" s="1"/>
      <c r="K38" s="1"/>
      <c r="L38" s="1"/>
      <c r="M38" s="1"/>
      <c r="N38" s="1"/>
      <c r="O38" s="1"/>
      <c r="P38" s="1"/>
      <c r="Q38" s="1"/>
      <c r="R38" s="1"/>
      <c r="S38" s="1"/>
      <c r="T38" s="1"/>
      <c r="U38" s="1"/>
      <c r="V38" s="1"/>
      <c r="W38" s="1"/>
      <c r="X38" s="1"/>
      <c r="Y38" s="1"/>
      <c r="Z38" s="1"/>
    </row>
    <row r="39" spans="1:26">
      <c r="A39" s="44" t="s">
        <v>66</v>
      </c>
      <c r="B39" s="44" t="s">
        <v>537</v>
      </c>
      <c r="C39" s="1"/>
      <c r="D39" s="1"/>
      <c r="E39" s="1"/>
      <c r="F39" s="1"/>
      <c r="G39" s="1"/>
      <c r="H39" s="1"/>
      <c r="I39" s="1"/>
      <c r="J39" s="1"/>
      <c r="K39" s="1"/>
      <c r="L39" s="1"/>
      <c r="M39" s="1"/>
      <c r="N39" s="1"/>
      <c r="O39" s="1"/>
      <c r="P39" s="1"/>
      <c r="Q39" s="1"/>
      <c r="R39" s="1"/>
      <c r="S39" s="1"/>
      <c r="T39" s="1"/>
      <c r="U39" s="1"/>
      <c r="V39" s="1"/>
      <c r="W39" s="1"/>
      <c r="X39" s="1"/>
      <c r="Y39" s="1"/>
      <c r="Z39" s="1"/>
    </row>
    <row r="40" spans="1:26">
      <c r="A40" s="45" t="s">
        <v>66</v>
      </c>
      <c r="B40" s="45" t="s">
        <v>512</v>
      </c>
      <c r="C40" s="1"/>
      <c r="D40" s="1"/>
      <c r="E40" s="1"/>
      <c r="F40" s="1"/>
      <c r="G40" s="1"/>
      <c r="H40" s="1"/>
      <c r="I40" s="1"/>
      <c r="J40" s="1"/>
      <c r="K40" s="1"/>
      <c r="L40" s="1"/>
      <c r="M40" s="1"/>
      <c r="N40" s="1"/>
      <c r="O40" s="1"/>
      <c r="P40" s="1"/>
      <c r="Q40" s="1"/>
      <c r="R40" s="1"/>
      <c r="S40" s="1"/>
      <c r="T40" s="1"/>
      <c r="U40" s="1"/>
      <c r="V40" s="1"/>
      <c r="W40" s="1"/>
      <c r="X40" s="1"/>
      <c r="Y40" s="1"/>
      <c r="Z40" s="1"/>
    </row>
    <row r="41" spans="1:26">
      <c r="A41" s="44" t="s">
        <v>66</v>
      </c>
      <c r="B41" s="44" t="s">
        <v>587</v>
      </c>
      <c r="C41" s="1"/>
      <c r="D41" s="1"/>
      <c r="E41" s="1"/>
      <c r="F41" s="1"/>
      <c r="G41" s="1"/>
      <c r="H41" s="1"/>
      <c r="I41" s="1"/>
      <c r="J41" s="1"/>
      <c r="K41" s="1"/>
      <c r="L41" s="1"/>
      <c r="M41" s="1"/>
      <c r="N41" s="1"/>
      <c r="O41" s="1"/>
      <c r="P41" s="1"/>
      <c r="Q41" s="1"/>
      <c r="R41" s="1"/>
      <c r="S41" s="1"/>
      <c r="T41" s="1"/>
      <c r="U41" s="1"/>
      <c r="V41" s="1"/>
      <c r="W41" s="1"/>
      <c r="X41" s="1"/>
      <c r="Y41" s="1"/>
      <c r="Z41" s="1"/>
    </row>
    <row r="42" spans="1:26">
      <c r="A42" s="45" t="s">
        <v>66</v>
      </c>
      <c r="B42" s="45" t="s">
        <v>582</v>
      </c>
      <c r="C42" s="1"/>
      <c r="D42" s="1"/>
      <c r="E42" s="1"/>
      <c r="F42" s="1"/>
      <c r="G42" s="1"/>
      <c r="H42" s="1"/>
      <c r="I42" s="1"/>
      <c r="J42" s="1"/>
      <c r="K42" s="1"/>
      <c r="L42" s="1"/>
      <c r="M42" s="1"/>
      <c r="N42" s="1"/>
      <c r="O42" s="1"/>
      <c r="P42" s="1"/>
      <c r="Q42" s="1"/>
      <c r="R42" s="1"/>
      <c r="S42" s="1"/>
      <c r="T42" s="1"/>
      <c r="U42" s="1"/>
      <c r="V42" s="1"/>
      <c r="W42" s="1"/>
      <c r="X42" s="1"/>
      <c r="Y42" s="1"/>
      <c r="Z42" s="1"/>
    </row>
    <row r="43" spans="1:26">
      <c r="A43" s="44" t="s">
        <v>66</v>
      </c>
      <c r="B43" s="44" t="s">
        <v>495</v>
      </c>
      <c r="C43" s="1"/>
      <c r="D43" s="1"/>
      <c r="E43" s="1"/>
      <c r="F43" s="1"/>
      <c r="G43" s="1"/>
      <c r="H43" s="1"/>
      <c r="I43" s="1"/>
      <c r="J43" s="1"/>
      <c r="K43" s="1"/>
      <c r="L43" s="1"/>
      <c r="M43" s="1"/>
      <c r="N43" s="1"/>
      <c r="O43" s="1"/>
      <c r="P43" s="1"/>
      <c r="Q43" s="1"/>
      <c r="R43" s="1"/>
      <c r="S43" s="1"/>
      <c r="T43" s="1"/>
      <c r="U43" s="1"/>
      <c r="V43" s="1"/>
      <c r="W43" s="1"/>
      <c r="X43" s="1"/>
      <c r="Y43" s="1"/>
      <c r="Z43" s="1"/>
    </row>
    <row r="44" spans="1:26">
      <c r="A44" s="45" t="s">
        <v>66</v>
      </c>
      <c r="B44" s="45" t="s">
        <v>540</v>
      </c>
      <c r="C44" s="1"/>
      <c r="D44" s="1"/>
      <c r="E44" s="1"/>
      <c r="F44" s="1"/>
      <c r="G44" s="1"/>
      <c r="H44" s="1"/>
      <c r="I44" s="1"/>
      <c r="J44" s="1"/>
      <c r="K44" s="1"/>
      <c r="L44" s="1"/>
      <c r="M44" s="1"/>
      <c r="N44" s="1"/>
      <c r="O44" s="1"/>
      <c r="P44" s="1"/>
      <c r="Q44" s="1"/>
      <c r="R44" s="1"/>
      <c r="S44" s="1"/>
      <c r="T44" s="1"/>
      <c r="U44" s="1"/>
      <c r="V44" s="1"/>
      <c r="W44" s="1"/>
      <c r="X44" s="1"/>
      <c r="Y44" s="1"/>
      <c r="Z44" s="1"/>
    </row>
    <row r="45" spans="1:26">
      <c r="A45" s="44" t="s">
        <v>66</v>
      </c>
      <c r="B45" s="44" t="s">
        <v>699</v>
      </c>
      <c r="C45" s="1"/>
      <c r="D45" s="1"/>
      <c r="E45" s="1"/>
      <c r="F45" s="1"/>
      <c r="G45" s="1"/>
      <c r="H45" s="1"/>
      <c r="I45" s="1"/>
      <c r="J45" s="1"/>
      <c r="K45" s="1"/>
      <c r="L45" s="1"/>
      <c r="M45" s="1"/>
      <c r="N45" s="1"/>
      <c r="O45" s="1"/>
      <c r="P45" s="1"/>
      <c r="Q45" s="1"/>
      <c r="R45" s="1"/>
      <c r="S45" s="1"/>
      <c r="T45" s="1"/>
      <c r="U45" s="1"/>
      <c r="V45" s="1"/>
      <c r="W45" s="1"/>
      <c r="X45" s="1"/>
      <c r="Y45" s="1"/>
      <c r="Z45" s="1"/>
    </row>
    <row r="46" spans="1:26">
      <c r="A46" s="45" t="s">
        <v>66</v>
      </c>
      <c r="B46" s="45" t="s">
        <v>528</v>
      </c>
      <c r="C46" s="1"/>
      <c r="D46" s="1"/>
      <c r="E46" s="1"/>
      <c r="F46" s="1"/>
      <c r="G46" s="1"/>
      <c r="H46" s="1"/>
      <c r="I46" s="1"/>
      <c r="J46" s="1"/>
      <c r="K46" s="1"/>
      <c r="L46" s="1"/>
      <c r="M46" s="1"/>
      <c r="N46" s="1"/>
      <c r="O46" s="1"/>
      <c r="P46" s="1"/>
      <c r="Q46" s="1"/>
      <c r="R46" s="1"/>
      <c r="S46" s="1"/>
      <c r="T46" s="1"/>
      <c r="U46" s="1"/>
      <c r="V46" s="1"/>
      <c r="W46" s="1"/>
      <c r="X46" s="1"/>
      <c r="Y46" s="1"/>
      <c r="Z46" s="1"/>
    </row>
    <row r="47" spans="1:26">
      <c r="A47" s="44" t="s">
        <v>66</v>
      </c>
      <c r="B47" s="44" t="s">
        <v>552</v>
      </c>
      <c r="C47" s="1"/>
      <c r="D47" s="1"/>
      <c r="E47" s="1"/>
      <c r="F47" s="1"/>
      <c r="G47" s="1"/>
      <c r="H47" s="1"/>
      <c r="I47" s="1"/>
      <c r="J47" s="1"/>
      <c r="K47" s="1"/>
      <c r="L47" s="1"/>
      <c r="M47" s="1"/>
      <c r="N47" s="1"/>
      <c r="O47" s="1"/>
      <c r="P47" s="1"/>
      <c r="Q47" s="1"/>
      <c r="R47" s="1"/>
      <c r="S47" s="1"/>
      <c r="T47" s="1"/>
      <c r="U47" s="1"/>
      <c r="V47" s="1"/>
      <c r="W47" s="1"/>
      <c r="X47" s="1"/>
      <c r="Y47" s="1"/>
      <c r="Z47" s="1"/>
    </row>
    <row r="48" spans="1:26">
      <c r="A48" s="45" t="s">
        <v>66</v>
      </c>
      <c r="B48" s="45" t="s">
        <v>569</v>
      </c>
      <c r="C48" s="1"/>
      <c r="D48" s="1"/>
      <c r="E48" s="1"/>
      <c r="F48" s="1"/>
      <c r="G48" s="1"/>
      <c r="H48" s="1"/>
      <c r="I48" s="1"/>
      <c r="J48" s="1"/>
      <c r="K48" s="1"/>
      <c r="L48" s="1"/>
      <c r="M48" s="1"/>
      <c r="N48" s="1"/>
      <c r="O48" s="1"/>
      <c r="P48" s="1"/>
      <c r="Q48" s="1"/>
      <c r="R48" s="1"/>
      <c r="S48" s="1"/>
      <c r="T48" s="1"/>
      <c r="U48" s="1"/>
      <c r="V48" s="1"/>
      <c r="W48" s="1"/>
      <c r="X48" s="1"/>
      <c r="Y48" s="1"/>
      <c r="Z48" s="1"/>
    </row>
    <row r="49" spans="1:26">
      <c r="A49" s="44" t="s">
        <v>67</v>
      </c>
      <c r="B49" s="44" t="s">
        <v>496</v>
      </c>
      <c r="C49" s="1"/>
      <c r="D49" s="1"/>
      <c r="E49" s="1"/>
      <c r="F49" s="1"/>
      <c r="G49" s="1"/>
      <c r="H49" s="1"/>
      <c r="I49" s="1"/>
      <c r="J49" s="1"/>
      <c r="K49" s="1"/>
      <c r="L49" s="1"/>
      <c r="M49" s="1"/>
      <c r="N49" s="1"/>
      <c r="O49" s="1"/>
      <c r="P49" s="1"/>
      <c r="Q49" s="1"/>
      <c r="R49" s="1"/>
      <c r="S49" s="1"/>
      <c r="T49" s="1"/>
      <c r="U49" s="1"/>
      <c r="V49" s="1"/>
      <c r="W49" s="1"/>
      <c r="X49" s="1"/>
      <c r="Y49" s="1"/>
      <c r="Z49" s="1"/>
    </row>
    <row r="50" spans="1:26">
      <c r="A50" s="45" t="s">
        <v>67</v>
      </c>
      <c r="B50" s="45" t="s">
        <v>524</v>
      </c>
      <c r="C50" s="1"/>
      <c r="D50" s="1"/>
      <c r="E50" s="1"/>
      <c r="F50" s="1"/>
      <c r="G50" s="1"/>
      <c r="H50" s="1"/>
      <c r="I50" s="1"/>
      <c r="J50" s="1"/>
      <c r="K50" s="1"/>
      <c r="L50" s="1"/>
      <c r="M50" s="1"/>
      <c r="N50" s="1"/>
      <c r="O50" s="1"/>
      <c r="P50" s="1"/>
      <c r="Q50" s="1"/>
      <c r="R50" s="1"/>
      <c r="S50" s="1"/>
      <c r="T50" s="1"/>
      <c r="U50" s="1"/>
      <c r="V50" s="1"/>
      <c r="W50" s="1"/>
      <c r="X50" s="1"/>
      <c r="Y50" s="1"/>
      <c r="Z50" s="1"/>
    </row>
    <row r="51" spans="1:26">
      <c r="A51" s="44" t="s">
        <v>67</v>
      </c>
      <c r="B51" s="44" t="s">
        <v>457</v>
      </c>
      <c r="C51" s="1"/>
      <c r="D51" s="1"/>
      <c r="E51" s="1"/>
      <c r="F51" s="1"/>
      <c r="G51" s="1"/>
      <c r="H51" s="1"/>
      <c r="I51" s="1"/>
      <c r="J51" s="1"/>
      <c r="K51" s="1"/>
      <c r="L51" s="1"/>
      <c r="M51" s="1"/>
      <c r="N51" s="1"/>
      <c r="O51" s="1"/>
      <c r="P51" s="1"/>
      <c r="Q51" s="1"/>
      <c r="R51" s="1"/>
      <c r="S51" s="1"/>
      <c r="T51" s="1"/>
      <c r="U51" s="1"/>
      <c r="V51" s="1"/>
      <c r="W51" s="1"/>
      <c r="X51" s="1"/>
      <c r="Y51" s="1"/>
      <c r="Z51" s="1"/>
    </row>
    <row r="52" spans="1:26">
      <c r="A52" s="45" t="s">
        <v>67</v>
      </c>
      <c r="B52" s="45" t="s">
        <v>564</v>
      </c>
      <c r="C52" s="1"/>
      <c r="D52" s="1"/>
      <c r="E52" s="1"/>
      <c r="F52" s="1"/>
      <c r="G52" s="1"/>
      <c r="H52" s="1"/>
      <c r="I52" s="1"/>
      <c r="J52" s="1"/>
      <c r="K52" s="1"/>
      <c r="L52" s="1"/>
      <c r="M52" s="1"/>
      <c r="N52" s="1"/>
      <c r="O52" s="1"/>
      <c r="P52" s="1"/>
      <c r="Q52" s="1"/>
      <c r="R52" s="1"/>
      <c r="S52" s="1"/>
      <c r="T52" s="1"/>
      <c r="U52" s="1"/>
      <c r="V52" s="1"/>
      <c r="W52" s="1"/>
      <c r="X52" s="1"/>
      <c r="Y52" s="1"/>
      <c r="Z52" s="1"/>
    </row>
    <row r="53" spans="1:26">
      <c r="A53" s="44" t="s">
        <v>67</v>
      </c>
      <c r="B53" s="44" t="s">
        <v>536</v>
      </c>
      <c r="C53" s="1"/>
      <c r="D53" s="1"/>
      <c r="E53" s="1"/>
      <c r="F53" s="1"/>
      <c r="G53" s="1"/>
      <c r="H53" s="1"/>
      <c r="I53" s="1"/>
      <c r="J53" s="1"/>
      <c r="K53" s="1"/>
      <c r="L53" s="1"/>
      <c r="M53" s="1"/>
      <c r="N53" s="1"/>
      <c r="O53" s="1"/>
      <c r="P53" s="1"/>
      <c r="Q53" s="1"/>
      <c r="R53" s="1"/>
      <c r="S53" s="1"/>
      <c r="T53" s="1"/>
      <c r="U53" s="1"/>
      <c r="V53" s="1"/>
      <c r="W53" s="1"/>
      <c r="X53" s="1"/>
      <c r="Y53" s="1"/>
      <c r="Z53" s="1"/>
    </row>
    <row r="54" spans="1:26">
      <c r="A54" s="45" t="s">
        <v>68</v>
      </c>
      <c r="B54" s="45" t="s">
        <v>454</v>
      </c>
      <c r="C54" s="1"/>
      <c r="D54" s="1"/>
      <c r="E54" s="1"/>
      <c r="F54" s="1"/>
      <c r="G54" s="1"/>
      <c r="H54" s="1"/>
      <c r="I54" s="1"/>
      <c r="J54" s="1"/>
      <c r="K54" s="1"/>
      <c r="L54" s="1"/>
      <c r="M54" s="1"/>
      <c r="N54" s="1"/>
      <c r="O54" s="1"/>
      <c r="P54" s="1"/>
      <c r="Q54" s="1"/>
      <c r="R54" s="1"/>
      <c r="S54" s="1"/>
      <c r="T54" s="1"/>
      <c r="U54" s="1"/>
      <c r="V54" s="1"/>
      <c r="W54" s="1"/>
      <c r="X54" s="1"/>
      <c r="Y54" s="1"/>
      <c r="Z54" s="1"/>
    </row>
    <row r="55" spans="1:26">
      <c r="A55" s="44" t="s">
        <v>68</v>
      </c>
      <c r="B55" s="44" t="s">
        <v>172</v>
      </c>
      <c r="C55" s="1"/>
      <c r="D55" s="1"/>
      <c r="E55" s="1"/>
      <c r="F55" s="1"/>
      <c r="G55" s="1"/>
      <c r="H55" s="1"/>
      <c r="I55" s="1"/>
      <c r="J55" s="1"/>
      <c r="K55" s="1"/>
      <c r="L55" s="1"/>
      <c r="M55" s="1"/>
      <c r="N55" s="1"/>
      <c r="O55" s="1"/>
      <c r="P55" s="1"/>
      <c r="Q55" s="1"/>
      <c r="R55" s="1"/>
      <c r="S55" s="1"/>
      <c r="T55" s="1"/>
      <c r="U55" s="1"/>
      <c r="V55" s="1"/>
      <c r="W55" s="1"/>
      <c r="X55" s="1"/>
      <c r="Y55" s="1"/>
      <c r="Z55" s="1"/>
    </row>
    <row r="56" spans="1:26">
      <c r="A56" s="45" t="s">
        <v>69</v>
      </c>
      <c r="B56" s="45" t="s">
        <v>454</v>
      </c>
      <c r="C56" s="1"/>
      <c r="D56" s="1"/>
      <c r="E56" s="1"/>
      <c r="F56" s="1"/>
      <c r="G56" s="1"/>
      <c r="H56" s="1"/>
      <c r="I56" s="1"/>
      <c r="J56" s="1"/>
      <c r="K56" s="1"/>
      <c r="L56" s="1"/>
      <c r="M56" s="1"/>
      <c r="N56" s="1"/>
      <c r="O56" s="1"/>
      <c r="P56" s="1"/>
      <c r="Q56" s="1"/>
      <c r="R56" s="1"/>
      <c r="S56" s="1"/>
      <c r="T56" s="1"/>
      <c r="U56" s="1"/>
      <c r="V56" s="1"/>
      <c r="W56" s="1"/>
      <c r="X56" s="1"/>
      <c r="Y56" s="1"/>
      <c r="Z56" s="1"/>
    </row>
    <row r="57" spans="1:26">
      <c r="A57" s="44" t="s">
        <v>69</v>
      </c>
      <c r="B57" s="44" t="s">
        <v>172</v>
      </c>
      <c r="C57" s="1"/>
      <c r="D57" s="1"/>
      <c r="E57" s="1"/>
      <c r="F57" s="1"/>
      <c r="G57" s="1"/>
      <c r="H57" s="1"/>
      <c r="I57" s="1"/>
      <c r="J57" s="1"/>
      <c r="K57" s="1"/>
      <c r="L57" s="1"/>
      <c r="M57" s="1"/>
      <c r="N57" s="1"/>
      <c r="O57" s="1"/>
      <c r="P57" s="1"/>
      <c r="Q57" s="1"/>
      <c r="R57" s="1"/>
      <c r="S57" s="1"/>
      <c r="T57" s="1"/>
      <c r="U57" s="1"/>
      <c r="V57" s="1"/>
      <c r="W57" s="1"/>
      <c r="X57" s="1"/>
      <c r="Y57" s="1"/>
      <c r="Z57" s="1"/>
    </row>
    <row r="58" spans="1:26">
      <c r="A58" s="45" t="s">
        <v>70</v>
      </c>
      <c r="B58" s="45" t="s">
        <v>531</v>
      </c>
      <c r="C58" s="1"/>
      <c r="D58" s="1"/>
      <c r="E58" s="1"/>
      <c r="F58" s="1"/>
      <c r="G58" s="1"/>
      <c r="H58" s="1"/>
      <c r="I58" s="1"/>
      <c r="J58" s="1"/>
      <c r="K58" s="1"/>
      <c r="L58" s="1"/>
      <c r="M58" s="1"/>
      <c r="N58" s="1"/>
      <c r="O58" s="1"/>
      <c r="P58" s="1"/>
      <c r="Q58" s="1"/>
      <c r="R58" s="1"/>
      <c r="S58" s="1"/>
      <c r="T58" s="1"/>
      <c r="U58" s="1"/>
      <c r="V58" s="1"/>
      <c r="W58" s="1"/>
      <c r="X58" s="1"/>
      <c r="Y58" s="1"/>
      <c r="Z58" s="1"/>
    </row>
    <row r="59" spans="1:26">
      <c r="A59" s="44" t="s">
        <v>70</v>
      </c>
      <c r="B59" s="44" t="s">
        <v>458</v>
      </c>
      <c r="C59" s="1"/>
      <c r="D59" s="1"/>
      <c r="E59" s="1"/>
      <c r="F59" s="1"/>
      <c r="G59" s="1"/>
      <c r="H59" s="1"/>
      <c r="I59" s="1"/>
      <c r="J59" s="1"/>
      <c r="K59" s="1"/>
      <c r="L59" s="1"/>
      <c r="M59" s="1"/>
      <c r="N59" s="1"/>
      <c r="O59" s="1"/>
      <c r="P59" s="1"/>
      <c r="Q59" s="1"/>
      <c r="R59" s="1"/>
      <c r="S59" s="1"/>
      <c r="T59" s="1"/>
      <c r="U59" s="1"/>
      <c r="V59" s="1"/>
      <c r="W59" s="1"/>
      <c r="X59" s="1"/>
      <c r="Y59" s="1"/>
      <c r="Z59" s="1"/>
    </row>
    <row r="60" spans="1:26">
      <c r="A60" s="45" t="s">
        <v>70</v>
      </c>
      <c r="B60" s="45" t="s">
        <v>530</v>
      </c>
      <c r="C60" s="1"/>
      <c r="D60" s="1"/>
      <c r="E60" s="1"/>
      <c r="F60" s="1"/>
      <c r="G60" s="1"/>
      <c r="H60" s="1"/>
      <c r="I60" s="1"/>
      <c r="J60" s="1"/>
      <c r="K60" s="1"/>
      <c r="L60" s="1"/>
      <c r="M60" s="1"/>
      <c r="N60" s="1"/>
      <c r="O60" s="1"/>
      <c r="P60" s="1"/>
      <c r="Q60" s="1"/>
      <c r="R60" s="1"/>
      <c r="S60" s="1"/>
      <c r="T60" s="1"/>
      <c r="U60" s="1"/>
      <c r="V60" s="1"/>
      <c r="W60" s="1"/>
      <c r="X60" s="1"/>
      <c r="Y60" s="1"/>
      <c r="Z60" s="1"/>
    </row>
    <row r="61" spans="1:26">
      <c r="A61" s="44" t="s">
        <v>70</v>
      </c>
      <c r="B61" s="44" t="s">
        <v>622</v>
      </c>
      <c r="C61" s="1"/>
      <c r="D61" s="1"/>
      <c r="E61" s="1"/>
      <c r="F61" s="1"/>
      <c r="G61" s="1"/>
      <c r="H61" s="1"/>
      <c r="I61" s="1"/>
      <c r="J61" s="1"/>
      <c r="K61" s="1"/>
      <c r="L61" s="1"/>
      <c r="M61" s="1"/>
      <c r="N61" s="1"/>
      <c r="O61" s="1"/>
      <c r="P61" s="1"/>
      <c r="Q61" s="1"/>
      <c r="R61" s="1"/>
      <c r="S61" s="1"/>
      <c r="T61" s="1"/>
      <c r="U61" s="1"/>
      <c r="V61" s="1"/>
      <c r="W61" s="1"/>
      <c r="X61" s="1"/>
      <c r="Y61" s="1"/>
      <c r="Z61" s="1"/>
    </row>
    <row r="62" spans="1:26">
      <c r="A62" s="45" t="s">
        <v>70</v>
      </c>
      <c r="B62" s="45" t="s">
        <v>609</v>
      </c>
      <c r="C62" s="1"/>
      <c r="D62" s="1"/>
      <c r="E62" s="1"/>
      <c r="F62" s="1"/>
      <c r="G62" s="1"/>
      <c r="H62" s="1"/>
      <c r="I62" s="1"/>
      <c r="J62" s="1"/>
      <c r="K62" s="1"/>
      <c r="L62" s="1"/>
      <c r="M62" s="1"/>
      <c r="N62" s="1"/>
      <c r="O62" s="1"/>
      <c r="P62" s="1"/>
      <c r="Q62" s="1"/>
      <c r="R62" s="1"/>
      <c r="S62" s="1"/>
      <c r="T62" s="1"/>
      <c r="U62" s="1"/>
      <c r="V62" s="1"/>
      <c r="W62" s="1"/>
      <c r="X62" s="1"/>
      <c r="Y62" s="1"/>
      <c r="Z62" s="1"/>
    </row>
    <row r="63" spans="1:26">
      <c r="A63" s="44" t="s">
        <v>72</v>
      </c>
      <c r="B63" s="44" t="s">
        <v>459</v>
      </c>
      <c r="C63" s="1"/>
      <c r="D63" s="1"/>
      <c r="E63" s="1"/>
      <c r="F63" s="1"/>
      <c r="G63" s="1"/>
      <c r="H63" s="1"/>
      <c r="I63" s="1"/>
      <c r="J63" s="1"/>
      <c r="K63" s="1"/>
      <c r="L63" s="1"/>
      <c r="M63" s="1"/>
      <c r="N63" s="1"/>
      <c r="O63" s="1"/>
      <c r="P63" s="1"/>
      <c r="Q63" s="1"/>
      <c r="R63" s="1"/>
      <c r="S63" s="1"/>
      <c r="T63" s="1"/>
      <c r="U63" s="1"/>
      <c r="V63" s="1"/>
      <c r="W63" s="1"/>
      <c r="X63" s="1"/>
      <c r="Y63" s="1"/>
      <c r="Z63" s="1"/>
    </row>
    <row r="64" spans="1:26">
      <c r="A64" s="45" t="s">
        <v>72</v>
      </c>
      <c r="B64" s="45" t="s">
        <v>517</v>
      </c>
      <c r="C64" s="1"/>
      <c r="D64" s="1"/>
      <c r="E64" s="1"/>
      <c r="F64" s="1"/>
      <c r="G64" s="1"/>
      <c r="H64" s="1"/>
      <c r="I64" s="1"/>
      <c r="J64" s="1"/>
      <c r="K64" s="1"/>
      <c r="L64" s="1"/>
      <c r="M64" s="1"/>
      <c r="N64" s="1"/>
      <c r="O64" s="1"/>
      <c r="P64" s="1"/>
      <c r="Q64" s="1"/>
      <c r="R64" s="1"/>
      <c r="S64" s="1"/>
      <c r="T64" s="1"/>
      <c r="U64" s="1"/>
      <c r="V64" s="1"/>
      <c r="W64" s="1"/>
      <c r="X64" s="1"/>
      <c r="Y64" s="1"/>
      <c r="Z64" s="1"/>
    </row>
    <row r="65" spans="1:26">
      <c r="A65" s="44" t="s">
        <v>72</v>
      </c>
      <c r="B65" s="44" t="s">
        <v>583</v>
      </c>
      <c r="C65" s="1"/>
      <c r="D65" s="1"/>
      <c r="E65" s="1"/>
      <c r="F65" s="1"/>
      <c r="G65" s="1"/>
      <c r="H65" s="1"/>
      <c r="I65" s="1"/>
      <c r="J65" s="1"/>
      <c r="K65" s="1"/>
      <c r="L65" s="1"/>
      <c r="M65" s="1"/>
      <c r="N65" s="1"/>
      <c r="O65" s="1"/>
      <c r="P65" s="1"/>
      <c r="Q65" s="1"/>
      <c r="R65" s="1"/>
      <c r="S65" s="1"/>
      <c r="T65" s="1"/>
      <c r="U65" s="1"/>
      <c r="V65" s="1"/>
      <c r="W65" s="1"/>
      <c r="X65" s="1"/>
      <c r="Y65" s="1"/>
      <c r="Z65" s="1"/>
    </row>
    <row r="66" spans="1:26">
      <c r="A66" s="45" t="s">
        <v>809</v>
      </c>
      <c r="B66" s="45" t="s">
        <v>558</v>
      </c>
      <c r="C66" s="1"/>
      <c r="D66" s="1"/>
      <c r="E66" s="1"/>
      <c r="F66" s="1"/>
      <c r="G66" s="1"/>
      <c r="H66" s="1"/>
      <c r="I66" s="1"/>
      <c r="J66" s="1"/>
      <c r="K66" s="1"/>
      <c r="L66" s="1"/>
      <c r="M66" s="1"/>
      <c r="N66" s="1"/>
      <c r="O66" s="1"/>
      <c r="P66" s="1"/>
      <c r="Q66" s="1"/>
      <c r="R66" s="1"/>
      <c r="S66" s="1"/>
      <c r="T66" s="1"/>
      <c r="U66" s="1"/>
      <c r="V66" s="1"/>
      <c r="W66" s="1"/>
      <c r="X66" s="1"/>
      <c r="Y66" s="1"/>
      <c r="Z66" s="1"/>
    </row>
    <row r="67" spans="1:26">
      <c r="A67" s="44" t="s">
        <v>809</v>
      </c>
      <c r="B67" s="44" t="s">
        <v>518</v>
      </c>
      <c r="C67" s="1"/>
      <c r="D67" s="1"/>
      <c r="E67" s="1"/>
      <c r="F67" s="1"/>
      <c r="G67" s="1"/>
      <c r="H67" s="1"/>
      <c r="I67" s="1"/>
      <c r="J67" s="1"/>
      <c r="K67" s="1"/>
      <c r="L67" s="1"/>
      <c r="M67" s="1"/>
      <c r="N67" s="1"/>
      <c r="O67" s="1"/>
      <c r="P67" s="1"/>
      <c r="Q67" s="1"/>
      <c r="R67" s="1"/>
      <c r="S67" s="1"/>
      <c r="T67" s="1"/>
      <c r="U67" s="1"/>
      <c r="V67" s="1"/>
      <c r="W67" s="1"/>
      <c r="X67" s="1"/>
      <c r="Y67" s="1"/>
      <c r="Z67" s="1"/>
    </row>
    <row r="68" spans="1:26">
      <c r="A68" s="45" t="s">
        <v>809</v>
      </c>
      <c r="B68" s="45" t="s">
        <v>570</v>
      </c>
      <c r="C68" s="1"/>
      <c r="D68" s="1"/>
      <c r="E68" s="1"/>
      <c r="F68" s="1"/>
      <c r="G68" s="1"/>
      <c r="H68" s="1"/>
      <c r="I68" s="1"/>
      <c r="J68" s="1"/>
      <c r="K68" s="1"/>
      <c r="L68" s="1"/>
      <c r="M68" s="1"/>
      <c r="N68" s="1"/>
      <c r="O68" s="1"/>
      <c r="P68" s="1"/>
      <c r="Q68" s="1"/>
      <c r="R68" s="1"/>
      <c r="S68" s="1"/>
      <c r="T68" s="1"/>
      <c r="U68" s="1"/>
      <c r="V68" s="1"/>
      <c r="W68" s="1"/>
      <c r="X68" s="1"/>
      <c r="Y68" s="1"/>
      <c r="Z68" s="1"/>
    </row>
    <row r="69" spans="1:26">
      <c r="A69" s="44" t="s">
        <v>809</v>
      </c>
      <c r="B69" s="44" t="s">
        <v>584</v>
      </c>
      <c r="C69" s="1"/>
      <c r="D69" s="1"/>
      <c r="E69" s="1"/>
      <c r="F69" s="1"/>
      <c r="G69" s="1"/>
      <c r="H69" s="1"/>
      <c r="I69" s="1"/>
      <c r="J69" s="1"/>
      <c r="K69" s="1"/>
      <c r="L69" s="1"/>
      <c r="M69" s="1"/>
      <c r="N69" s="1"/>
      <c r="O69" s="1"/>
      <c r="P69" s="1"/>
      <c r="Q69" s="1"/>
      <c r="R69" s="1"/>
      <c r="S69" s="1"/>
      <c r="T69" s="1"/>
      <c r="U69" s="1"/>
      <c r="V69" s="1"/>
      <c r="W69" s="1"/>
      <c r="X69" s="1"/>
      <c r="Y69" s="1"/>
      <c r="Z69" s="1"/>
    </row>
    <row r="70" spans="1:26">
      <c r="A70" s="45" t="s">
        <v>810</v>
      </c>
      <c r="B70" s="45" t="s">
        <v>559</v>
      </c>
      <c r="C70" s="1"/>
      <c r="D70" s="1"/>
      <c r="E70" s="1"/>
      <c r="F70" s="1"/>
      <c r="G70" s="1"/>
      <c r="H70" s="1"/>
      <c r="I70" s="1"/>
      <c r="J70" s="1"/>
      <c r="K70" s="1"/>
      <c r="L70" s="1"/>
      <c r="M70" s="1"/>
      <c r="N70" s="1"/>
      <c r="O70" s="1"/>
      <c r="P70" s="1"/>
      <c r="Q70" s="1"/>
      <c r="R70" s="1"/>
      <c r="S70" s="1"/>
      <c r="T70" s="1"/>
      <c r="U70" s="1"/>
      <c r="V70" s="1"/>
      <c r="W70" s="1"/>
      <c r="X70" s="1"/>
      <c r="Y70" s="1"/>
      <c r="Z70" s="1"/>
    </row>
    <row r="71" spans="1:26">
      <c r="A71" s="44" t="s">
        <v>810</v>
      </c>
      <c r="B71" s="44" t="s">
        <v>571</v>
      </c>
      <c r="C71" s="1"/>
      <c r="D71" s="1"/>
      <c r="E71" s="1"/>
      <c r="F71" s="1"/>
      <c r="G71" s="1"/>
      <c r="H71" s="1"/>
      <c r="I71" s="1"/>
      <c r="J71" s="1"/>
      <c r="K71" s="1"/>
      <c r="L71" s="1"/>
      <c r="M71" s="1"/>
      <c r="N71" s="1"/>
      <c r="O71" s="1"/>
      <c r="P71" s="1"/>
      <c r="Q71" s="1"/>
      <c r="R71" s="1"/>
      <c r="S71" s="1"/>
      <c r="T71" s="1"/>
      <c r="U71" s="1"/>
      <c r="V71" s="1"/>
      <c r="W71" s="1"/>
      <c r="X71" s="1"/>
      <c r="Y71" s="1"/>
      <c r="Z71" s="1"/>
    </row>
    <row r="72" spans="1:26">
      <c r="A72" s="45" t="s">
        <v>87</v>
      </c>
      <c r="B72" s="45" t="s">
        <v>613</v>
      </c>
      <c r="C72" s="1"/>
      <c r="D72" s="1"/>
      <c r="E72" s="1"/>
      <c r="F72" s="1"/>
      <c r="G72" s="1"/>
      <c r="H72" s="1"/>
      <c r="I72" s="1"/>
      <c r="J72" s="1"/>
      <c r="K72" s="1"/>
      <c r="L72" s="1"/>
      <c r="M72" s="1"/>
      <c r="N72" s="1"/>
      <c r="O72" s="1"/>
      <c r="P72" s="1"/>
      <c r="Q72" s="1"/>
      <c r="R72" s="1"/>
      <c r="S72" s="1"/>
      <c r="T72" s="1"/>
      <c r="U72" s="1"/>
      <c r="V72" s="1"/>
      <c r="W72" s="1"/>
      <c r="X72" s="1"/>
      <c r="Y72" s="1"/>
      <c r="Z72" s="1"/>
    </row>
    <row r="73" spans="1:26">
      <c r="A73" s="44" t="s">
        <v>91</v>
      </c>
      <c r="B73" s="44" t="s">
        <v>559</v>
      </c>
      <c r="C73" s="1"/>
      <c r="D73" s="1"/>
      <c r="E73" s="1"/>
      <c r="F73" s="1"/>
      <c r="G73" s="1"/>
      <c r="H73" s="1"/>
      <c r="I73" s="1"/>
      <c r="J73" s="1"/>
      <c r="K73" s="1"/>
      <c r="L73" s="1"/>
      <c r="M73" s="1"/>
      <c r="N73" s="1"/>
      <c r="O73" s="1"/>
      <c r="P73" s="1"/>
      <c r="Q73" s="1"/>
      <c r="R73" s="1"/>
      <c r="S73" s="1"/>
      <c r="T73" s="1"/>
      <c r="U73" s="1"/>
      <c r="V73" s="1"/>
      <c r="W73" s="1"/>
      <c r="X73" s="1"/>
      <c r="Y73" s="1"/>
      <c r="Z73" s="1"/>
    </row>
    <row r="74" spans="1:26">
      <c r="A74" s="45" t="s">
        <v>91</v>
      </c>
      <c r="B74" s="45" t="s">
        <v>571</v>
      </c>
      <c r="C74" s="1"/>
      <c r="D74" s="1"/>
      <c r="E74" s="1"/>
      <c r="F74" s="1"/>
      <c r="G74" s="1"/>
      <c r="H74" s="1"/>
      <c r="I74" s="1"/>
      <c r="J74" s="1"/>
      <c r="K74" s="1"/>
      <c r="L74" s="1"/>
      <c r="M74" s="1"/>
      <c r="N74" s="1"/>
      <c r="O74" s="1"/>
      <c r="P74" s="1"/>
      <c r="Q74" s="1"/>
      <c r="R74" s="1"/>
      <c r="S74" s="1"/>
      <c r="T74" s="1"/>
      <c r="U74" s="1"/>
      <c r="V74" s="1"/>
      <c r="W74" s="1"/>
      <c r="X74" s="1"/>
      <c r="Y74" s="1"/>
      <c r="Z74" s="1"/>
    </row>
    <row r="75" spans="1:26">
      <c r="A75" s="44" t="s">
        <v>811</v>
      </c>
      <c r="B75" s="44" t="s">
        <v>558</v>
      </c>
      <c r="C75" s="1"/>
      <c r="D75" s="1"/>
      <c r="E75" s="1"/>
      <c r="F75" s="1"/>
      <c r="G75" s="1"/>
      <c r="H75" s="1"/>
      <c r="I75" s="1"/>
      <c r="J75" s="1"/>
      <c r="K75" s="1"/>
      <c r="L75" s="1"/>
      <c r="M75" s="1"/>
      <c r="N75" s="1"/>
      <c r="O75" s="1"/>
      <c r="P75" s="1"/>
      <c r="Q75" s="1"/>
      <c r="R75" s="1"/>
      <c r="S75" s="1"/>
      <c r="T75" s="1"/>
      <c r="U75" s="1"/>
      <c r="V75" s="1"/>
      <c r="W75" s="1"/>
      <c r="X75" s="1"/>
      <c r="Y75" s="1"/>
      <c r="Z75" s="1"/>
    </row>
    <row r="76" spans="1:26">
      <c r="A76" s="45" t="s">
        <v>811</v>
      </c>
      <c r="B76" s="45" t="s">
        <v>570</v>
      </c>
      <c r="C76" s="1"/>
      <c r="D76" s="1"/>
      <c r="E76" s="1"/>
      <c r="F76" s="1"/>
      <c r="G76" s="1"/>
      <c r="H76" s="1"/>
      <c r="I76" s="1"/>
      <c r="J76" s="1"/>
      <c r="K76" s="1"/>
      <c r="L76" s="1"/>
      <c r="M76" s="1"/>
      <c r="N76" s="1"/>
      <c r="O76" s="1"/>
      <c r="P76" s="1"/>
      <c r="Q76" s="1"/>
      <c r="R76" s="1"/>
      <c r="S76" s="1"/>
      <c r="T76" s="1"/>
      <c r="U76" s="1"/>
      <c r="V76" s="1"/>
      <c r="W76" s="1"/>
      <c r="X76" s="1"/>
      <c r="Y76" s="1"/>
      <c r="Z76" s="1"/>
    </row>
    <row r="77" spans="1:26">
      <c r="A77" s="44" t="s">
        <v>812</v>
      </c>
      <c r="B77" s="44" t="s">
        <v>559</v>
      </c>
      <c r="C77" s="1"/>
      <c r="D77" s="1"/>
      <c r="E77" s="1"/>
      <c r="F77" s="1"/>
      <c r="G77" s="1"/>
      <c r="H77" s="1"/>
      <c r="I77" s="1"/>
      <c r="J77" s="1"/>
      <c r="K77" s="1"/>
      <c r="L77" s="1"/>
      <c r="M77" s="1"/>
      <c r="N77" s="1"/>
      <c r="O77" s="1"/>
      <c r="P77" s="1"/>
      <c r="Q77" s="1"/>
      <c r="R77" s="1"/>
      <c r="S77" s="1"/>
      <c r="T77" s="1"/>
      <c r="U77" s="1"/>
      <c r="V77" s="1"/>
      <c r="W77" s="1"/>
      <c r="X77" s="1"/>
      <c r="Y77" s="1"/>
      <c r="Z77" s="1"/>
    </row>
    <row r="78" spans="1:26">
      <c r="A78" s="45" t="s">
        <v>812</v>
      </c>
      <c r="B78" s="45" t="s">
        <v>572</v>
      </c>
      <c r="C78" s="1"/>
      <c r="D78" s="1"/>
      <c r="E78" s="1"/>
      <c r="F78" s="1"/>
      <c r="G78" s="1"/>
      <c r="H78" s="1"/>
      <c r="I78" s="1"/>
      <c r="J78" s="1"/>
      <c r="K78" s="1"/>
      <c r="L78" s="1"/>
      <c r="M78" s="1"/>
      <c r="N78" s="1"/>
      <c r="O78" s="1"/>
      <c r="P78" s="1"/>
      <c r="Q78" s="1"/>
      <c r="R78" s="1"/>
      <c r="S78" s="1"/>
      <c r="T78" s="1"/>
      <c r="U78" s="1"/>
      <c r="V78" s="1"/>
      <c r="W78" s="1"/>
      <c r="X78" s="1"/>
      <c r="Y78" s="1"/>
      <c r="Z78" s="1"/>
    </row>
    <row r="79" spans="1:26">
      <c r="A79" s="44" t="s">
        <v>105</v>
      </c>
      <c r="B79" s="44" t="s">
        <v>559</v>
      </c>
      <c r="C79" s="1"/>
      <c r="D79" s="1"/>
      <c r="E79" s="1"/>
      <c r="F79" s="1"/>
      <c r="G79" s="1"/>
      <c r="H79" s="1"/>
      <c r="I79" s="1"/>
      <c r="J79" s="1"/>
      <c r="K79" s="1"/>
      <c r="L79" s="1"/>
      <c r="M79" s="1"/>
      <c r="N79" s="1"/>
      <c r="O79" s="1"/>
      <c r="P79" s="1"/>
      <c r="Q79" s="1"/>
      <c r="R79" s="1"/>
      <c r="S79" s="1"/>
      <c r="T79" s="1"/>
      <c r="U79" s="1"/>
      <c r="V79" s="1"/>
      <c r="W79" s="1"/>
      <c r="X79" s="1"/>
      <c r="Y79" s="1"/>
      <c r="Z79" s="1"/>
    </row>
    <row r="80" spans="1:26">
      <c r="A80" s="45" t="s">
        <v>105</v>
      </c>
      <c r="B80" s="45" t="s">
        <v>572</v>
      </c>
      <c r="C80" s="1"/>
      <c r="D80" s="1"/>
      <c r="E80" s="1"/>
      <c r="F80" s="1"/>
      <c r="G80" s="1"/>
      <c r="H80" s="1"/>
      <c r="I80" s="1"/>
      <c r="J80" s="1"/>
      <c r="K80" s="1"/>
      <c r="L80" s="1"/>
      <c r="M80" s="1"/>
      <c r="N80" s="1"/>
      <c r="O80" s="1"/>
      <c r="P80" s="1"/>
      <c r="Q80" s="1"/>
      <c r="R80" s="1"/>
      <c r="S80" s="1"/>
      <c r="T80" s="1"/>
      <c r="U80" s="1"/>
      <c r="V80" s="1"/>
      <c r="W80" s="1"/>
      <c r="X80" s="1"/>
      <c r="Y80" s="1"/>
      <c r="Z80" s="1"/>
    </row>
    <row r="81" spans="1:26">
      <c r="A81" s="44" t="s">
        <v>110</v>
      </c>
      <c r="B81" s="44" t="s">
        <v>813</v>
      </c>
      <c r="C81" s="1"/>
      <c r="D81" s="1"/>
      <c r="E81" s="1"/>
      <c r="F81" s="1"/>
      <c r="G81" s="1"/>
      <c r="H81" s="1"/>
      <c r="I81" s="1"/>
      <c r="J81" s="1"/>
      <c r="K81" s="1"/>
      <c r="L81" s="1"/>
      <c r="M81" s="1"/>
      <c r="N81" s="1"/>
      <c r="O81" s="1"/>
      <c r="P81" s="1"/>
      <c r="Q81" s="1"/>
      <c r="R81" s="1"/>
      <c r="S81" s="1"/>
      <c r="T81" s="1"/>
      <c r="U81" s="1"/>
      <c r="V81" s="1"/>
      <c r="W81" s="1"/>
      <c r="X81" s="1"/>
      <c r="Y81" s="1"/>
      <c r="Z81" s="1"/>
    </row>
    <row r="82" spans="1:26">
      <c r="A82" s="45" t="s">
        <v>110</v>
      </c>
      <c r="B82" s="45" t="s">
        <v>814</v>
      </c>
      <c r="C82" s="1"/>
      <c r="D82" s="1"/>
      <c r="E82" s="1"/>
      <c r="F82" s="1"/>
      <c r="G82" s="1"/>
      <c r="H82" s="1"/>
      <c r="I82" s="1"/>
      <c r="J82" s="1"/>
      <c r="K82" s="1"/>
      <c r="L82" s="1"/>
      <c r="M82" s="1"/>
      <c r="N82" s="1"/>
      <c r="O82" s="1"/>
      <c r="P82" s="1"/>
      <c r="Q82" s="1"/>
      <c r="R82" s="1"/>
      <c r="S82" s="1"/>
      <c r="T82" s="1"/>
      <c r="U82" s="1"/>
      <c r="V82" s="1"/>
      <c r="W82" s="1"/>
      <c r="X82" s="1"/>
      <c r="Y82" s="1"/>
      <c r="Z82" s="1"/>
    </row>
    <row r="83" spans="1:26">
      <c r="A83" s="44" t="s">
        <v>110</v>
      </c>
      <c r="B83" s="44" t="s">
        <v>570</v>
      </c>
      <c r="C83" s="1"/>
      <c r="D83" s="1"/>
      <c r="E83" s="1"/>
      <c r="F83" s="1"/>
      <c r="G83" s="1"/>
      <c r="H83" s="1"/>
      <c r="I83" s="1"/>
      <c r="J83" s="1"/>
      <c r="K83" s="1"/>
      <c r="L83" s="1"/>
      <c r="M83" s="1"/>
      <c r="N83" s="1"/>
      <c r="O83" s="1"/>
      <c r="P83" s="1"/>
      <c r="Q83" s="1"/>
      <c r="R83" s="1"/>
      <c r="S83" s="1"/>
      <c r="T83" s="1"/>
      <c r="U83" s="1"/>
      <c r="V83" s="1"/>
      <c r="W83" s="1"/>
      <c r="X83" s="1"/>
      <c r="Y83" s="1"/>
      <c r="Z83" s="1"/>
    </row>
    <row r="84" spans="1:26">
      <c r="A84" s="45" t="s">
        <v>110</v>
      </c>
      <c r="B84" s="45" t="s">
        <v>460</v>
      </c>
      <c r="C84" s="1"/>
      <c r="D84" s="1"/>
      <c r="E84" s="1"/>
      <c r="F84" s="1"/>
      <c r="G84" s="1"/>
      <c r="H84" s="1"/>
      <c r="I84" s="1"/>
      <c r="J84" s="1"/>
      <c r="K84" s="1"/>
      <c r="L84" s="1"/>
      <c r="M84" s="1"/>
      <c r="N84" s="1"/>
      <c r="O84" s="1"/>
      <c r="P84" s="1"/>
      <c r="Q84" s="1"/>
      <c r="R84" s="1"/>
      <c r="S84" s="1"/>
      <c r="T84" s="1"/>
      <c r="U84" s="1"/>
      <c r="V84" s="1"/>
      <c r="W84" s="1"/>
      <c r="X84" s="1"/>
      <c r="Y84" s="1"/>
      <c r="Z84" s="1"/>
    </row>
    <row r="85" spans="1:26">
      <c r="A85" s="44" t="s">
        <v>110</v>
      </c>
      <c r="B85" s="44" t="s">
        <v>525</v>
      </c>
      <c r="C85" s="1"/>
      <c r="D85" s="1"/>
      <c r="E85" s="1"/>
      <c r="F85" s="1"/>
      <c r="G85" s="1"/>
      <c r="H85" s="1"/>
      <c r="I85" s="1"/>
      <c r="J85" s="1"/>
      <c r="K85" s="1"/>
      <c r="L85" s="1"/>
      <c r="M85" s="1"/>
      <c r="N85" s="1"/>
      <c r="O85" s="1"/>
      <c r="P85" s="1"/>
      <c r="Q85" s="1"/>
      <c r="R85" s="1"/>
      <c r="S85" s="1"/>
      <c r="T85" s="1"/>
      <c r="U85" s="1"/>
      <c r="V85" s="1"/>
      <c r="W85" s="1"/>
      <c r="X85" s="1"/>
      <c r="Y85" s="1"/>
      <c r="Z85" s="1"/>
    </row>
    <row r="86" spans="1:26">
      <c r="A86" s="45" t="s">
        <v>110</v>
      </c>
      <c r="B86" s="45" t="s">
        <v>475</v>
      </c>
      <c r="C86" s="1"/>
      <c r="D86" s="1"/>
      <c r="E86" s="1"/>
      <c r="F86" s="1"/>
      <c r="G86" s="1"/>
      <c r="H86" s="1"/>
      <c r="I86" s="1"/>
      <c r="J86" s="1"/>
      <c r="K86" s="1"/>
      <c r="L86" s="1"/>
      <c r="M86" s="1"/>
      <c r="N86" s="1"/>
      <c r="O86" s="1"/>
      <c r="P86" s="1"/>
      <c r="Q86" s="1"/>
      <c r="R86" s="1"/>
      <c r="S86" s="1"/>
      <c r="T86" s="1"/>
      <c r="U86" s="1"/>
      <c r="V86" s="1"/>
      <c r="W86" s="1"/>
      <c r="X86" s="1"/>
      <c r="Y86" s="1"/>
      <c r="Z86" s="1"/>
    </row>
    <row r="87" spans="1:26">
      <c r="A87" s="44" t="s">
        <v>110</v>
      </c>
      <c r="B87" s="44" t="s">
        <v>585</v>
      </c>
      <c r="C87" s="1"/>
      <c r="D87" s="1"/>
      <c r="E87" s="1"/>
      <c r="F87" s="1"/>
      <c r="G87" s="1"/>
      <c r="H87" s="1"/>
      <c r="I87" s="1"/>
      <c r="J87" s="1"/>
      <c r="K87" s="1"/>
      <c r="L87" s="1"/>
      <c r="M87" s="1"/>
      <c r="N87" s="1"/>
      <c r="O87" s="1"/>
      <c r="P87" s="1"/>
      <c r="Q87" s="1"/>
      <c r="R87" s="1"/>
      <c r="S87" s="1"/>
      <c r="T87" s="1"/>
      <c r="U87" s="1"/>
      <c r="V87" s="1"/>
      <c r="W87" s="1"/>
      <c r="X87" s="1"/>
      <c r="Y87" s="1"/>
      <c r="Z87" s="1"/>
    </row>
    <row r="88" spans="1:26">
      <c r="A88" s="45" t="s">
        <v>114</v>
      </c>
      <c r="B88" s="45" t="s">
        <v>461</v>
      </c>
      <c r="C88" s="1"/>
      <c r="D88" s="1"/>
      <c r="E88" s="1"/>
      <c r="F88" s="1"/>
      <c r="G88" s="1"/>
      <c r="H88" s="1"/>
      <c r="I88" s="1"/>
      <c r="J88" s="1"/>
      <c r="K88" s="1"/>
      <c r="L88" s="1"/>
      <c r="M88" s="1"/>
      <c r="N88" s="1"/>
      <c r="O88" s="1"/>
      <c r="P88" s="1"/>
      <c r="Q88" s="1"/>
      <c r="R88" s="1"/>
      <c r="S88" s="1"/>
      <c r="T88" s="1"/>
      <c r="U88" s="1"/>
      <c r="V88" s="1"/>
      <c r="W88" s="1"/>
      <c r="X88" s="1"/>
      <c r="Y88" s="1"/>
      <c r="Z88" s="1"/>
    </row>
    <row r="89" spans="1:26">
      <c r="A89" s="44" t="s">
        <v>114</v>
      </c>
      <c r="B89" s="44" t="s">
        <v>573</v>
      </c>
      <c r="C89" s="1"/>
      <c r="D89" s="1"/>
      <c r="E89" s="1"/>
      <c r="F89" s="1"/>
      <c r="G89" s="1"/>
      <c r="H89" s="1"/>
      <c r="I89" s="1"/>
      <c r="J89" s="1"/>
      <c r="K89" s="1"/>
      <c r="L89" s="1"/>
      <c r="M89" s="1"/>
      <c r="N89" s="1"/>
      <c r="O89" s="1"/>
      <c r="P89" s="1"/>
      <c r="Q89" s="1"/>
      <c r="R89" s="1"/>
      <c r="S89" s="1"/>
      <c r="T89" s="1"/>
      <c r="U89" s="1"/>
      <c r="V89" s="1"/>
      <c r="W89" s="1"/>
      <c r="X89" s="1"/>
      <c r="Y89" s="1"/>
      <c r="Z89" s="1"/>
    </row>
    <row r="90" spans="1:26">
      <c r="A90" s="45" t="s">
        <v>121</v>
      </c>
      <c r="B90" s="45" t="s">
        <v>509</v>
      </c>
      <c r="C90" s="1"/>
      <c r="D90" s="1"/>
      <c r="E90" s="1"/>
      <c r="F90" s="1"/>
      <c r="G90" s="1"/>
      <c r="H90" s="1"/>
      <c r="I90" s="1"/>
      <c r="J90" s="1"/>
      <c r="K90" s="1"/>
      <c r="L90" s="1"/>
      <c r="M90" s="1"/>
      <c r="N90" s="1"/>
      <c r="O90" s="1"/>
      <c r="P90" s="1"/>
      <c r="Q90" s="1"/>
      <c r="R90" s="1"/>
      <c r="S90" s="1"/>
      <c r="T90" s="1"/>
      <c r="U90" s="1"/>
      <c r="V90" s="1"/>
      <c r="W90" s="1"/>
      <c r="X90" s="1"/>
      <c r="Y90" s="1"/>
      <c r="Z90" s="1"/>
    </row>
    <row r="91" spans="1:26">
      <c r="A91" s="44" t="s">
        <v>121</v>
      </c>
      <c r="B91" s="44" t="s">
        <v>538</v>
      </c>
      <c r="C91" s="1"/>
      <c r="D91" s="1"/>
      <c r="E91" s="1"/>
      <c r="F91" s="1"/>
      <c r="G91" s="1"/>
      <c r="H91" s="1"/>
      <c r="I91" s="1"/>
      <c r="J91" s="1"/>
      <c r="K91" s="1"/>
      <c r="L91" s="1"/>
      <c r="M91" s="1"/>
      <c r="N91" s="1"/>
      <c r="O91" s="1"/>
      <c r="P91" s="1"/>
      <c r="Q91" s="1"/>
      <c r="R91" s="1"/>
      <c r="S91" s="1"/>
      <c r="T91" s="1"/>
      <c r="U91" s="1"/>
      <c r="V91" s="1"/>
      <c r="W91" s="1"/>
      <c r="X91" s="1"/>
      <c r="Y91" s="1"/>
      <c r="Z91" s="1"/>
    </row>
    <row r="92" spans="1:26">
      <c r="A92" s="45" t="s">
        <v>125</v>
      </c>
      <c r="B92" s="45" t="s">
        <v>461</v>
      </c>
      <c r="C92" s="1"/>
      <c r="D92" s="1"/>
      <c r="E92" s="1"/>
      <c r="F92" s="1"/>
      <c r="G92" s="1"/>
      <c r="H92" s="1"/>
      <c r="I92" s="1"/>
      <c r="J92" s="1"/>
      <c r="K92" s="1"/>
      <c r="L92" s="1"/>
      <c r="M92" s="1"/>
      <c r="N92" s="1"/>
      <c r="O92" s="1"/>
      <c r="P92" s="1"/>
      <c r="Q92" s="1"/>
      <c r="R92" s="1"/>
      <c r="S92" s="1"/>
      <c r="T92" s="1"/>
      <c r="U92" s="1"/>
      <c r="V92" s="1"/>
      <c r="W92" s="1"/>
      <c r="X92" s="1"/>
      <c r="Y92" s="1"/>
      <c r="Z92" s="1"/>
    </row>
    <row r="93" spans="1:26">
      <c r="A93" s="44" t="s">
        <v>125</v>
      </c>
      <c r="B93" s="44" t="s">
        <v>573</v>
      </c>
      <c r="C93" s="1"/>
      <c r="D93" s="1"/>
      <c r="E93" s="1"/>
      <c r="F93" s="1"/>
      <c r="G93" s="1"/>
      <c r="H93" s="1"/>
      <c r="I93" s="1"/>
      <c r="J93" s="1"/>
      <c r="K93" s="1"/>
      <c r="L93" s="1"/>
      <c r="M93" s="1"/>
      <c r="N93" s="1"/>
      <c r="O93" s="1"/>
      <c r="P93" s="1"/>
      <c r="Q93" s="1"/>
      <c r="R93" s="1"/>
      <c r="S93" s="1"/>
      <c r="T93" s="1"/>
      <c r="U93" s="1"/>
      <c r="V93" s="1"/>
      <c r="W93" s="1"/>
      <c r="X93" s="1"/>
      <c r="Y93" s="1"/>
      <c r="Z93" s="1"/>
    </row>
    <row r="94" spans="1:26">
      <c r="A94" s="45" t="s">
        <v>125</v>
      </c>
      <c r="B94" s="45" t="s">
        <v>519</v>
      </c>
      <c r="C94" s="1"/>
      <c r="D94" s="1"/>
      <c r="E94" s="1"/>
      <c r="F94" s="1"/>
      <c r="G94" s="1"/>
      <c r="H94" s="1"/>
      <c r="I94" s="1"/>
      <c r="J94" s="1"/>
      <c r="K94" s="1"/>
      <c r="L94" s="1"/>
      <c r="M94" s="1"/>
      <c r="N94" s="1"/>
      <c r="O94" s="1"/>
      <c r="P94" s="1"/>
      <c r="Q94" s="1"/>
      <c r="R94" s="1"/>
      <c r="S94" s="1"/>
      <c r="T94" s="1"/>
      <c r="U94" s="1"/>
      <c r="V94" s="1"/>
      <c r="W94" s="1"/>
      <c r="X94" s="1"/>
      <c r="Y94" s="1"/>
      <c r="Z94" s="1"/>
    </row>
    <row r="95" spans="1:26">
      <c r="A95" s="44" t="s">
        <v>129</v>
      </c>
      <c r="B95" s="44" t="s">
        <v>486</v>
      </c>
      <c r="C95" s="1"/>
      <c r="D95" s="1"/>
      <c r="E95" s="1"/>
      <c r="F95" s="1"/>
      <c r="G95" s="1"/>
      <c r="H95" s="1"/>
      <c r="I95" s="1"/>
      <c r="J95" s="1"/>
      <c r="K95" s="1"/>
      <c r="L95" s="1"/>
      <c r="M95" s="1"/>
      <c r="N95" s="1"/>
      <c r="O95" s="1"/>
      <c r="P95" s="1"/>
      <c r="Q95" s="1"/>
      <c r="R95" s="1"/>
      <c r="S95" s="1"/>
      <c r="T95" s="1"/>
      <c r="U95" s="1"/>
      <c r="V95" s="1"/>
      <c r="W95" s="1"/>
      <c r="X95" s="1"/>
      <c r="Y95" s="1"/>
      <c r="Z95" s="1"/>
    </row>
    <row r="96" spans="1:26">
      <c r="A96" s="45" t="s">
        <v>129</v>
      </c>
      <c r="B96" s="45" t="s">
        <v>504</v>
      </c>
      <c r="C96" s="1"/>
      <c r="D96" s="1"/>
      <c r="E96" s="1"/>
      <c r="F96" s="1"/>
      <c r="G96" s="1"/>
      <c r="H96" s="1"/>
      <c r="I96" s="1"/>
      <c r="J96" s="1"/>
      <c r="K96" s="1"/>
      <c r="L96" s="1"/>
      <c r="M96" s="1"/>
      <c r="N96" s="1"/>
      <c r="O96" s="1"/>
      <c r="P96" s="1"/>
      <c r="Q96" s="1"/>
      <c r="R96" s="1"/>
      <c r="S96" s="1"/>
      <c r="T96" s="1"/>
      <c r="U96" s="1"/>
      <c r="V96" s="1"/>
      <c r="W96" s="1"/>
      <c r="X96" s="1"/>
      <c r="Y96" s="1"/>
      <c r="Z96" s="1"/>
    </row>
    <row r="97" spans="1:26">
      <c r="A97" s="44" t="s">
        <v>129</v>
      </c>
      <c r="B97" s="44" t="s">
        <v>590</v>
      </c>
      <c r="C97" s="1"/>
      <c r="D97" s="1"/>
      <c r="E97" s="1"/>
      <c r="F97" s="1"/>
      <c r="G97" s="1"/>
      <c r="H97" s="1"/>
      <c r="I97" s="1"/>
      <c r="J97" s="1"/>
      <c r="K97" s="1"/>
      <c r="L97" s="1"/>
      <c r="M97" s="1"/>
      <c r="N97" s="1"/>
      <c r="O97" s="1"/>
      <c r="P97" s="1"/>
      <c r="Q97" s="1"/>
      <c r="R97" s="1"/>
      <c r="S97" s="1"/>
      <c r="T97" s="1"/>
      <c r="U97" s="1"/>
      <c r="V97" s="1"/>
      <c r="W97" s="1"/>
      <c r="X97" s="1"/>
      <c r="Y97" s="1"/>
      <c r="Z97" s="1"/>
    </row>
    <row r="98" spans="1:26">
      <c r="A98" s="45" t="s">
        <v>129</v>
      </c>
      <c r="B98" s="45" t="s">
        <v>589</v>
      </c>
      <c r="C98" s="1"/>
      <c r="D98" s="1"/>
      <c r="E98" s="1"/>
      <c r="F98" s="1"/>
      <c r="G98" s="1"/>
      <c r="H98" s="1"/>
      <c r="I98" s="1"/>
      <c r="J98" s="1"/>
      <c r="K98" s="1"/>
      <c r="L98" s="1"/>
      <c r="M98" s="1"/>
      <c r="N98" s="1"/>
      <c r="O98" s="1"/>
      <c r="P98" s="1"/>
      <c r="Q98" s="1"/>
      <c r="R98" s="1"/>
      <c r="S98" s="1"/>
      <c r="T98" s="1"/>
      <c r="U98" s="1"/>
      <c r="V98" s="1"/>
      <c r="W98" s="1"/>
      <c r="X98" s="1"/>
      <c r="Y98" s="1"/>
      <c r="Z98" s="1"/>
    </row>
    <row r="99" spans="1:26">
      <c r="A99" s="44" t="s">
        <v>129</v>
      </c>
      <c r="B99" s="44" t="s">
        <v>478</v>
      </c>
      <c r="C99" s="1"/>
      <c r="D99" s="1"/>
      <c r="E99" s="1"/>
      <c r="F99" s="1"/>
      <c r="G99" s="1"/>
      <c r="H99" s="1"/>
      <c r="I99" s="1"/>
      <c r="J99" s="1"/>
      <c r="K99" s="1"/>
      <c r="L99" s="1"/>
      <c r="M99" s="1"/>
      <c r="N99" s="1"/>
      <c r="O99" s="1"/>
      <c r="P99" s="1"/>
      <c r="Q99" s="1"/>
      <c r="R99" s="1"/>
      <c r="S99" s="1"/>
      <c r="T99" s="1"/>
      <c r="U99" s="1"/>
      <c r="V99" s="1"/>
      <c r="W99" s="1"/>
      <c r="X99" s="1"/>
      <c r="Y99" s="1"/>
      <c r="Z99" s="1"/>
    </row>
    <row r="100" spans="1:26">
      <c r="A100" s="45" t="s">
        <v>129</v>
      </c>
      <c r="B100" s="45" t="s">
        <v>472</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44" t="s">
        <v>129</v>
      </c>
      <c r="B101" s="44" t="s">
        <v>591</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45" t="s">
        <v>129</v>
      </c>
      <c r="B102" s="45" t="s">
        <v>508</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44" t="s">
        <v>129</v>
      </c>
      <c r="B103" s="44" t="s">
        <v>489</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45" t="s">
        <v>129</v>
      </c>
      <c r="B104" s="45" t="s">
        <v>498</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44" t="s">
        <v>129</v>
      </c>
      <c r="B105" s="44" t="s">
        <v>502</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45" t="s">
        <v>129</v>
      </c>
      <c r="B106" s="45" t="s">
        <v>480</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44" t="s">
        <v>129</v>
      </c>
      <c r="B107" s="44" t="s">
        <v>479</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45" t="s">
        <v>129</v>
      </c>
      <c r="B108" s="45" t="s">
        <v>482</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44" t="s">
        <v>129</v>
      </c>
      <c r="B109" s="44" t="s">
        <v>503</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45" t="s">
        <v>129</v>
      </c>
      <c r="B110" s="45" t="s">
        <v>487</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44" t="s">
        <v>129</v>
      </c>
      <c r="B111" s="44" t="s">
        <v>488</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45" t="s">
        <v>129</v>
      </c>
      <c r="B112" s="45" t="s">
        <v>484</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44" t="s">
        <v>815</v>
      </c>
      <c r="B113" s="44" t="s">
        <v>588</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45" t="s">
        <v>815</v>
      </c>
      <c r="B114" s="45" t="s">
        <v>499</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44" t="s">
        <v>815</v>
      </c>
      <c r="B115" s="44" t="s">
        <v>474</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45" t="s">
        <v>815</v>
      </c>
      <c r="B116" s="45" t="s">
        <v>584</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44" t="s">
        <v>816</v>
      </c>
      <c r="B117" s="44" t="s">
        <v>588</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45" t="s">
        <v>151</v>
      </c>
      <c r="B118" s="45" t="s">
        <v>500</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44" t="s">
        <v>151</v>
      </c>
      <c r="B119" s="44" t="s">
        <v>460</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45" t="s">
        <v>151</v>
      </c>
      <c r="B120" s="45" t="s">
        <v>475</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44" t="s">
        <v>151</v>
      </c>
      <c r="B121" s="44" t="s">
        <v>585</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45" t="s">
        <v>159</v>
      </c>
      <c r="B122" s="45" t="s">
        <v>509</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44" t="s">
        <v>164</v>
      </c>
      <c r="B123" s="44" t="s">
        <v>510</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45" t="s">
        <v>164</v>
      </c>
      <c r="B124" s="45" t="s">
        <v>476</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t="s">
        <v>165</v>
      </c>
      <c r="B125" s="1" t="s">
        <v>454</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t="s">
        <v>165</v>
      </c>
      <c r="B126" s="1" t="s">
        <v>172</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t="s">
        <v>130</v>
      </c>
      <c r="B127" s="1" t="s">
        <v>473</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t="s">
        <v>130</v>
      </c>
      <c r="B128" s="1" t="s">
        <v>481</v>
      </c>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t="s">
        <v>130</v>
      </c>
      <c r="B129" s="1" t="s">
        <v>485</v>
      </c>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t="s">
        <v>130</v>
      </c>
      <c r="B130" s="1" t="s">
        <v>490</v>
      </c>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t="s">
        <v>130</v>
      </c>
      <c r="B131" s="1" t="s">
        <v>483</v>
      </c>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3: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3: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3: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3: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3: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3: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3: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3: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3: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3: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3: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3: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3: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3: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3: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3: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3: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3: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3: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3: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3: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3: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3: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3: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3: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3: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3: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3: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3: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3: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3: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3: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3: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3: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3: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3: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3: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3: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3: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3: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3: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3: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3: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3: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3: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3: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3: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3: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3: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3: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3: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3: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3: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3: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3: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3: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3: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3: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3: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3: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3: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3: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3: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3: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3: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3: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3: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3: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3: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3: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3: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3: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3: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3: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3: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3: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3: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3: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3: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3: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3: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3: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3: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3: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3: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3: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3: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3: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3: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3: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3: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3: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3: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3: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3: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3: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3: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3: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3: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3: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3: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3: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3: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3: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3: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3: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3: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3: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3: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3: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3: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3: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3: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3: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3: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3: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3: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3: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3: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3: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3: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3: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3: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3: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3: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3: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3: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3: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3: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3: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3: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3: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3: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3: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3: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3: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3: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3: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3: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3: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3: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3: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3: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3: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3: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3: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3: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3: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3: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3: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3: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3: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3: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3: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3: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3: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3: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3: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3: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3: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3: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3: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3: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3: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3: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3: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3: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3: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3: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3: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3: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3: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3: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3: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3: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3: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3: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3: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3: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3: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3: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3: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3: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3: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3: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3: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3: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3: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3: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3: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3: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3: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3: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3: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3: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3: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3: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3: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3: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3: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3: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3: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3: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3: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3: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3: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3: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3: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3: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3: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3: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3: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3: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3: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3: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3: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3: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3: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3: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3: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3: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3: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3: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3: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3: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3: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3: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3: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3: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3: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3: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3: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3: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3: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3: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3: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3: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3: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3: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3: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3: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3: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3: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3: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3: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3: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3: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3: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3: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3: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3: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3: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3: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3: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3: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3: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3: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3: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3: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3: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3: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3: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3: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3: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3: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3: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3: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3: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3: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3: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3: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3: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3: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3: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3: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3: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3: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3: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3: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3: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3: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3: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3: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3: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3: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3: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3: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3: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3: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3: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3: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3: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3: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3: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3: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3: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3: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3: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3: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3: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3: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3: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3: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3: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3: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3: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3: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3: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3: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3: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3: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3: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3: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3: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3: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3: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3: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3: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3: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3: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3: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3: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3: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3: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3: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3: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3: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3: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3: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3: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3: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3: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3: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3: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3: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3: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3: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3: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3: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3: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3: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3: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3: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3: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3: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3: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3: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3: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3: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3: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3: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3: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3: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3: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3: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3: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3: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3: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3: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3: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3: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3: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3: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3: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3: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3: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3: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3: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3: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3: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3: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3: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3: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3: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3: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3: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3: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3: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3: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3: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3: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3: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3: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3: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3: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3: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3: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3: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3: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3: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3: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3: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3: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3: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3: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3: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3: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3: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3: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3: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3: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3: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3: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3: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3: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3: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3: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3: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3: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3: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3: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3: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3: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3: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3: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3: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3: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3: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3: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3: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3: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3: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3: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3: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3: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3: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3: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3: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3: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3: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3: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3: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3: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3: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3: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3: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3: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3: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3: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3: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3: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3: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3: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3: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3: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3: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3: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3: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3: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3: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3: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3: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3: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3: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3: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3: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3: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3: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3: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3: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3: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3: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3: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3: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3: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3: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3: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3: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3: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3: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3: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3: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3: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3: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3: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3: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3: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3: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3: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3: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3: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3: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3: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3: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3: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3: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3: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3: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3: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3: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3: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3: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3: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3: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3: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3: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3: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3: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3: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3: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3: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3: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3: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3: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3: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3: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3: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3: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3: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3: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3: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3: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3: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3: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3: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3: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3: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3: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3: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3: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3: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3: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3: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3: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3: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3: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3: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3: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3: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3: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3: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3: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3: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3: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3: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3: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3: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3: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3: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3: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3: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3: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3: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3: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3: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3: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3: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3: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3: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3: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3: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3: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3: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3: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3: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3: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3: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3: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3: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3: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3: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3: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3: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3: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3: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3: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3: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3: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3: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3: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3: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3: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3: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3: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3: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3: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3: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3: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3: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3: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3: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3: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3: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3: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3: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3: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3: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3: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3: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3: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3: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3: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3: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3: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3: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3: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3: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3: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3: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3: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3: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3: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3: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3: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3: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3: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3: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3: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3: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3: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3: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3: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3: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3: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3: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3: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3: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3: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3: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3: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3: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3: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3: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3: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3: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3: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3: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3: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3: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3: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3: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3: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3: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3: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3: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3: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3: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3: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3: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3: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3: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3: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3: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3: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3: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3: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3: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3: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3: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3: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3: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3: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3: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3: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3: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3: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3: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3: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3: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3: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3: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3: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3: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3: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3: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3: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3: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3: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3: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3: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3: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3: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3: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3: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3: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3: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3: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3: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3: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3: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3: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3: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3: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3: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3: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3: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3: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3: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3: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3: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3: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3: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3: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3: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3: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3: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3: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3: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3: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3: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3: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3: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3: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3: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3: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3: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3: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3: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3: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3: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3: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3: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3: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3: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3: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3: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3: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3: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3: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3: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3: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3: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3: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3: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3: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3: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3: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3: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3: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3: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3: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3: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3: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3: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3: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3: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3: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3: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3: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3: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3: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3: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3: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3: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3: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3: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3: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3: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3: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3: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3: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3: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3: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3: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3: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3: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3: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3: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3: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3: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3: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3: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3: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3: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3: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3: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3: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3: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3: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3: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3: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3: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3: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3: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3: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3: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3: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3: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3: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3: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3: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3: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3: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3: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3: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3: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3: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3: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3: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3: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3: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3: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3: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3: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3: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3: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3: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3: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3: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3: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3: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3: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3: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3: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3: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3: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3: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3: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3: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3: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3: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3: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3: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3: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3: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3: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3: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3: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3: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3: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3: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3: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3: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3: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3: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3: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3: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3: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3: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3: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3: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3: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3: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3: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3: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3: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3: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3: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3: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3: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3: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3: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3: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3: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3: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3: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3: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3: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3: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3: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3: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3: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3: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3: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3: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3: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9FE3-6117-4E76-80B5-7B20EDAEE439}">
  <dimension ref="A1:Z1000"/>
  <sheetViews>
    <sheetView workbookViewId="0">
      <selection activeCell="C161" sqref="C161"/>
    </sheetView>
  </sheetViews>
  <sheetFormatPr defaultRowHeight="14.45"/>
  <cols>
    <col min="1" max="1" width="7.7109375" bestFit="1" customWidth="1"/>
    <col min="2" max="2" width="23" customWidth="1"/>
    <col min="3" max="3" width="19" customWidth="1"/>
    <col min="4" max="4" width="24.7109375" customWidth="1"/>
    <col min="5" max="5" width="48.7109375" customWidth="1"/>
  </cols>
  <sheetData>
    <row r="1" spans="1:26" ht="15" thickBot="1">
      <c r="A1" s="40" t="s">
        <v>817</v>
      </c>
      <c r="B1" s="40" t="s">
        <v>818</v>
      </c>
      <c r="C1" s="40" t="s">
        <v>819</v>
      </c>
      <c r="D1" s="40" t="s">
        <v>820</v>
      </c>
      <c r="E1" s="40" t="s">
        <v>821</v>
      </c>
      <c r="F1" s="38"/>
      <c r="G1" s="38"/>
      <c r="H1" s="38"/>
      <c r="I1" s="38"/>
      <c r="J1" s="38"/>
      <c r="K1" s="38"/>
      <c r="L1" s="38"/>
      <c r="M1" s="38"/>
      <c r="N1" s="38"/>
      <c r="O1" s="38"/>
      <c r="P1" s="38"/>
      <c r="Q1" s="38"/>
      <c r="R1" s="38"/>
      <c r="S1" s="38"/>
      <c r="T1" s="38"/>
      <c r="U1" s="38"/>
      <c r="V1" s="38"/>
      <c r="W1" s="38"/>
      <c r="X1" s="38"/>
      <c r="Y1" s="38"/>
      <c r="Z1" s="38"/>
    </row>
    <row r="2" spans="1:26" ht="15" thickBot="1">
      <c r="A2" s="43">
        <v>1</v>
      </c>
      <c r="B2" s="41" t="s">
        <v>56</v>
      </c>
      <c r="C2" s="41" t="s">
        <v>822</v>
      </c>
      <c r="D2" s="41" t="s">
        <v>823</v>
      </c>
      <c r="E2" s="41" t="s">
        <v>824</v>
      </c>
      <c r="F2" s="38"/>
      <c r="G2" s="38"/>
      <c r="H2" s="38"/>
      <c r="I2" s="38"/>
      <c r="J2" s="38"/>
      <c r="K2" s="38"/>
      <c r="L2" s="38"/>
      <c r="M2" s="38"/>
      <c r="N2" s="38"/>
      <c r="O2" s="38"/>
      <c r="P2" s="38"/>
      <c r="Q2" s="38"/>
      <c r="R2" s="38"/>
      <c r="S2" s="38"/>
      <c r="T2" s="38"/>
      <c r="U2" s="38"/>
      <c r="V2" s="38"/>
      <c r="W2" s="38"/>
      <c r="X2" s="38"/>
      <c r="Y2" s="38"/>
      <c r="Z2" s="38"/>
    </row>
    <row r="3" spans="1:26" ht="29.45" thickBot="1">
      <c r="A3" s="42">
        <v>2</v>
      </c>
      <c r="B3" s="40" t="s">
        <v>57</v>
      </c>
      <c r="C3" s="40" t="s">
        <v>822</v>
      </c>
      <c r="D3" s="40" t="s">
        <v>825</v>
      </c>
      <c r="E3" s="40" t="s">
        <v>826</v>
      </c>
      <c r="F3" s="38"/>
      <c r="G3" s="38"/>
      <c r="H3" s="38"/>
      <c r="I3" s="38"/>
      <c r="J3" s="38"/>
      <c r="K3" s="38"/>
      <c r="L3" s="38"/>
      <c r="M3" s="38"/>
      <c r="N3" s="38"/>
      <c r="O3" s="38"/>
      <c r="P3" s="38"/>
      <c r="Q3" s="38"/>
      <c r="R3" s="38"/>
      <c r="S3" s="38"/>
      <c r="T3" s="38"/>
      <c r="U3" s="38"/>
      <c r="V3" s="38"/>
      <c r="W3" s="38"/>
      <c r="X3" s="38"/>
      <c r="Y3" s="38"/>
      <c r="Z3" s="38"/>
    </row>
    <row r="4" spans="1:26" ht="15" thickBot="1">
      <c r="A4" s="43">
        <v>3</v>
      </c>
      <c r="B4" s="41" t="s">
        <v>58</v>
      </c>
      <c r="C4" s="41" t="s">
        <v>822</v>
      </c>
      <c r="D4" s="41" t="s">
        <v>827</v>
      </c>
      <c r="E4" s="41" t="s">
        <v>828</v>
      </c>
      <c r="F4" s="38"/>
      <c r="G4" s="38"/>
      <c r="H4" s="38"/>
      <c r="I4" s="38"/>
      <c r="J4" s="38"/>
      <c r="K4" s="38"/>
      <c r="L4" s="38"/>
      <c r="M4" s="38"/>
      <c r="N4" s="38"/>
      <c r="O4" s="38"/>
      <c r="P4" s="38"/>
      <c r="Q4" s="38"/>
      <c r="R4" s="38"/>
      <c r="S4" s="38"/>
      <c r="T4" s="38"/>
      <c r="U4" s="38"/>
      <c r="V4" s="38"/>
      <c r="W4" s="38"/>
      <c r="X4" s="38"/>
      <c r="Y4" s="38"/>
      <c r="Z4" s="38"/>
    </row>
    <row r="5" spans="1:26" ht="15" thickBot="1">
      <c r="A5" s="42">
        <v>4</v>
      </c>
      <c r="B5" s="40" t="s">
        <v>59</v>
      </c>
      <c r="C5" s="40" t="s">
        <v>822</v>
      </c>
      <c r="D5" s="40" t="s">
        <v>829</v>
      </c>
      <c r="E5" s="40" t="s">
        <v>830</v>
      </c>
      <c r="F5" s="38"/>
      <c r="G5" s="38"/>
      <c r="H5" s="38"/>
      <c r="I5" s="38"/>
      <c r="J5" s="38"/>
      <c r="K5" s="38"/>
      <c r="L5" s="38"/>
      <c r="M5" s="38"/>
      <c r="N5" s="38"/>
      <c r="O5" s="38"/>
      <c r="P5" s="38"/>
      <c r="Q5" s="38"/>
      <c r="R5" s="38"/>
      <c r="S5" s="38"/>
      <c r="T5" s="38"/>
      <c r="U5" s="38"/>
      <c r="V5" s="38"/>
      <c r="W5" s="38"/>
      <c r="X5" s="38"/>
      <c r="Y5" s="38"/>
      <c r="Z5" s="38"/>
    </row>
    <row r="6" spans="1:26" ht="15" thickBot="1">
      <c r="A6" s="43">
        <v>5</v>
      </c>
      <c r="B6" s="41" t="s">
        <v>681</v>
      </c>
      <c r="C6" s="41" t="s">
        <v>822</v>
      </c>
      <c r="D6" s="41" t="s">
        <v>831</v>
      </c>
      <c r="E6" s="41" t="s">
        <v>832</v>
      </c>
      <c r="F6" s="38"/>
      <c r="G6" s="38"/>
      <c r="H6" s="38"/>
      <c r="I6" s="38"/>
      <c r="J6" s="38"/>
      <c r="K6" s="38"/>
      <c r="L6" s="38"/>
      <c r="M6" s="38"/>
      <c r="N6" s="38"/>
      <c r="O6" s="38"/>
      <c r="P6" s="38"/>
      <c r="Q6" s="38"/>
      <c r="R6" s="38"/>
      <c r="S6" s="38"/>
      <c r="T6" s="38"/>
      <c r="U6" s="38"/>
      <c r="V6" s="38"/>
      <c r="W6" s="38"/>
      <c r="X6" s="38"/>
      <c r="Y6" s="38"/>
      <c r="Z6" s="38"/>
    </row>
    <row r="7" spans="1:26" ht="29.45" thickBot="1">
      <c r="A7" s="42">
        <v>6</v>
      </c>
      <c r="B7" s="40" t="s">
        <v>61</v>
      </c>
      <c r="C7" s="40" t="s">
        <v>822</v>
      </c>
      <c r="D7" s="40" t="s">
        <v>833</v>
      </c>
      <c r="E7" s="40" t="s">
        <v>834</v>
      </c>
      <c r="F7" s="38"/>
      <c r="G7" s="38"/>
      <c r="H7" s="38"/>
      <c r="I7" s="38"/>
      <c r="J7" s="38"/>
      <c r="K7" s="38"/>
      <c r="L7" s="38"/>
      <c r="M7" s="38"/>
      <c r="N7" s="38"/>
      <c r="O7" s="38"/>
      <c r="P7" s="38"/>
      <c r="Q7" s="38"/>
      <c r="R7" s="38"/>
      <c r="S7" s="38"/>
      <c r="T7" s="38"/>
      <c r="U7" s="38"/>
      <c r="V7" s="38"/>
      <c r="W7" s="38"/>
      <c r="X7" s="38"/>
      <c r="Y7" s="38"/>
      <c r="Z7" s="38"/>
    </row>
    <row r="8" spans="1:26" ht="29.45" thickBot="1">
      <c r="A8" s="43">
        <v>7</v>
      </c>
      <c r="B8" s="41" t="s">
        <v>62</v>
      </c>
      <c r="C8" s="41" t="s">
        <v>835</v>
      </c>
      <c r="D8" s="41" t="s">
        <v>836</v>
      </c>
      <c r="E8" s="41" t="s">
        <v>837</v>
      </c>
      <c r="F8" s="38"/>
      <c r="G8" s="38"/>
      <c r="H8" s="38"/>
      <c r="I8" s="38"/>
      <c r="J8" s="38"/>
      <c r="K8" s="38"/>
      <c r="L8" s="38"/>
      <c r="M8" s="38"/>
      <c r="N8" s="38"/>
      <c r="O8" s="38"/>
      <c r="P8" s="38"/>
      <c r="Q8" s="38"/>
      <c r="R8" s="38"/>
      <c r="S8" s="38"/>
      <c r="T8" s="38"/>
      <c r="U8" s="38"/>
      <c r="V8" s="38"/>
      <c r="W8" s="38"/>
      <c r="X8" s="38"/>
      <c r="Y8" s="38"/>
      <c r="Z8" s="38"/>
    </row>
    <row r="9" spans="1:26" ht="43.9" thickBot="1">
      <c r="A9" s="42">
        <v>8</v>
      </c>
      <c r="B9" s="40" t="s">
        <v>63</v>
      </c>
      <c r="C9" s="40" t="s">
        <v>822</v>
      </c>
      <c r="D9" s="40" t="s">
        <v>838</v>
      </c>
      <c r="E9" s="40" t="s">
        <v>839</v>
      </c>
      <c r="F9" s="38"/>
      <c r="G9" s="38"/>
      <c r="H9" s="38"/>
      <c r="I9" s="38"/>
      <c r="J9" s="38"/>
      <c r="K9" s="38"/>
      <c r="L9" s="38"/>
      <c r="M9" s="38"/>
      <c r="N9" s="38"/>
      <c r="O9" s="38"/>
      <c r="P9" s="38"/>
      <c r="Q9" s="38"/>
      <c r="R9" s="38"/>
      <c r="S9" s="38"/>
      <c r="T9" s="38"/>
      <c r="U9" s="38"/>
      <c r="V9" s="38"/>
      <c r="W9" s="38"/>
      <c r="X9" s="38"/>
      <c r="Y9" s="38"/>
      <c r="Z9" s="38"/>
    </row>
    <row r="10" spans="1:26" ht="43.9" thickBot="1">
      <c r="A10" s="43">
        <v>9</v>
      </c>
      <c r="B10" s="41" t="s">
        <v>64</v>
      </c>
      <c r="C10" s="41" t="s">
        <v>835</v>
      </c>
      <c r="D10" s="41" t="s">
        <v>840</v>
      </c>
      <c r="E10" s="41" t="s">
        <v>841</v>
      </c>
      <c r="F10" s="38"/>
      <c r="G10" s="38"/>
      <c r="H10" s="38"/>
      <c r="I10" s="38"/>
      <c r="J10" s="38"/>
      <c r="K10" s="38"/>
      <c r="L10" s="38"/>
      <c r="M10" s="38"/>
      <c r="N10" s="38"/>
      <c r="O10" s="38"/>
      <c r="P10" s="38"/>
      <c r="Q10" s="38"/>
      <c r="R10" s="38"/>
      <c r="S10" s="38"/>
      <c r="T10" s="38"/>
      <c r="U10" s="38"/>
      <c r="V10" s="38"/>
      <c r="W10" s="38"/>
      <c r="X10" s="38"/>
      <c r="Y10" s="38"/>
      <c r="Z10" s="38"/>
    </row>
    <row r="11" spans="1:26" ht="29.45" thickBot="1">
      <c r="A11" s="42">
        <v>10</v>
      </c>
      <c r="B11" s="40" t="s">
        <v>65</v>
      </c>
      <c r="C11" s="40" t="s">
        <v>835</v>
      </c>
      <c r="D11" s="40" t="s">
        <v>842</v>
      </c>
      <c r="E11" s="40" t="s">
        <v>843</v>
      </c>
      <c r="F11" s="38"/>
      <c r="G11" s="38"/>
      <c r="H11" s="38"/>
      <c r="I11" s="38"/>
      <c r="J11" s="38"/>
      <c r="K11" s="38"/>
      <c r="L11" s="38"/>
      <c r="M11" s="38"/>
      <c r="N11" s="38"/>
      <c r="O11" s="38"/>
      <c r="P11" s="38"/>
      <c r="Q11" s="38"/>
      <c r="R11" s="38"/>
      <c r="S11" s="38"/>
      <c r="T11" s="38"/>
      <c r="U11" s="38"/>
      <c r="V11" s="38"/>
      <c r="W11" s="38"/>
      <c r="X11" s="38"/>
      <c r="Y11" s="38"/>
      <c r="Z11" s="38"/>
    </row>
    <row r="12" spans="1:26" ht="29.45" thickBot="1">
      <c r="A12" s="43">
        <v>11</v>
      </c>
      <c r="B12" s="41" t="s">
        <v>66</v>
      </c>
      <c r="C12" s="41" t="s">
        <v>835</v>
      </c>
      <c r="D12" s="41" t="s">
        <v>844</v>
      </c>
      <c r="E12" s="41" t="s">
        <v>845</v>
      </c>
      <c r="F12" s="38"/>
      <c r="G12" s="38"/>
      <c r="H12" s="38"/>
      <c r="I12" s="38"/>
      <c r="J12" s="38"/>
      <c r="K12" s="38"/>
      <c r="L12" s="38"/>
      <c r="M12" s="38"/>
      <c r="N12" s="38"/>
      <c r="O12" s="38"/>
      <c r="P12" s="38"/>
      <c r="Q12" s="38"/>
      <c r="R12" s="38"/>
      <c r="S12" s="38"/>
      <c r="T12" s="38"/>
      <c r="U12" s="38"/>
      <c r="V12" s="38"/>
      <c r="W12" s="38"/>
      <c r="X12" s="38"/>
      <c r="Y12" s="38"/>
      <c r="Z12" s="38"/>
    </row>
    <row r="13" spans="1:26" ht="29.45" thickBot="1">
      <c r="A13" s="42">
        <v>12</v>
      </c>
      <c r="B13" s="40" t="s">
        <v>67</v>
      </c>
      <c r="C13" s="40" t="s">
        <v>835</v>
      </c>
      <c r="D13" s="40" t="s">
        <v>846</v>
      </c>
      <c r="E13" s="40" t="s">
        <v>847</v>
      </c>
      <c r="F13" s="38"/>
      <c r="G13" s="38"/>
      <c r="H13" s="38"/>
      <c r="I13" s="38"/>
      <c r="J13" s="38"/>
      <c r="K13" s="38"/>
      <c r="L13" s="38"/>
      <c r="M13" s="38"/>
      <c r="N13" s="38"/>
      <c r="O13" s="38"/>
      <c r="P13" s="38"/>
      <c r="Q13" s="38"/>
      <c r="R13" s="38"/>
      <c r="S13" s="38"/>
      <c r="T13" s="38"/>
      <c r="U13" s="38"/>
      <c r="V13" s="38"/>
      <c r="W13" s="38"/>
      <c r="X13" s="38"/>
      <c r="Y13" s="38"/>
      <c r="Z13" s="38"/>
    </row>
    <row r="14" spans="1:26" ht="29.45" thickBot="1">
      <c r="A14" s="43">
        <v>13</v>
      </c>
      <c r="B14" s="41" t="s">
        <v>68</v>
      </c>
      <c r="C14" s="41" t="s">
        <v>835</v>
      </c>
      <c r="D14" s="41" t="s">
        <v>848</v>
      </c>
      <c r="E14" s="41" t="s">
        <v>849</v>
      </c>
      <c r="F14" s="38"/>
      <c r="G14" s="38"/>
      <c r="H14" s="38"/>
      <c r="I14" s="38"/>
      <c r="J14" s="38"/>
      <c r="K14" s="38"/>
      <c r="L14" s="38"/>
      <c r="M14" s="38"/>
      <c r="N14" s="38"/>
      <c r="O14" s="38"/>
      <c r="P14" s="38"/>
      <c r="Q14" s="38"/>
      <c r="R14" s="38"/>
      <c r="S14" s="38"/>
      <c r="T14" s="38"/>
      <c r="U14" s="38"/>
      <c r="V14" s="38"/>
      <c r="W14" s="38"/>
      <c r="X14" s="38"/>
      <c r="Y14" s="38"/>
      <c r="Z14" s="38"/>
    </row>
    <row r="15" spans="1:26" ht="29.45" thickBot="1">
      <c r="A15" s="42">
        <v>14</v>
      </c>
      <c r="B15" s="40" t="s">
        <v>69</v>
      </c>
      <c r="C15" s="40" t="s">
        <v>835</v>
      </c>
      <c r="D15" s="40" t="s">
        <v>850</v>
      </c>
      <c r="E15" s="40" t="s">
        <v>849</v>
      </c>
      <c r="F15" s="38"/>
      <c r="G15" s="38"/>
      <c r="H15" s="38"/>
      <c r="I15" s="38"/>
      <c r="J15" s="38"/>
      <c r="K15" s="38"/>
      <c r="L15" s="38"/>
      <c r="M15" s="38"/>
      <c r="N15" s="38"/>
      <c r="O15" s="38"/>
      <c r="P15" s="38"/>
      <c r="Q15" s="38"/>
      <c r="R15" s="38"/>
      <c r="S15" s="38"/>
      <c r="T15" s="38"/>
      <c r="U15" s="38"/>
      <c r="V15" s="38"/>
      <c r="W15" s="38"/>
      <c r="X15" s="38"/>
      <c r="Y15" s="38"/>
      <c r="Z15" s="38"/>
    </row>
    <row r="16" spans="1:26" ht="43.9" thickBot="1">
      <c r="A16" s="43">
        <v>15</v>
      </c>
      <c r="B16" s="41" t="s">
        <v>70</v>
      </c>
      <c r="C16" s="41" t="s">
        <v>835</v>
      </c>
      <c r="D16" s="41" t="s">
        <v>851</v>
      </c>
      <c r="E16" s="41" t="s">
        <v>852</v>
      </c>
      <c r="F16" s="38"/>
      <c r="G16" s="38"/>
      <c r="H16" s="38"/>
      <c r="I16" s="38"/>
      <c r="J16" s="38"/>
      <c r="K16" s="38"/>
      <c r="L16" s="38"/>
      <c r="M16" s="38"/>
      <c r="N16" s="38"/>
      <c r="O16" s="38"/>
      <c r="P16" s="38"/>
      <c r="Q16" s="38"/>
      <c r="R16" s="38"/>
      <c r="S16" s="38"/>
      <c r="T16" s="38"/>
      <c r="U16" s="38"/>
      <c r="V16" s="38"/>
      <c r="W16" s="38"/>
      <c r="X16" s="38"/>
      <c r="Y16" s="38"/>
      <c r="Z16" s="38"/>
    </row>
    <row r="17" spans="1:26" ht="29.45" thickBot="1">
      <c r="A17" s="42">
        <v>16</v>
      </c>
      <c r="B17" s="40" t="s">
        <v>71</v>
      </c>
      <c r="C17" s="40" t="s">
        <v>822</v>
      </c>
      <c r="D17" s="40" t="s">
        <v>853</v>
      </c>
      <c r="E17" s="40" t="s">
        <v>854</v>
      </c>
      <c r="F17" s="38"/>
      <c r="G17" s="38"/>
      <c r="H17" s="38"/>
      <c r="I17" s="38"/>
      <c r="J17" s="38"/>
      <c r="K17" s="38"/>
      <c r="L17" s="38"/>
      <c r="M17" s="38"/>
      <c r="N17" s="38"/>
      <c r="O17" s="38"/>
      <c r="P17" s="38"/>
      <c r="Q17" s="38"/>
      <c r="R17" s="38"/>
      <c r="S17" s="38"/>
      <c r="T17" s="38"/>
      <c r="U17" s="38"/>
      <c r="V17" s="38"/>
      <c r="W17" s="38"/>
      <c r="X17" s="38"/>
      <c r="Y17" s="38"/>
      <c r="Z17" s="38"/>
    </row>
    <row r="18" spans="1:26" ht="29.45" thickBot="1">
      <c r="A18" s="43">
        <v>17</v>
      </c>
      <c r="B18" s="41" t="s">
        <v>72</v>
      </c>
      <c r="C18" s="41" t="s">
        <v>835</v>
      </c>
      <c r="D18" s="41" t="s">
        <v>855</v>
      </c>
      <c r="E18" s="41" t="s">
        <v>856</v>
      </c>
      <c r="F18" s="38"/>
      <c r="G18" s="38"/>
      <c r="H18" s="38"/>
      <c r="I18" s="38"/>
      <c r="J18" s="38"/>
      <c r="K18" s="38"/>
      <c r="L18" s="38"/>
      <c r="M18" s="38"/>
      <c r="N18" s="38"/>
      <c r="O18" s="38"/>
      <c r="P18" s="38"/>
      <c r="Q18" s="38"/>
      <c r="R18" s="38"/>
      <c r="S18" s="38"/>
      <c r="T18" s="38"/>
      <c r="U18" s="38"/>
      <c r="V18" s="38"/>
      <c r="W18" s="38"/>
      <c r="X18" s="38"/>
      <c r="Y18" s="38"/>
      <c r="Z18" s="38"/>
    </row>
    <row r="19" spans="1:26" ht="15" thickBot="1">
      <c r="A19" s="42">
        <v>18</v>
      </c>
      <c r="B19" s="40" t="s">
        <v>73</v>
      </c>
      <c r="C19" s="40" t="s">
        <v>822</v>
      </c>
      <c r="D19" s="40" t="s">
        <v>857</v>
      </c>
      <c r="E19" s="40" t="s">
        <v>858</v>
      </c>
      <c r="F19" s="38"/>
      <c r="G19" s="38"/>
      <c r="H19" s="38"/>
      <c r="I19" s="38"/>
      <c r="J19" s="38"/>
      <c r="K19" s="38"/>
      <c r="L19" s="38"/>
      <c r="M19" s="38"/>
      <c r="N19" s="38"/>
      <c r="O19" s="38"/>
      <c r="P19" s="38"/>
      <c r="Q19" s="38"/>
      <c r="R19" s="38"/>
      <c r="S19" s="38"/>
      <c r="T19" s="38"/>
      <c r="U19" s="38"/>
      <c r="V19" s="38"/>
      <c r="W19" s="38"/>
      <c r="X19" s="38"/>
      <c r="Y19" s="38"/>
      <c r="Z19" s="38"/>
    </row>
    <row r="20" spans="1:26" ht="29.45" thickBot="1">
      <c r="A20" s="43">
        <v>19</v>
      </c>
      <c r="B20" s="41" t="s">
        <v>74</v>
      </c>
      <c r="C20" s="41" t="s">
        <v>822</v>
      </c>
      <c r="D20" s="41" t="s">
        <v>859</v>
      </c>
      <c r="E20" s="41" t="s">
        <v>860</v>
      </c>
      <c r="F20" s="38"/>
      <c r="G20" s="38"/>
      <c r="H20" s="38"/>
      <c r="I20" s="38"/>
      <c r="J20" s="38"/>
      <c r="K20" s="38"/>
      <c r="L20" s="38"/>
      <c r="M20" s="38"/>
      <c r="N20" s="38"/>
      <c r="O20" s="38"/>
      <c r="P20" s="38"/>
      <c r="Q20" s="38"/>
      <c r="R20" s="38"/>
      <c r="S20" s="38"/>
      <c r="T20" s="38"/>
      <c r="U20" s="38"/>
      <c r="V20" s="38"/>
      <c r="W20" s="38"/>
      <c r="X20" s="38"/>
      <c r="Y20" s="38"/>
      <c r="Z20" s="38"/>
    </row>
    <row r="21" spans="1:26" ht="29.45" thickBot="1">
      <c r="A21" s="42">
        <v>20</v>
      </c>
      <c r="B21" s="40" t="s">
        <v>75</v>
      </c>
      <c r="C21" s="40" t="s">
        <v>822</v>
      </c>
      <c r="D21" s="40" t="s">
        <v>861</v>
      </c>
      <c r="E21" s="40" t="s">
        <v>862</v>
      </c>
      <c r="F21" s="38"/>
      <c r="G21" s="38"/>
      <c r="H21" s="38"/>
      <c r="I21" s="38"/>
      <c r="J21" s="38"/>
      <c r="K21" s="38"/>
      <c r="L21" s="38"/>
      <c r="M21" s="38"/>
      <c r="N21" s="38"/>
      <c r="O21" s="38"/>
      <c r="P21" s="38"/>
      <c r="Q21" s="38"/>
      <c r="R21" s="38"/>
      <c r="S21" s="38"/>
      <c r="T21" s="38"/>
      <c r="U21" s="38"/>
      <c r="V21" s="38"/>
      <c r="W21" s="38"/>
      <c r="X21" s="38"/>
      <c r="Y21" s="38"/>
      <c r="Z21" s="38"/>
    </row>
    <row r="22" spans="1:26" ht="29.45" thickBot="1">
      <c r="A22" s="43">
        <v>21</v>
      </c>
      <c r="B22" s="41" t="s">
        <v>76</v>
      </c>
      <c r="C22" s="41" t="s">
        <v>822</v>
      </c>
      <c r="D22" s="41" t="s">
        <v>863</v>
      </c>
      <c r="E22" s="41" t="s">
        <v>864</v>
      </c>
      <c r="F22" s="38"/>
      <c r="G22" s="38"/>
      <c r="H22" s="38"/>
      <c r="I22" s="38"/>
      <c r="J22" s="38"/>
      <c r="K22" s="38"/>
      <c r="L22" s="38"/>
      <c r="M22" s="38"/>
      <c r="N22" s="38"/>
      <c r="O22" s="38"/>
      <c r="P22" s="38"/>
      <c r="Q22" s="38"/>
      <c r="R22" s="38"/>
      <c r="S22" s="38"/>
      <c r="T22" s="38"/>
      <c r="U22" s="38"/>
      <c r="V22" s="38"/>
      <c r="W22" s="38"/>
      <c r="X22" s="38"/>
      <c r="Y22" s="38"/>
      <c r="Z22" s="38"/>
    </row>
    <row r="23" spans="1:26" ht="15" thickBot="1">
      <c r="A23" s="42">
        <v>22</v>
      </c>
      <c r="B23" s="40" t="s">
        <v>77</v>
      </c>
      <c r="C23" s="40" t="s">
        <v>822</v>
      </c>
      <c r="D23" s="40" t="s">
        <v>865</v>
      </c>
      <c r="E23" s="40" t="s">
        <v>866</v>
      </c>
      <c r="F23" s="38"/>
      <c r="G23" s="38"/>
      <c r="H23" s="38"/>
      <c r="I23" s="38"/>
      <c r="J23" s="38"/>
      <c r="K23" s="38"/>
      <c r="L23" s="38"/>
      <c r="M23" s="38"/>
      <c r="N23" s="38"/>
      <c r="O23" s="38"/>
      <c r="P23" s="38"/>
      <c r="Q23" s="38"/>
      <c r="R23" s="38"/>
      <c r="S23" s="38"/>
      <c r="T23" s="38"/>
      <c r="U23" s="38"/>
      <c r="V23" s="38"/>
      <c r="W23" s="38"/>
      <c r="X23" s="38"/>
      <c r="Y23" s="38"/>
      <c r="Z23" s="38"/>
    </row>
    <row r="24" spans="1:26" ht="29.45" thickBot="1">
      <c r="A24" s="43">
        <v>23</v>
      </c>
      <c r="B24" s="41" t="s">
        <v>78</v>
      </c>
      <c r="C24" s="41" t="s">
        <v>835</v>
      </c>
      <c r="D24" s="41" t="s">
        <v>867</v>
      </c>
      <c r="E24" s="41" t="s">
        <v>868</v>
      </c>
      <c r="F24" s="38"/>
      <c r="G24" s="38"/>
      <c r="H24" s="38"/>
      <c r="I24" s="38"/>
      <c r="J24" s="38"/>
      <c r="K24" s="38"/>
      <c r="L24" s="38"/>
      <c r="M24" s="38"/>
      <c r="N24" s="38"/>
      <c r="O24" s="38"/>
      <c r="P24" s="38"/>
      <c r="Q24" s="38"/>
      <c r="R24" s="38"/>
      <c r="S24" s="38"/>
      <c r="T24" s="38"/>
      <c r="U24" s="38"/>
      <c r="V24" s="38"/>
      <c r="W24" s="38"/>
      <c r="X24" s="38"/>
      <c r="Y24" s="38"/>
      <c r="Z24" s="38"/>
    </row>
    <row r="25" spans="1:26" ht="43.9" thickBot="1">
      <c r="A25" s="42">
        <v>24</v>
      </c>
      <c r="B25" s="40" t="s">
        <v>79</v>
      </c>
      <c r="C25" s="40" t="s">
        <v>822</v>
      </c>
      <c r="D25" s="40" t="s">
        <v>869</v>
      </c>
      <c r="E25" s="40" t="s">
        <v>870</v>
      </c>
      <c r="F25" s="38"/>
      <c r="G25" s="38"/>
      <c r="H25" s="38"/>
      <c r="I25" s="38"/>
      <c r="J25" s="38"/>
      <c r="K25" s="38"/>
      <c r="L25" s="38"/>
      <c r="M25" s="38"/>
      <c r="N25" s="38"/>
      <c r="O25" s="38"/>
      <c r="P25" s="38"/>
      <c r="Q25" s="38"/>
      <c r="R25" s="38"/>
      <c r="S25" s="38"/>
      <c r="T25" s="38"/>
      <c r="U25" s="38"/>
      <c r="V25" s="38"/>
      <c r="W25" s="38"/>
      <c r="X25" s="38"/>
      <c r="Y25" s="38"/>
      <c r="Z25" s="38"/>
    </row>
    <row r="26" spans="1:26" ht="43.9" thickBot="1">
      <c r="A26" s="43">
        <v>25</v>
      </c>
      <c r="B26" s="41" t="s">
        <v>871</v>
      </c>
      <c r="C26" s="41" t="s">
        <v>822</v>
      </c>
      <c r="D26" s="41" t="s">
        <v>872</v>
      </c>
      <c r="E26" s="41" t="s">
        <v>873</v>
      </c>
      <c r="F26" s="38"/>
      <c r="G26" s="38"/>
      <c r="H26" s="38"/>
      <c r="I26" s="38"/>
      <c r="J26" s="38"/>
      <c r="K26" s="38"/>
      <c r="L26" s="38"/>
      <c r="M26" s="38"/>
      <c r="N26" s="38"/>
      <c r="O26" s="38"/>
      <c r="P26" s="38"/>
      <c r="Q26" s="38"/>
      <c r="R26" s="38"/>
      <c r="S26" s="38"/>
      <c r="T26" s="38"/>
      <c r="U26" s="38"/>
      <c r="V26" s="38"/>
      <c r="W26" s="38"/>
      <c r="X26" s="38"/>
      <c r="Y26" s="38"/>
      <c r="Z26" s="38"/>
    </row>
    <row r="27" spans="1:26" ht="29.45" thickBot="1">
      <c r="A27" s="42">
        <v>26</v>
      </c>
      <c r="B27" s="40" t="s">
        <v>874</v>
      </c>
      <c r="C27" s="40" t="s">
        <v>822</v>
      </c>
      <c r="D27" s="40" t="s">
        <v>875</v>
      </c>
      <c r="E27" s="40" t="s">
        <v>876</v>
      </c>
      <c r="F27" s="38"/>
      <c r="G27" s="38"/>
      <c r="H27" s="38"/>
      <c r="I27" s="38"/>
      <c r="J27" s="38"/>
      <c r="K27" s="38"/>
      <c r="L27" s="38"/>
      <c r="M27" s="38"/>
      <c r="N27" s="38"/>
      <c r="O27" s="38"/>
      <c r="P27" s="38"/>
      <c r="Q27" s="38"/>
      <c r="R27" s="38"/>
      <c r="S27" s="38"/>
      <c r="T27" s="38"/>
      <c r="U27" s="38"/>
      <c r="V27" s="38"/>
      <c r="W27" s="38"/>
      <c r="X27" s="38"/>
      <c r="Y27" s="38"/>
      <c r="Z27" s="38"/>
    </row>
    <row r="28" spans="1:26" ht="29.45" thickBot="1">
      <c r="A28" s="43">
        <v>27</v>
      </c>
      <c r="B28" s="41" t="s">
        <v>82</v>
      </c>
      <c r="C28" s="41" t="s">
        <v>835</v>
      </c>
      <c r="D28" s="41" t="s">
        <v>877</v>
      </c>
      <c r="E28" s="41" t="s">
        <v>878</v>
      </c>
      <c r="F28" s="38"/>
      <c r="G28" s="38"/>
      <c r="H28" s="38"/>
      <c r="I28" s="38"/>
      <c r="J28" s="38"/>
      <c r="K28" s="38"/>
      <c r="L28" s="38"/>
      <c r="M28" s="38"/>
      <c r="N28" s="38"/>
      <c r="O28" s="38"/>
      <c r="P28" s="38"/>
      <c r="Q28" s="38"/>
      <c r="R28" s="38"/>
      <c r="S28" s="38"/>
      <c r="T28" s="38"/>
      <c r="U28" s="38"/>
      <c r="V28" s="38"/>
      <c r="W28" s="38"/>
      <c r="X28" s="38"/>
      <c r="Y28" s="38"/>
      <c r="Z28" s="38"/>
    </row>
    <row r="29" spans="1:26" ht="29.45" thickBot="1">
      <c r="A29" s="42">
        <v>28</v>
      </c>
      <c r="B29" s="40" t="s">
        <v>83</v>
      </c>
      <c r="C29" s="40" t="s">
        <v>822</v>
      </c>
      <c r="D29" s="40" t="s">
        <v>879</v>
      </c>
      <c r="E29" s="40" t="s">
        <v>880</v>
      </c>
      <c r="F29" s="38"/>
      <c r="G29" s="38"/>
      <c r="H29" s="38"/>
      <c r="I29" s="38"/>
      <c r="J29" s="38"/>
      <c r="K29" s="38"/>
      <c r="L29" s="38"/>
      <c r="M29" s="38"/>
      <c r="N29" s="38"/>
      <c r="O29" s="38"/>
      <c r="P29" s="38"/>
      <c r="Q29" s="38"/>
      <c r="R29" s="38"/>
      <c r="S29" s="38"/>
      <c r="T29" s="38"/>
      <c r="U29" s="38"/>
      <c r="V29" s="38"/>
      <c r="W29" s="38"/>
      <c r="X29" s="38"/>
      <c r="Y29" s="38"/>
      <c r="Z29" s="38"/>
    </row>
    <row r="30" spans="1:26" ht="29.45" thickBot="1">
      <c r="A30" s="43">
        <v>29</v>
      </c>
      <c r="B30" s="41" t="s">
        <v>84</v>
      </c>
      <c r="C30" s="41" t="s">
        <v>822</v>
      </c>
      <c r="D30" s="41" t="s">
        <v>881</v>
      </c>
      <c r="E30" s="41" t="s">
        <v>882</v>
      </c>
      <c r="F30" s="38"/>
      <c r="G30" s="38"/>
      <c r="H30" s="38"/>
      <c r="I30" s="38"/>
      <c r="J30" s="38"/>
      <c r="K30" s="38"/>
      <c r="L30" s="38"/>
      <c r="M30" s="38"/>
      <c r="N30" s="38"/>
      <c r="O30" s="38"/>
      <c r="P30" s="38"/>
      <c r="Q30" s="38"/>
      <c r="R30" s="38"/>
      <c r="S30" s="38"/>
      <c r="T30" s="38"/>
      <c r="U30" s="38"/>
      <c r="V30" s="38"/>
      <c r="W30" s="38"/>
      <c r="X30" s="38"/>
      <c r="Y30" s="38"/>
      <c r="Z30" s="38"/>
    </row>
    <row r="31" spans="1:26" ht="29.45" thickBot="1">
      <c r="A31" s="42">
        <v>30</v>
      </c>
      <c r="B31" s="40" t="s">
        <v>85</v>
      </c>
      <c r="C31" s="40" t="s">
        <v>822</v>
      </c>
      <c r="D31" s="40" t="s">
        <v>883</v>
      </c>
      <c r="E31" s="40" t="s">
        <v>884</v>
      </c>
      <c r="F31" s="38"/>
      <c r="G31" s="38"/>
      <c r="H31" s="38"/>
      <c r="I31" s="38"/>
      <c r="J31" s="38"/>
      <c r="K31" s="38"/>
      <c r="L31" s="38"/>
      <c r="M31" s="38"/>
      <c r="N31" s="38"/>
      <c r="O31" s="38"/>
      <c r="P31" s="38"/>
      <c r="Q31" s="38"/>
      <c r="R31" s="38"/>
      <c r="S31" s="38"/>
      <c r="T31" s="38"/>
      <c r="U31" s="38"/>
      <c r="V31" s="38"/>
      <c r="W31" s="38"/>
      <c r="X31" s="38"/>
      <c r="Y31" s="38"/>
      <c r="Z31" s="38"/>
    </row>
    <row r="32" spans="1:26" ht="15" thickBot="1">
      <c r="A32" s="43">
        <v>31</v>
      </c>
      <c r="B32" s="41" t="s">
        <v>86</v>
      </c>
      <c r="C32" s="41" t="s">
        <v>822</v>
      </c>
      <c r="D32" s="41" t="s">
        <v>885</v>
      </c>
      <c r="E32" s="41" t="s">
        <v>886</v>
      </c>
      <c r="F32" s="38"/>
      <c r="G32" s="38"/>
      <c r="H32" s="38"/>
      <c r="I32" s="38"/>
      <c r="J32" s="38"/>
      <c r="K32" s="38"/>
      <c r="L32" s="38"/>
      <c r="M32" s="38"/>
      <c r="N32" s="38"/>
      <c r="O32" s="38"/>
      <c r="P32" s="38"/>
      <c r="Q32" s="38"/>
      <c r="R32" s="38"/>
      <c r="S32" s="38"/>
      <c r="T32" s="38"/>
      <c r="U32" s="38"/>
      <c r="V32" s="38"/>
      <c r="W32" s="38"/>
      <c r="X32" s="38"/>
      <c r="Y32" s="38"/>
      <c r="Z32" s="38"/>
    </row>
    <row r="33" spans="1:26" ht="29.45" thickBot="1">
      <c r="A33" s="42">
        <v>32</v>
      </c>
      <c r="B33" s="40" t="s">
        <v>87</v>
      </c>
      <c r="C33" s="40" t="s">
        <v>835</v>
      </c>
      <c r="D33" s="40" t="s">
        <v>887</v>
      </c>
      <c r="E33" s="40" t="s">
        <v>888</v>
      </c>
      <c r="F33" s="38"/>
      <c r="G33" s="38"/>
      <c r="H33" s="38"/>
      <c r="I33" s="38"/>
      <c r="J33" s="38"/>
      <c r="K33" s="38"/>
      <c r="L33" s="38"/>
      <c r="M33" s="38"/>
      <c r="N33" s="38"/>
      <c r="O33" s="38"/>
      <c r="P33" s="38"/>
      <c r="Q33" s="38"/>
      <c r="R33" s="38"/>
      <c r="S33" s="38"/>
      <c r="T33" s="38"/>
      <c r="U33" s="38"/>
      <c r="V33" s="38"/>
      <c r="W33" s="38"/>
      <c r="X33" s="38"/>
      <c r="Y33" s="38"/>
      <c r="Z33" s="38"/>
    </row>
    <row r="34" spans="1:26" ht="29.45" thickBot="1">
      <c r="A34" s="43">
        <v>33</v>
      </c>
      <c r="B34" s="41" t="s">
        <v>88</v>
      </c>
      <c r="C34" s="41" t="s">
        <v>822</v>
      </c>
      <c r="D34" s="41" t="s">
        <v>889</v>
      </c>
      <c r="E34" s="41" t="s">
        <v>890</v>
      </c>
      <c r="F34" s="38"/>
      <c r="G34" s="38"/>
      <c r="H34" s="38"/>
      <c r="I34" s="38"/>
      <c r="J34" s="38"/>
      <c r="K34" s="38"/>
      <c r="L34" s="38"/>
      <c r="M34" s="38"/>
      <c r="N34" s="38"/>
      <c r="O34" s="38"/>
      <c r="P34" s="38"/>
      <c r="Q34" s="38"/>
      <c r="R34" s="38"/>
      <c r="S34" s="38"/>
      <c r="T34" s="38"/>
      <c r="U34" s="38"/>
      <c r="V34" s="38"/>
      <c r="W34" s="38"/>
      <c r="X34" s="38"/>
      <c r="Y34" s="38"/>
      <c r="Z34" s="38"/>
    </row>
    <row r="35" spans="1:26" ht="43.9" thickBot="1">
      <c r="A35" s="42">
        <v>34</v>
      </c>
      <c r="B35" s="40" t="s">
        <v>89</v>
      </c>
      <c r="C35" s="40" t="s">
        <v>822</v>
      </c>
      <c r="D35" s="40" t="s">
        <v>891</v>
      </c>
      <c r="E35" s="40" t="s">
        <v>892</v>
      </c>
      <c r="F35" s="38"/>
      <c r="G35" s="38"/>
      <c r="H35" s="38"/>
      <c r="I35" s="38"/>
      <c r="J35" s="38"/>
      <c r="K35" s="38"/>
      <c r="L35" s="38"/>
      <c r="M35" s="38"/>
      <c r="N35" s="38"/>
      <c r="O35" s="38"/>
      <c r="P35" s="38"/>
      <c r="Q35" s="38"/>
      <c r="R35" s="38"/>
      <c r="S35" s="38"/>
      <c r="T35" s="38"/>
      <c r="U35" s="38"/>
      <c r="V35" s="38"/>
      <c r="W35" s="38"/>
      <c r="X35" s="38"/>
      <c r="Y35" s="38"/>
      <c r="Z35" s="38"/>
    </row>
    <row r="36" spans="1:26" ht="29.45" thickBot="1">
      <c r="A36" s="43">
        <v>35</v>
      </c>
      <c r="B36" s="41" t="s">
        <v>90</v>
      </c>
      <c r="C36" s="41" t="s">
        <v>822</v>
      </c>
      <c r="D36" s="41" t="s">
        <v>893</v>
      </c>
      <c r="E36" s="41" t="s">
        <v>894</v>
      </c>
      <c r="F36" s="38"/>
      <c r="G36" s="38"/>
      <c r="H36" s="38"/>
      <c r="I36" s="38"/>
      <c r="J36" s="38"/>
      <c r="K36" s="38"/>
      <c r="L36" s="38"/>
      <c r="M36" s="38"/>
      <c r="N36" s="38"/>
      <c r="O36" s="38"/>
      <c r="P36" s="38"/>
      <c r="Q36" s="38"/>
      <c r="R36" s="38"/>
      <c r="S36" s="38"/>
      <c r="T36" s="38"/>
      <c r="U36" s="38"/>
      <c r="V36" s="38"/>
      <c r="W36" s="38"/>
      <c r="X36" s="38"/>
      <c r="Y36" s="38"/>
      <c r="Z36" s="38"/>
    </row>
    <row r="37" spans="1:26" ht="29.45" thickBot="1">
      <c r="A37" s="42">
        <v>36</v>
      </c>
      <c r="B37" s="40" t="s">
        <v>91</v>
      </c>
      <c r="C37" s="40" t="s">
        <v>835</v>
      </c>
      <c r="D37" s="40" t="s">
        <v>895</v>
      </c>
      <c r="E37" s="40" t="s">
        <v>878</v>
      </c>
      <c r="F37" s="38"/>
      <c r="G37" s="38"/>
      <c r="H37" s="38"/>
      <c r="I37" s="38"/>
      <c r="J37" s="38"/>
      <c r="K37" s="38"/>
      <c r="L37" s="38"/>
      <c r="M37" s="38"/>
      <c r="N37" s="38"/>
      <c r="O37" s="38"/>
      <c r="P37" s="38"/>
      <c r="Q37" s="38"/>
      <c r="R37" s="38"/>
      <c r="S37" s="38"/>
      <c r="T37" s="38"/>
      <c r="U37" s="38"/>
      <c r="V37" s="38"/>
      <c r="W37" s="38"/>
      <c r="X37" s="38"/>
      <c r="Y37" s="38"/>
      <c r="Z37" s="38"/>
    </row>
    <row r="38" spans="1:26" ht="29.45" thickBot="1">
      <c r="A38" s="43">
        <v>37</v>
      </c>
      <c r="B38" s="41" t="s">
        <v>92</v>
      </c>
      <c r="C38" s="41" t="s">
        <v>822</v>
      </c>
      <c r="D38" s="41" t="s">
        <v>896</v>
      </c>
      <c r="E38" s="41" t="s">
        <v>897</v>
      </c>
      <c r="F38" s="38"/>
      <c r="G38" s="38"/>
      <c r="H38" s="38"/>
      <c r="I38" s="38"/>
      <c r="J38" s="38"/>
      <c r="K38" s="38"/>
      <c r="L38" s="38"/>
      <c r="M38" s="38"/>
      <c r="N38" s="38"/>
      <c r="O38" s="38"/>
      <c r="P38" s="38"/>
      <c r="Q38" s="38"/>
      <c r="R38" s="38"/>
      <c r="S38" s="38"/>
      <c r="T38" s="38"/>
      <c r="U38" s="38"/>
      <c r="V38" s="38"/>
      <c r="W38" s="38"/>
      <c r="X38" s="38"/>
      <c r="Y38" s="38"/>
      <c r="Z38" s="38"/>
    </row>
    <row r="39" spans="1:26" ht="29.45" thickBot="1">
      <c r="A39" s="42">
        <v>38</v>
      </c>
      <c r="B39" s="40" t="s">
        <v>93</v>
      </c>
      <c r="C39" s="40" t="s">
        <v>822</v>
      </c>
      <c r="D39" s="40" t="s">
        <v>898</v>
      </c>
      <c r="E39" s="40" t="s">
        <v>899</v>
      </c>
      <c r="F39" s="38"/>
      <c r="G39" s="38"/>
      <c r="H39" s="38"/>
      <c r="I39" s="38"/>
      <c r="J39" s="38"/>
      <c r="K39" s="38"/>
      <c r="L39" s="38"/>
      <c r="M39" s="38"/>
      <c r="N39" s="38"/>
      <c r="O39" s="38"/>
      <c r="P39" s="38"/>
      <c r="Q39" s="38"/>
      <c r="R39" s="38"/>
      <c r="S39" s="38"/>
      <c r="T39" s="38"/>
      <c r="U39" s="38"/>
      <c r="V39" s="38"/>
      <c r="W39" s="38"/>
      <c r="X39" s="38"/>
      <c r="Y39" s="38"/>
      <c r="Z39" s="38"/>
    </row>
    <row r="40" spans="1:26" ht="29.45" thickBot="1">
      <c r="A40" s="43">
        <v>39</v>
      </c>
      <c r="B40" s="41" t="s">
        <v>94</v>
      </c>
      <c r="C40" s="41" t="s">
        <v>822</v>
      </c>
      <c r="D40" s="41" t="s">
        <v>900</v>
      </c>
      <c r="E40" s="41" t="s">
        <v>901</v>
      </c>
      <c r="F40" s="38"/>
      <c r="G40" s="38"/>
      <c r="H40" s="38"/>
      <c r="I40" s="38"/>
      <c r="J40" s="38"/>
      <c r="K40" s="38"/>
      <c r="L40" s="38"/>
      <c r="M40" s="38"/>
      <c r="N40" s="38"/>
      <c r="O40" s="38"/>
      <c r="P40" s="38"/>
      <c r="Q40" s="38"/>
      <c r="R40" s="38"/>
      <c r="S40" s="38"/>
      <c r="T40" s="38"/>
      <c r="U40" s="38"/>
      <c r="V40" s="38"/>
      <c r="W40" s="38"/>
      <c r="X40" s="38"/>
      <c r="Y40" s="38"/>
      <c r="Z40" s="38"/>
    </row>
    <row r="41" spans="1:26" ht="15" thickBot="1">
      <c r="A41" s="42">
        <v>40</v>
      </c>
      <c r="B41" s="40" t="s">
        <v>95</v>
      </c>
      <c r="C41" s="40" t="s">
        <v>822</v>
      </c>
      <c r="D41" s="40" t="s">
        <v>902</v>
      </c>
      <c r="E41" s="40" t="s">
        <v>903</v>
      </c>
      <c r="F41" s="38"/>
      <c r="G41" s="38"/>
      <c r="H41" s="38"/>
      <c r="I41" s="38"/>
      <c r="J41" s="38"/>
      <c r="K41" s="38"/>
      <c r="L41" s="38"/>
      <c r="M41" s="38"/>
      <c r="N41" s="38"/>
      <c r="O41" s="38"/>
      <c r="P41" s="38"/>
      <c r="Q41" s="38"/>
      <c r="R41" s="38"/>
      <c r="S41" s="38"/>
      <c r="T41" s="38"/>
      <c r="U41" s="38"/>
      <c r="V41" s="38"/>
      <c r="W41" s="38"/>
      <c r="X41" s="38"/>
      <c r="Y41" s="38"/>
      <c r="Z41" s="38"/>
    </row>
    <row r="42" spans="1:26" ht="29.45" thickBot="1">
      <c r="A42" s="43">
        <v>41</v>
      </c>
      <c r="B42" s="41" t="s">
        <v>96</v>
      </c>
      <c r="C42" s="41" t="s">
        <v>835</v>
      </c>
      <c r="D42" s="41" t="s">
        <v>904</v>
      </c>
      <c r="E42" s="41" t="s">
        <v>905</v>
      </c>
      <c r="F42" s="38"/>
      <c r="G42" s="38"/>
      <c r="H42" s="38"/>
      <c r="I42" s="38"/>
      <c r="J42" s="38"/>
      <c r="K42" s="38"/>
      <c r="L42" s="38"/>
      <c r="M42" s="38"/>
      <c r="N42" s="38"/>
      <c r="O42" s="38"/>
      <c r="P42" s="38"/>
      <c r="Q42" s="38"/>
      <c r="R42" s="38"/>
      <c r="S42" s="38"/>
      <c r="T42" s="38"/>
      <c r="U42" s="38"/>
      <c r="V42" s="38"/>
      <c r="W42" s="38"/>
      <c r="X42" s="38"/>
      <c r="Y42" s="38"/>
      <c r="Z42" s="38"/>
    </row>
    <row r="43" spans="1:26" ht="29.45" thickBot="1">
      <c r="A43" s="42">
        <v>42</v>
      </c>
      <c r="B43" s="40" t="s">
        <v>97</v>
      </c>
      <c r="C43" s="40" t="s">
        <v>822</v>
      </c>
      <c r="D43" s="40" t="s">
        <v>906</v>
      </c>
      <c r="E43" s="40" t="s">
        <v>907</v>
      </c>
      <c r="F43" s="38"/>
      <c r="G43" s="38"/>
      <c r="H43" s="38"/>
      <c r="I43" s="38"/>
      <c r="J43" s="38"/>
      <c r="K43" s="38"/>
      <c r="L43" s="38"/>
      <c r="M43" s="38"/>
      <c r="N43" s="38"/>
      <c r="O43" s="38"/>
      <c r="P43" s="38"/>
      <c r="Q43" s="38"/>
      <c r="R43" s="38"/>
      <c r="S43" s="38"/>
      <c r="T43" s="38"/>
      <c r="U43" s="38"/>
      <c r="V43" s="38"/>
      <c r="W43" s="38"/>
      <c r="X43" s="38"/>
      <c r="Y43" s="38"/>
      <c r="Z43" s="38"/>
    </row>
    <row r="44" spans="1:26" ht="29.45" thickBot="1">
      <c r="A44" s="43">
        <v>43</v>
      </c>
      <c r="B44" s="41" t="s">
        <v>908</v>
      </c>
      <c r="C44" s="41" t="s">
        <v>822</v>
      </c>
      <c r="D44" s="41" t="s">
        <v>909</v>
      </c>
      <c r="E44" s="41" t="s">
        <v>910</v>
      </c>
      <c r="F44" s="38"/>
      <c r="G44" s="38"/>
      <c r="H44" s="38"/>
      <c r="I44" s="38"/>
      <c r="J44" s="38"/>
      <c r="K44" s="38"/>
      <c r="L44" s="38"/>
      <c r="M44" s="38"/>
      <c r="N44" s="38"/>
      <c r="O44" s="38"/>
      <c r="P44" s="38"/>
      <c r="Q44" s="38"/>
      <c r="R44" s="38"/>
      <c r="S44" s="38"/>
      <c r="T44" s="38"/>
      <c r="U44" s="38"/>
      <c r="V44" s="38"/>
      <c r="W44" s="38"/>
      <c r="X44" s="38"/>
      <c r="Y44" s="38"/>
      <c r="Z44" s="38"/>
    </row>
    <row r="45" spans="1:26" ht="29.45" thickBot="1">
      <c r="A45" s="42">
        <v>44</v>
      </c>
      <c r="B45" s="40" t="s">
        <v>911</v>
      </c>
      <c r="C45" s="40" t="s">
        <v>822</v>
      </c>
      <c r="D45" s="40" t="s">
        <v>912</v>
      </c>
      <c r="E45" s="40" t="s">
        <v>913</v>
      </c>
      <c r="F45" s="38"/>
      <c r="G45" s="38"/>
      <c r="H45" s="38"/>
      <c r="I45" s="38"/>
      <c r="J45" s="38"/>
      <c r="K45" s="38"/>
      <c r="L45" s="38"/>
      <c r="M45" s="38"/>
      <c r="N45" s="38"/>
      <c r="O45" s="38"/>
      <c r="P45" s="38"/>
      <c r="Q45" s="38"/>
      <c r="R45" s="38"/>
      <c r="S45" s="38"/>
      <c r="T45" s="38"/>
      <c r="U45" s="38"/>
      <c r="V45" s="38"/>
      <c r="W45" s="38"/>
      <c r="X45" s="38"/>
      <c r="Y45" s="38"/>
      <c r="Z45" s="38"/>
    </row>
    <row r="46" spans="1:26" ht="29.45" thickBot="1">
      <c r="A46" s="43">
        <v>45</v>
      </c>
      <c r="B46" s="41" t="s">
        <v>100</v>
      </c>
      <c r="C46" s="41" t="s">
        <v>835</v>
      </c>
      <c r="D46" s="41" t="s">
        <v>914</v>
      </c>
      <c r="E46" s="41" t="s">
        <v>915</v>
      </c>
      <c r="F46" s="38"/>
      <c r="G46" s="38"/>
      <c r="H46" s="38"/>
      <c r="I46" s="38"/>
      <c r="J46" s="38"/>
      <c r="K46" s="38"/>
      <c r="L46" s="38"/>
      <c r="M46" s="38"/>
      <c r="N46" s="38"/>
      <c r="O46" s="38"/>
      <c r="P46" s="38"/>
      <c r="Q46" s="38"/>
      <c r="R46" s="38"/>
      <c r="S46" s="38"/>
      <c r="T46" s="38"/>
      <c r="U46" s="38"/>
      <c r="V46" s="38"/>
      <c r="W46" s="38"/>
      <c r="X46" s="38"/>
      <c r="Y46" s="38"/>
      <c r="Z46" s="38"/>
    </row>
    <row r="47" spans="1:26" ht="29.45" thickBot="1">
      <c r="A47" s="42">
        <v>46</v>
      </c>
      <c r="B47" s="40" t="s">
        <v>101</v>
      </c>
      <c r="C47" s="40" t="s">
        <v>822</v>
      </c>
      <c r="D47" s="40" t="s">
        <v>916</v>
      </c>
      <c r="E47" s="40" t="s">
        <v>917</v>
      </c>
      <c r="F47" s="38"/>
      <c r="G47" s="38"/>
      <c r="H47" s="38"/>
      <c r="I47" s="38"/>
      <c r="J47" s="38"/>
      <c r="K47" s="38"/>
      <c r="L47" s="38"/>
      <c r="M47" s="38"/>
      <c r="N47" s="38"/>
      <c r="O47" s="38"/>
      <c r="P47" s="38"/>
      <c r="Q47" s="38"/>
      <c r="R47" s="38"/>
      <c r="S47" s="38"/>
      <c r="T47" s="38"/>
      <c r="U47" s="38"/>
      <c r="V47" s="38"/>
      <c r="W47" s="38"/>
      <c r="X47" s="38"/>
      <c r="Y47" s="38"/>
      <c r="Z47" s="38"/>
    </row>
    <row r="48" spans="1:26" ht="29.45" thickBot="1">
      <c r="A48" s="43">
        <v>47</v>
      </c>
      <c r="B48" s="41" t="s">
        <v>102</v>
      </c>
      <c r="C48" s="41" t="s">
        <v>822</v>
      </c>
      <c r="D48" s="41" t="s">
        <v>918</v>
      </c>
      <c r="E48" s="41" t="s">
        <v>919</v>
      </c>
      <c r="F48" s="38"/>
      <c r="G48" s="38"/>
      <c r="H48" s="38"/>
      <c r="I48" s="38"/>
      <c r="J48" s="38"/>
      <c r="K48" s="38"/>
      <c r="L48" s="38"/>
      <c r="M48" s="38"/>
      <c r="N48" s="38"/>
      <c r="O48" s="38"/>
      <c r="P48" s="38"/>
      <c r="Q48" s="38"/>
      <c r="R48" s="38"/>
      <c r="S48" s="38"/>
      <c r="T48" s="38"/>
      <c r="U48" s="38"/>
      <c r="V48" s="38"/>
      <c r="W48" s="38"/>
      <c r="X48" s="38"/>
      <c r="Y48" s="38"/>
      <c r="Z48" s="38"/>
    </row>
    <row r="49" spans="1:26" ht="29.45" thickBot="1">
      <c r="A49" s="42">
        <v>48</v>
      </c>
      <c r="B49" s="40" t="s">
        <v>103</v>
      </c>
      <c r="C49" s="40" t="s">
        <v>822</v>
      </c>
      <c r="D49" s="40" t="s">
        <v>920</v>
      </c>
      <c r="E49" s="40" t="s">
        <v>921</v>
      </c>
      <c r="F49" s="38"/>
      <c r="G49" s="38"/>
      <c r="H49" s="38"/>
      <c r="I49" s="38"/>
      <c r="J49" s="38"/>
      <c r="K49" s="38"/>
      <c r="L49" s="38"/>
      <c r="M49" s="38"/>
      <c r="N49" s="38"/>
      <c r="O49" s="38"/>
      <c r="P49" s="38"/>
      <c r="Q49" s="38"/>
      <c r="R49" s="38"/>
      <c r="S49" s="38"/>
      <c r="T49" s="38"/>
      <c r="U49" s="38"/>
      <c r="V49" s="38"/>
      <c r="W49" s="38"/>
      <c r="X49" s="38"/>
      <c r="Y49" s="38"/>
      <c r="Z49" s="38"/>
    </row>
    <row r="50" spans="1:26" ht="29.45" thickBot="1">
      <c r="A50" s="43">
        <v>49</v>
      </c>
      <c r="B50" s="41" t="s">
        <v>104</v>
      </c>
      <c r="C50" s="41" t="s">
        <v>822</v>
      </c>
      <c r="D50" s="41" t="s">
        <v>922</v>
      </c>
      <c r="E50" s="41" t="s">
        <v>923</v>
      </c>
      <c r="F50" s="38"/>
      <c r="G50" s="38"/>
      <c r="H50" s="38"/>
      <c r="I50" s="38"/>
      <c r="J50" s="38"/>
      <c r="K50" s="38"/>
      <c r="L50" s="38"/>
      <c r="M50" s="38"/>
      <c r="N50" s="38"/>
      <c r="O50" s="38"/>
      <c r="P50" s="38"/>
      <c r="Q50" s="38"/>
      <c r="R50" s="38"/>
      <c r="S50" s="38"/>
      <c r="T50" s="38"/>
      <c r="U50" s="38"/>
      <c r="V50" s="38"/>
      <c r="W50" s="38"/>
      <c r="X50" s="38"/>
      <c r="Y50" s="38"/>
      <c r="Z50" s="38"/>
    </row>
    <row r="51" spans="1:26" ht="29.45" thickBot="1">
      <c r="A51" s="42">
        <v>50</v>
      </c>
      <c r="B51" s="40" t="s">
        <v>105</v>
      </c>
      <c r="C51" s="40" t="s">
        <v>835</v>
      </c>
      <c r="D51" s="40" t="s">
        <v>924</v>
      </c>
      <c r="E51" s="40" t="s">
        <v>915</v>
      </c>
      <c r="F51" s="38"/>
      <c r="G51" s="38"/>
      <c r="H51" s="38"/>
      <c r="I51" s="38"/>
      <c r="J51" s="38"/>
      <c r="K51" s="38"/>
      <c r="L51" s="38"/>
      <c r="M51" s="38"/>
      <c r="N51" s="38"/>
      <c r="O51" s="38"/>
      <c r="P51" s="38"/>
      <c r="Q51" s="38"/>
      <c r="R51" s="38"/>
      <c r="S51" s="38"/>
      <c r="T51" s="38"/>
      <c r="U51" s="38"/>
      <c r="V51" s="38"/>
      <c r="W51" s="38"/>
      <c r="X51" s="38"/>
      <c r="Y51" s="38"/>
      <c r="Z51" s="38"/>
    </row>
    <row r="52" spans="1:26" ht="29.45" thickBot="1">
      <c r="A52" s="43">
        <v>51</v>
      </c>
      <c r="B52" s="41" t="s">
        <v>106</v>
      </c>
      <c r="C52" s="41" t="s">
        <v>822</v>
      </c>
      <c r="D52" s="41" t="s">
        <v>925</v>
      </c>
      <c r="E52" s="41" t="s">
        <v>926</v>
      </c>
      <c r="F52" s="38"/>
      <c r="G52" s="38"/>
      <c r="H52" s="38"/>
      <c r="I52" s="38"/>
      <c r="J52" s="38"/>
      <c r="K52" s="38"/>
      <c r="L52" s="38"/>
      <c r="M52" s="38"/>
      <c r="N52" s="38"/>
      <c r="O52" s="38"/>
      <c r="P52" s="38"/>
      <c r="Q52" s="38"/>
      <c r="R52" s="38"/>
      <c r="S52" s="38"/>
      <c r="T52" s="38"/>
      <c r="U52" s="38"/>
      <c r="V52" s="38"/>
      <c r="W52" s="38"/>
      <c r="X52" s="38"/>
      <c r="Y52" s="38"/>
      <c r="Z52" s="38"/>
    </row>
    <row r="53" spans="1:26" ht="29.45" thickBot="1">
      <c r="A53" s="42">
        <v>52</v>
      </c>
      <c r="B53" s="40" t="s">
        <v>107</v>
      </c>
      <c r="C53" s="40" t="s">
        <v>822</v>
      </c>
      <c r="D53" s="40" t="s">
        <v>927</v>
      </c>
      <c r="E53" s="40" t="s">
        <v>928</v>
      </c>
      <c r="F53" s="38"/>
      <c r="G53" s="38"/>
      <c r="H53" s="38"/>
      <c r="I53" s="38"/>
      <c r="J53" s="38"/>
      <c r="K53" s="38"/>
      <c r="L53" s="38"/>
      <c r="M53" s="38"/>
      <c r="N53" s="38"/>
      <c r="O53" s="38"/>
      <c r="P53" s="38"/>
      <c r="Q53" s="38"/>
      <c r="R53" s="38"/>
      <c r="S53" s="38"/>
      <c r="T53" s="38"/>
      <c r="U53" s="38"/>
      <c r="V53" s="38"/>
      <c r="W53" s="38"/>
      <c r="X53" s="38"/>
      <c r="Y53" s="38"/>
      <c r="Z53" s="38"/>
    </row>
    <row r="54" spans="1:26" ht="29.45" thickBot="1">
      <c r="A54" s="43">
        <v>53</v>
      </c>
      <c r="B54" s="41" t="s">
        <v>108</v>
      </c>
      <c r="C54" s="41" t="s">
        <v>822</v>
      </c>
      <c r="D54" s="41" t="s">
        <v>929</v>
      </c>
      <c r="E54" s="41" t="s">
        <v>930</v>
      </c>
      <c r="F54" s="38"/>
      <c r="G54" s="38"/>
      <c r="H54" s="38"/>
      <c r="I54" s="38"/>
      <c r="J54" s="38"/>
      <c r="K54" s="38"/>
      <c r="L54" s="38"/>
      <c r="M54" s="38"/>
      <c r="N54" s="38"/>
      <c r="O54" s="38"/>
      <c r="P54" s="38"/>
      <c r="Q54" s="38"/>
      <c r="R54" s="38"/>
      <c r="S54" s="38"/>
      <c r="T54" s="38"/>
      <c r="U54" s="38"/>
      <c r="V54" s="38"/>
      <c r="W54" s="38"/>
      <c r="X54" s="38"/>
      <c r="Y54" s="38"/>
      <c r="Z54" s="38"/>
    </row>
    <row r="55" spans="1:26" ht="15" thickBot="1">
      <c r="A55" s="42">
        <v>54</v>
      </c>
      <c r="B55" s="40" t="s">
        <v>109</v>
      </c>
      <c r="C55" s="40" t="s">
        <v>822</v>
      </c>
      <c r="D55" s="40" t="s">
        <v>931</v>
      </c>
      <c r="E55" s="40" t="s">
        <v>932</v>
      </c>
      <c r="F55" s="38"/>
      <c r="G55" s="38"/>
      <c r="H55" s="38"/>
      <c r="I55" s="38"/>
      <c r="J55" s="38"/>
      <c r="K55" s="38"/>
      <c r="L55" s="38"/>
      <c r="M55" s="38"/>
      <c r="N55" s="38"/>
      <c r="O55" s="38"/>
      <c r="P55" s="38"/>
      <c r="Q55" s="38"/>
      <c r="R55" s="38"/>
      <c r="S55" s="38"/>
      <c r="T55" s="38"/>
      <c r="U55" s="38"/>
      <c r="V55" s="38"/>
      <c r="W55" s="38"/>
      <c r="X55" s="38"/>
      <c r="Y55" s="38"/>
      <c r="Z55" s="38"/>
    </row>
    <row r="56" spans="1:26" ht="29.45" thickBot="1">
      <c r="A56" s="43">
        <v>55</v>
      </c>
      <c r="B56" s="41" t="s">
        <v>110</v>
      </c>
      <c r="C56" s="41" t="s">
        <v>835</v>
      </c>
      <c r="D56" s="41" t="s">
        <v>933</v>
      </c>
      <c r="E56" s="41" t="s">
        <v>934</v>
      </c>
      <c r="F56" s="38"/>
      <c r="G56" s="38"/>
      <c r="H56" s="38"/>
      <c r="I56" s="38"/>
      <c r="J56" s="38"/>
      <c r="K56" s="38"/>
      <c r="L56" s="38"/>
      <c r="M56" s="38"/>
      <c r="N56" s="38"/>
      <c r="O56" s="38"/>
      <c r="P56" s="38"/>
      <c r="Q56" s="38"/>
      <c r="R56" s="38"/>
      <c r="S56" s="38"/>
      <c r="T56" s="38"/>
      <c r="U56" s="38"/>
      <c r="V56" s="38"/>
      <c r="W56" s="38"/>
      <c r="X56" s="38"/>
      <c r="Y56" s="38"/>
      <c r="Z56" s="38"/>
    </row>
    <row r="57" spans="1:26" ht="29.45" thickBot="1">
      <c r="A57" s="42">
        <v>56</v>
      </c>
      <c r="B57" s="40" t="s">
        <v>111</v>
      </c>
      <c r="C57" s="40" t="s">
        <v>822</v>
      </c>
      <c r="D57" s="40" t="s">
        <v>935</v>
      </c>
      <c r="E57" s="40" t="s">
        <v>936</v>
      </c>
      <c r="F57" s="38"/>
      <c r="G57" s="38"/>
      <c r="H57" s="38"/>
      <c r="I57" s="38"/>
      <c r="J57" s="38"/>
      <c r="K57" s="38"/>
      <c r="L57" s="38"/>
      <c r="M57" s="38"/>
      <c r="N57" s="38"/>
      <c r="O57" s="38"/>
      <c r="P57" s="38"/>
      <c r="Q57" s="38"/>
      <c r="R57" s="38"/>
      <c r="S57" s="38"/>
      <c r="T57" s="38"/>
      <c r="U57" s="38"/>
      <c r="V57" s="38"/>
      <c r="W57" s="38"/>
      <c r="X57" s="38"/>
      <c r="Y57" s="38"/>
      <c r="Z57" s="38"/>
    </row>
    <row r="58" spans="1:26" ht="43.9" thickBot="1">
      <c r="A58" s="43">
        <v>57</v>
      </c>
      <c r="B58" s="41" t="s">
        <v>112</v>
      </c>
      <c r="C58" s="41" t="s">
        <v>822</v>
      </c>
      <c r="D58" s="41" t="s">
        <v>937</v>
      </c>
      <c r="E58" s="41" t="s">
        <v>938</v>
      </c>
      <c r="F58" s="38"/>
      <c r="G58" s="38"/>
      <c r="H58" s="38"/>
      <c r="I58" s="38"/>
      <c r="J58" s="38"/>
      <c r="K58" s="38"/>
      <c r="L58" s="38"/>
      <c r="M58" s="38"/>
      <c r="N58" s="38"/>
      <c r="O58" s="38"/>
      <c r="P58" s="38"/>
      <c r="Q58" s="38"/>
      <c r="R58" s="38"/>
      <c r="S58" s="38"/>
      <c r="T58" s="38"/>
      <c r="U58" s="38"/>
      <c r="V58" s="38"/>
      <c r="W58" s="38"/>
      <c r="X58" s="38"/>
      <c r="Y58" s="38"/>
      <c r="Z58" s="38"/>
    </row>
    <row r="59" spans="1:26" ht="15" thickBot="1">
      <c r="A59" s="42">
        <v>58</v>
      </c>
      <c r="B59" s="40" t="s">
        <v>939</v>
      </c>
      <c r="C59" s="40" t="s">
        <v>822</v>
      </c>
      <c r="D59" s="40" t="s">
        <v>940</v>
      </c>
      <c r="E59" s="40" t="s">
        <v>941</v>
      </c>
      <c r="F59" s="38"/>
      <c r="G59" s="38"/>
      <c r="H59" s="38"/>
      <c r="I59" s="38"/>
      <c r="J59" s="38"/>
      <c r="K59" s="38"/>
      <c r="L59" s="38"/>
      <c r="M59" s="38"/>
      <c r="N59" s="38"/>
      <c r="O59" s="38"/>
      <c r="P59" s="38"/>
      <c r="Q59" s="38"/>
      <c r="R59" s="38"/>
      <c r="S59" s="38"/>
      <c r="T59" s="38"/>
      <c r="U59" s="38"/>
      <c r="V59" s="38"/>
      <c r="W59" s="38"/>
      <c r="X59" s="38"/>
      <c r="Y59" s="38"/>
      <c r="Z59" s="38"/>
    </row>
    <row r="60" spans="1:26" ht="29.45" thickBot="1">
      <c r="A60" s="43">
        <v>59</v>
      </c>
      <c r="B60" s="41" t="s">
        <v>114</v>
      </c>
      <c r="C60" s="41" t="s">
        <v>835</v>
      </c>
      <c r="D60" s="41" t="s">
        <v>942</v>
      </c>
      <c r="E60" s="41" t="s">
        <v>943</v>
      </c>
      <c r="F60" s="38"/>
      <c r="G60" s="38"/>
      <c r="H60" s="38"/>
      <c r="I60" s="38"/>
      <c r="J60" s="38"/>
      <c r="K60" s="38"/>
      <c r="L60" s="38"/>
      <c r="M60" s="38"/>
      <c r="N60" s="38"/>
      <c r="O60" s="38"/>
      <c r="P60" s="38"/>
      <c r="Q60" s="38"/>
      <c r="R60" s="38"/>
      <c r="S60" s="38"/>
      <c r="T60" s="38"/>
      <c r="U60" s="38"/>
      <c r="V60" s="38"/>
      <c r="W60" s="38"/>
      <c r="X60" s="38"/>
      <c r="Y60" s="38"/>
      <c r="Z60" s="38"/>
    </row>
    <row r="61" spans="1:26" ht="29.45" thickBot="1">
      <c r="A61" s="42">
        <v>60</v>
      </c>
      <c r="B61" s="40" t="s">
        <v>115</v>
      </c>
      <c r="C61" s="40" t="s">
        <v>822</v>
      </c>
      <c r="D61" s="40" t="s">
        <v>944</v>
      </c>
      <c r="E61" s="40" t="s">
        <v>945</v>
      </c>
      <c r="F61" s="38"/>
      <c r="G61" s="38"/>
      <c r="H61" s="38"/>
      <c r="I61" s="38"/>
      <c r="J61" s="38"/>
      <c r="K61" s="38"/>
      <c r="L61" s="38"/>
      <c r="M61" s="38"/>
      <c r="N61" s="38"/>
      <c r="O61" s="38"/>
      <c r="P61" s="38"/>
      <c r="Q61" s="38"/>
      <c r="R61" s="38"/>
      <c r="S61" s="38"/>
      <c r="T61" s="38"/>
      <c r="U61" s="38"/>
      <c r="V61" s="38"/>
      <c r="W61" s="38"/>
      <c r="X61" s="38"/>
      <c r="Y61" s="38"/>
      <c r="Z61" s="38"/>
    </row>
    <row r="62" spans="1:26" ht="29.45" thickBot="1">
      <c r="A62" s="43">
        <v>61</v>
      </c>
      <c r="B62" s="41" t="s">
        <v>116</v>
      </c>
      <c r="C62" s="41" t="s">
        <v>822</v>
      </c>
      <c r="D62" s="41" t="s">
        <v>946</v>
      </c>
      <c r="E62" s="41" t="s">
        <v>947</v>
      </c>
      <c r="F62" s="38"/>
      <c r="G62" s="38"/>
      <c r="H62" s="38"/>
      <c r="I62" s="38"/>
      <c r="J62" s="38"/>
      <c r="K62" s="38"/>
      <c r="L62" s="38"/>
      <c r="M62" s="38"/>
      <c r="N62" s="38"/>
      <c r="O62" s="38"/>
      <c r="P62" s="38"/>
      <c r="Q62" s="38"/>
      <c r="R62" s="38"/>
      <c r="S62" s="38"/>
      <c r="T62" s="38"/>
      <c r="U62" s="38"/>
      <c r="V62" s="38"/>
      <c r="W62" s="38"/>
      <c r="X62" s="38"/>
      <c r="Y62" s="38"/>
      <c r="Z62" s="38"/>
    </row>
    <row r="63" spans="1:26" ht="29.45" thickBot="1">
      <c r="A63" s="42">
        <v>62</v>
      </c>
      <c r="B63" s="40" t="s">
        <v>117</v>
      </c>
      <c r="C63" s="40" t="s">
        <v>822</v>
      </c>
      <c r="D63" s="40" t="s">
        <v>948</v>
      </c>
      <c r="E63" s="40" t="s">
        <v>949</v>
      </c>
      <c r="F63" s="38"/>
      <c r="G63" s="38"/>
      <c r="H63" s="38"/>
      <c r="I63" s="38"/>
      <c r="J63" s="38"/>
      <c r="K63" s="38"/>
      <c r="L63" s="38"/>
      <c r="M63" s="38"/>
      <c r="N63" s="38"/>
      <c r="O63" s="38"/>
      <c r="P63" s="38"/>
      <c r="Q63" s="38"/>
      <c r="R63" s="38"/>
      <c r="S63" s="38"/>
      <c r="T63" s="38"/>
      <c r="U63" s="38"/>
      <c r="V63" s="38"/>
      <c r="W63" s="38"/>
      <c r="X63" s="38"/>
      <c r="Y63" s="38"/>
      <c r="Z63" s="38"/>
    </row>
    <row r="64" spans="1:26" ht="29.45" thickBot="1">
      <c r="A64" s="43">
        <v>63</v>
      </c>
      <c r="B64" s="41" t="s">
        <v>118</v>
      </c>
      <c r="C64" s="41" t="s">
        <v>822</v>
      </c>
      <c r="D64" s="41" t="s">
        <v>950</v>
      </c>
      <c r="E64" s="41" t="s">
        <v>951</v>
      </c>
      <c r="F64" s="38"/>
      <c r="G64" s="38"/>
      <c r="H64" s="38"/>
      <c r="I64" s="38"/>
      <c r="J64" s="38"/>
      <c r="K64" s="38"/>
      <c r="L64" s="38"/>
      <c r="M64" s="38"/>
      <c r="N64" s="38"/>
      <c r="O64" s="38"/>
      <c r="P64" s="38"/>
      <c r="Q64" s="38"/>
      <c r="R64" s="38"/>
      <c r="S64" s="38"/>
      <c r="T64" s="38"/>
      <c r="U64" s="38"/>
      <c r="V64" s="38"/>
      <c r="W64" s="38"/>
      <c r="X64" s="38"/>
      <c r="Y64" s="38"/>
      <c r="Z64" s="38"/>
    </row>
    <row r="65" spans="1:26" ht="29.45" thickBot="1">
      <c r="A65" s="42">
        <v>64</v>
      </c>
      <c r="B65" s="40" t="s">
        <v>119</v>
      </c>
      <c r="C65" s="40" t="s">
        <v>822</v>
      </c>
      <c r="D65" s="40" t="s">
        <v>952</v>
      </c>
      <c r="E65" s="40" t="s">
        <v>953</v>
      </c>
      <c r="F65" s="38"/>
      <c r="G65" s="38"/>
      <c r="H65" s="38"/>
      <c r="I65" s="38"/>
      <c r="J65" s="38"/>
      <c r="K65" s="38"/>
      <c r="L65" s="38"/>
      <c r="M65" s="38"/>
      <c r="N65" s="38"/>
      <c r="O65" s="38"/>
      <c r="P65" s="38"/>
      <c r="Q65" s="38"/>
      <c r="R65" s="38"/>
      <c r="S65" s="38"/>
      <c r="T65" s="38"/>
      <c r="U65" s="38"/>
      <c r="V65" s="38"/>
      <c r="W65" s="38"/>
      <c r="X65" s="38"/>
      <c r="Y65" s="38"/>
      <c r="Z65" s="38"/>
    </row>
    <row r="66" spans="1:26" ht="15" thickBot="1">
      <c r="A66" s="43">
        <v>65</v>
      </c>
      <c r="B66" s="41" t="s">
        <v>120</v>
      </c>
      <c r="C66" s="41" t="s">
        <v>822</v>
      </c>
      <c r="D66" s="41" t="s">
        <v>954</v>
      </c>
      <c r="E66" s="41" t="s">
        <v>955</v>
      </c>
      <c r="F66" s="38"/>
      <c r="G66" s="38"/>
      <c r="H66" s="38"/>
      <c r="I66" s="38"/>
      <c r="J66" s="38"/>
      <c r="K66" s="38"/>
      <c r="L66" s="38"/>
      <c r="M66" s="38"/>
      <c r="N66" s="38"/>
      <c r="O66" s="38"/>
      <c r="P66" s="38"/>
      <c r="Q66" s="38"/>
      <c r="R66" s="38"/>
      <c r="S66" s="38"/>
      <c r="T66" s="38"/>
      <c r="U66" s="38"/>
      <c r="V66" s="38"/>
      <c r="W66" s="38"/>
      <c r="X66" s="38"/>
      <c r="Y66" s="38"/>
      <c r="Z66" s="38"/>
    </row>
    <row r="67" spans="1:26" ht="29.45" thickBot="1">
      <c r="A67" s="42">
        <v>66</v>
      </c>
      <c r="B67" s="40" t="s">
        <v>121</v>
      </c>
      <c r="C67" s="40" t="s">
        <v>835</v>
      </c>
      <c r="D67" s="40" t="s">
        <v>956</v>
      </c>
      <c r="E67" s="40" t="s">
        <v>957</v>
      </c>
      <c r="F67" s="38"/>
      <c r="G67" s="38"/>
      <c r="H67" s="38"/>
      <c r="I67" s="38"/>
      <c r="J67" s="38"/>
      <c r="K67" s="38"/>
      <c r="L67" s="38"/>
      <c r="M67" s="38"/>
      <c r="N67" s="38"/>
      <c r="O67" s="38"/>
      <c r="P67" s="38"/>
      <c r="Q67" s="38"/>
      <c r="R67" s="38"/>
      <c r="S67" s="38"/>
      <c r="T67" s="38"/>
      <c r="U67" s="38"/>
      <c r="V67" s="38"/>
      <c r="W67" s="38"/>
      <c r="X67" s="38"/>
      <c r="Y67" s="38"/>
      <c r="Z67" s="38"/>
    </row>
    <row r="68" spans="1:26" ht="29.45" thickBot="1">
      <c r="A68" s="43">
        <v>67</v>
      </c>
      <c r="B68" s="41" t="s">
        <v>122</v>
      </c>
      <c r="C68" s="41" t="s">
        <v>822</v>
      </c>
      <c r="D68" s="41" t="s">
        <v>958</v>
      </c>
      <c r="E68" s="41" t="s">
        <v>959</v>
      </c>
      <c r="F68" s="38"/>
      <c r="G68" s="38"/>
      <c r="H68" s="38"/>
      <c r="I68" s="38"/>
      <c r="J68" s="38"/>
      <c r="K68" s="38"/>
      <c r="L68" s="38"/>
      <c r="M68" s="38"/>
      <c r="N68" s="38"/>
      <c r="O68" s="38"/>
      <c r="P68" s="38"/>
      <c r="Q68" s="38"/>
      <c r="R68" s="38"/>
      <c r="S68" s="38"/>
      <c r="T68" s="38"/>
      <c r="U68" s="38"/>
      <c r="V68" s="38"/>
      <c r="W68" s="38"/>
      <c r="X68" s="38"/>
      <c r="Y68" s="38"/>
      <c r="Z68" s="38"/>
    </row>
    <row r="69" spans="1:26" ht="43.9" thickBot="1">
      <c r="A69" s="42">
        <v>68</v>
      </c>
      <c r="B69" s="40" t="s">
        <v>960</v>
      </c>
      <c r="C69" s="40" t="s">
        <v>822</v>
      </c>
      <c r="D69" s="40" t="s">
        <v>961</v>
      </c>
      <c r="E69" s="40" t="s">
        <v>962</v>
      </c>
      <c r="F69" s="38"/>
      <c r="G69" s="38"/>
      <c r="H69" s="38"/>
      <c r="I69" s="38"/>
      <c r="J69" s="38"/>
      <c r="K69" s="38"/>
      <c r="L69" s="38"/>
      <c r="M69" s="38"/>
      <c r="N69" s="38"/>
      <c r="O69" s="38"/>
      <c r="P69" s="38"/>
      <c r="Q69" s="38"/>
      <c r="R69" s="38"/>
      <c r="S69" s="38"/>
      <c r="T69" s="38"/>
      <c r="U69" s="38"/>
      <c r="V69" s="38"/>
      <c r="W69" s="38"/>
      <c r="X69" s="38"/>
      <c r="Y69" s="38"/>
      <c r="Z69" s="38"/>
    </row>
    <row r="70" spans="1:26" ht="29.45" thickBot="1">
      <c r="A70" s="43">
        <v>69</v>
      </c>
      <c r="B70" s="41" t="s">
        <v>963</v>
      </c>
      <c r="C70" s="41" t="s">
        <v>822</v>
      </c>
      <c r="D70" s="41" t="s">
        <v>964</v>
      </c>
      <c r="E70" s="41" t="s">
        <v>965</v>
      </c>
      <c r="F70" s="38"/>
      <c r="G70" s="38"/>
      <c r="H70" s="38"/>
      <c r="I70" s="38"/>
      <c r="J70" s="38"/>
      <c r="K70" s="38"/>
      <c r="L70" s="38"/>
      <c r="M70" s="38"/>
      <c r="N70" s="38"/>
      <c r="O70" s="38"/>
      <c r="P70" s="38"/>
      <c r="Q70" s="38"/>
      <c r="R70" s="38"/>
      <c r="S70" s="38"/>
      <c r="T70" s="38"/>
      <c r="U70" s="38"/>
      <c r="V70" s="38"/>
      <c r="W70" s="38"/>
      <c r="X70" s="38"/>
      <c r="Y70" s="38"/>
      <c r="Z70" s="38"/>
    </row>
    <row r="71" spans="1:26" ht="29.45" thickBot="1">
      <c r="A71" s="42">
        <v>70</v>
      </c>
      <c r="B71" s="40" t="s">
        <v>125</v>
      </c>
      <c r="C71" s="40" t="s">
        <v>835</v>
      </c>
      <c r="D71" s="40" t="s">
        <v>966</v>
      </c>
      <c r="E71" s="40" t="s">
        <v>967</v>
      </c>
      <c r="F71" s="38"/>
      <c r="G71" s="38"/>
      <c r="H71" s="38"/>
      <c r="I71" s="38"/>
      <c r="J71" s="38"/>
      <c r="K71" s="38"/>
      <c r="L71" s="38"/>
      <c r="M71" s="38"/>
      <c r="N71" s="38"/>
      <c r="O71" s="38"/>
      <c r="P71" s="38"/>
      <c r="Q71" s="38"/>
      <c r="R71" s="38"/>
      <c r="S71" s="38"/>
      <c r="T71" s="38"/>
      <c r="U71" s="38"/>
      <c r="V71" s="38"/>
      <c r="W71" s="38"/>
      <c r="X71" s="38"/>
      <c r="Y71" s="38"/>
      <c r="Z71" s="38"/>
    </row>
    <row r="72" spans="1:26" ht="29.45" thickBot="1">
      <c r="A72" s="43">
        <v>71</v>
      </c>
      <c r="B72" s="41" t="s">
        <v>126</v>
      </c>
      <c r="C72" s="41" t="s">
        <v>822</v>
      </c>
      <c r="D72" s="41" t="s">
        <v>968</v>
      </c>
      <c r="E72" s="41" t="s">
        <v>969</v>
      </c>
      <c r="F72" s="38"/>
      <c r="G72" s="38"/>
      <c r="H72" s="38"/>
      <c r="I72" s="38"/>
      <c r="J72" s="38"/>
      <c r="K72" s="38"/>
      <c r="L72" s="38"/>
      <c r="M72" s="38"/>
      <c r="N72" s="38"/>
      <c r="O72" s="38"/>
      <c r="P72" s="38"/>
      <c r="Q72" s="38"/>
      <c r="R72" s="38"/>
      <c r="S72" s="38"/>
      <c r="T72" s="38"/>
      <c r="U72" s="38"/>
      <c r="V72" s="38"/>
      <c r="W72" s="38"/>
      <c r="X72" s="38"/>
      <c r="Y72" s="38"/>
      <c r="Z72" s="38"/>
    </row>
    <row r="73" spans="1:26" ht="29.45" thickBot="1">
      <c r="A73" s="42">
        <v>72</v>
      </c>
      <c r="B73" s="40" t="s">
        <v>127</v>
      </c>
      <c r="C73" s="40" t="s">
        <v>822</v>
      </c>
      <c r="D73" s="40" t="s">
        <v>970</v>
      </c>
      <c r="E73" s="40" t="s">
        <v>971</v>
      </c>
      <c r="F73" s="38"/>
      <c r="G73" s="38"/>
      <c r="H73" s="38"/>
      <c r="I73" s="38"/>
      <c r="J73" s="38"/>
      <c r="K73" s="38"/>
      <c r="L73" s="38"/>
      <c r="M73" s="38"/>
      <c r="N73" s="38"/>
      <c r="O73" s="38"/>
      <c r="P73" s="38"/>
      <c r="Q73" s="38"/>
      <c r="R73" s="38"/>
      <c r="S73" s="38"/>
      <c r="T73" s="38"/>
      <c r="U73" s="38"/>
      <c r="V73" s="38"/>
      <c r="W73" s="38"/>
      <c r="X73" s="38"/>
      <c r="Y73" s="38"/>
      <c r="Z73" s="38"/>
    </row>
    <row r="74" spans="1:26" ht="29.45" thickBot="1">
      <c r="A74" s="43">
        <v>73</v>
      </c>
      <c r="B74" s="41" t="s">
        <v>128</v>
      </c>
      <c r="C74" s="41" t="s">
        <v>822</v>
      </c>
      <c r="D74" s="41" t="s">
        <v>972</v>
      </c>
      <c r="E74" s="41" t="s">
        <v>973</v>
      </c>
      <c r="F74" s="38"/>
      <c r="G74" s="38"/>
      <c r="H74" s="38"/>
      <c r="I74" s="38"/>
      <c r="J74" s="38"/>
      <c r="K74" s="38"/>
      <c r="L74" s="38"/>
      <c r="M74" s="38"/>
      <c r="N74" s="38"/>
      <c r="O74" s="38"/>
      <c r="P74" s="38"/>
      <c r="Q74" s="38"/>
      <c r="R74" s="38"/>
      <c r="S74" s="38"/>
      <c r="T74" s="38"/>
      <c r="U74" s="38"/>
      <c r="V74" s="38"/>
      <c r="W74" s="38"/>
      <c r="X74" s="38"/>
      <c r="Y74" s="38"/>
      <c r="Z74" s="38"/>
    </row>
    <row r="75" spans="1:26" ht="43.9" thickBot="1">
      <c r="A75" s="42">
        <v>74</v>
      </c>
      <c r="B75" s="40" t="s">
        <v>129</v>
      </c>
      <c r="C75" s="40" t="s">
        <v>835</v>
      </c>
      <c r="D75" s="40" t="s">
        <v>974</v>
      </c>
      <c r="E75" s="40" t="s">
        <v>975</v>
      </c>
      <c r="F75" s="38"/>
      <c r="G75" s="38"/>
      <c r="H75" s="38"/>
      <c r="I75" s="38"/>
      <c r="J75" s="38"/>
      <c r="K75" s="38"/>
      <c r="L75" s="38"/>
      <c r="M75" s="38"/>
      <c r="N75" s="38"/>
      <c r="O75" s="38"/>
      <c r="P75" s="38"/>
      <c r="Q75" s="38"/>
      <c r="R75" s="38"/>
      <c r="S75" s="38"/>
      <c r="T75" s="38"/>
      <c r="U75" s="38"/>
      <c r="V75" s="38"/>
      <c r="W75" s="38"/>
      <c r="X75" s="38"/>
      <c r="Y75" s="38"/>
      <c r="Z75" s="38"/>
    </row>
    <row r="76" spans="1:26" ht="29.45" thickBot="1">
      <c r="A76" s="43">
        <v>144</v>
      </c>
      <c r="B76" s="41" t="s">
        <v>130</v>
      </c>
      <c r="C76" s="41" t="s">
        <v>835</v>
      </c>
      <c r="D76" s="41" t="s">
        <v>976</v>
      </c>
      <c r="E76" s="49" t="s">
        <v>977</v>
      </c>
      <c r="F76" s="38"/>
      <c r="G76" s="38"/>
      <c r="H76" s="38"/>
      <c r="I76" s="38"/>
      <c r="J76" s="38"/>
      <c r="K76" s="38"/>
      <c r="L76" s="38"/>
      <c r="M76" s="38"/>
      <c r="N76" s="38"/>
      <c r="O76" s="38"/>
      <c r="P76" s="38"/>
      <c r="Q76" s="38"/>
      <c r="R76" s="38"/>
      <c r="S76" s="38"/>
      <c r="T76" s="38"/>
      <c r="U76" s="38"/>
      <c r="V76" s="38"/>
      <c r="W76" s="38"/>
      <c r="X76" s="38"/>
      <c r="Y76" s="38"/>
      <c r="Z76" s="38"/>
    </row>
    <row r="77" spans="1:26" ht="29.45" thickBot="1">
      <c r="A77" s="42">
        <v>75</v>
      </c>
      <c r="B77" s="40" t="s">
        <v>131</v>
      </c>
      <c r="C77" s="40" t="s">
        <v>822</v>
      </c>
      <c r="D77" s="40" t="s">
        <v>978</v>
      </c>
      <c r="E77" s="40" t="s">
        <v>979</v>
      </c>
      <c r="F77" s="38"/>
      <c r="G77" s="38"/>
      <c r="H77" s="38"/>
      <c r="I77" s="38"/>
      <c r="J77" s="38"/>
      <c r="K77" s="38"/>
      <c r="L77" s="38"/>
      <c r="M77" s="38"/>
      <c r="N77" s="38"/>
      <c r="O77" s="38"/>
      <c r="P77" s="38"/>
      <c r="Q77" s="38"/>
      <c r="R77" s="38"/>
      <c r="S77" s="38"/>
      <c r="T77" s="38"/>
      <c r="U77" s="38"/>
      <c r="V77" s="38"/>
      <c r="W77" s="38"/>
      <c r="X77" s="38"/>
      <c r="Y77" s="38"/>
      <c r="Z77" s="38"/>
    </row>
    <row r="78" spans="1:26" ht="29.45" thickBot="1">
      <c r="A78" s="43">
        <v>76</v>
      </c>
      <c r="B78" s="41" t="s">
        <v>132</v>
      </c>
      <c r="C78" s="41" t="s">
        <v>822</v>
      </c>
      <c r="D78" s="41" t="s">
        <v>980</v>
      </c>
      <c r="E78" s="41" t="s">
        <v>981</v>
      </c>
      <c r="F78" s="38"/>
      <c r="G78" s="38"/>
      <c r="H78" s="38"/>
      <c r="I78" s="38"/>
      <c r="J78" s="38"/>
      <c r="K78" s="38"/>
      <c r="L78" s="38"/>
      <c r="M78" s="38"/>
      <c r="N78" s="38"/>
      <c r="O78" s="38"/>
      <c r="P78" s="38"/>
      <c r="Q78" s="38"/>
      <c r="R78" s="38"/>
      <c r="S78" s="38"/>
      <c r="T78" s="38"/>
      <c r="U78" s="38"/>
      <c r="V78" s="38"/>
      <c r="W78" s="38"/>
      <c r="X78" s="38"/>
      <c r="Y78" s="38"/>
      <c r="Z78" s="38"/>
    </row>
    <row r="79" spans="1:26" ht="29.45" thickBot="1">
      <c r="A79" s="42">
        <v>77</v>
      </c>
      <c r="B79" s="40" t="s">
        <v>133</v>
      </c>
      <c r="C79" s="40" t="s">
        <v>835</v>
      </c>
      <c r="D79" s="40" t="s">
        <v>982</v>
      </c>
      <c r="E79" s="40" t="s">
        <v>983</v>
      </c>
      <c r="F79" s="38"/>
      <c r="G79" s="38"/>
      <c r="H79" s="38"/>
      <c r="I79" s="38"/>
      <c r="J79" s="38"/>
      <c r="K79" s="38"/>
      <c r="L79" s="38"/>
      <c r="M79" s="38"/>
      <c r="N79" s="38"/>
      <c r="O79" s="38"/>
      <c r="P79" s="38"/>
      <c r="Q79" s="38"/>
      <c r="R79" s="38"/>
      <c r="S79" s="38"/>
      <c r="T79" s="38"/>
      <c r="U79" s="38"/>
      <c r="V79" s="38"/>
      <c r="W79" s="38"/>
      <c r="X79" s="38"/>
      <c r="Y79" s="38"/>
      <c r="Z79" s="38"/>
    </row>
    <row r="80" spans="1:26" ht="29.45" thickBot="1">
      <c r="A80" s="43">
        <v>78</v>
      </c>
      <c r="B80" s="41" t="s">
        <v>134</v>
      </c>
      <c r="C80" s="41" t="s">
        <v>822</v>
      </c>
      <c r="D80" s="41" t="s">
        <v>984</v>
      </c>
      <c r="E80" s="41" t="s">
        <v>985</v>
      </c>
      <c r="F80" s="38"/>
      <c r="G80" s="38"/>
      <c r="H80" s="38"/>
      <c r="I80" s="38"/>
      <c r="J80" s="38"/>
      <c r="K80" s="38"/>
      <c r="L80" s="38"/>
      <c r="M80" s="38"/>
      <c r="N80" s="38"/>
      <c r="O80" s="38"/>
      <c r="P80" s="38"/>
      <c r="Q80" s="38"/>
      <c r="R80" s="38"/>
      <c r="S80" s="38"/>
      <c r="T80" s="38"/>
      <c r="U80" s="38"/>
      <c r="V80" s="38"/>
      <c r="W80" s="38"/>
      <c r="X80" s="38"/>
      <c r="Y80" s="38"/>
      <c r="Z80" s="38"/>
    </row>
    <row r="81" spans="1:26" ht="29.45" thickBot="1">
      <c r="A81" s="42">
        <v>79</v>
      </c>
      <c r="B81" s="40" t="s">
        <v>986</v>
      </c>
      <c r="C81" s="40" t="s">
        <v>822</v>
      </c>
      <c r="D81" s="40" t="s">
        <v>987</v>
      </c>
      <c r="E81" s="40" t="s">
        <v>988</v>
      </c>
      <c r="F81" s="38"/>
      <c r="G81" s="38"/>
      <c r="H81" s="38"/>
      <c r="I81" s="38"/>
      <c r="J81" s="38"/>
      <c r="K81" s="38"/>
      <c r="L81" s="38"/>
      <c r="M81" s="38"/>
      <c r="N81" s="38"/>
      <c r="O81" s="38"/>
      <c r="P81" s="38"/>
      <c r="Q81" s="38"/>
      <c r="R81" s="38"/>
      <c r="S81" s="38"/>
      <c r="T81" s="38"/>
      <c r="U81" s="38"/>
      <c r="V81" s="38"/>
      <c r="W81" s="38"/>
      <c r="X81" s="38"/>
      <c r="Y81" s="38"/>
      <c r="Z81" s="38"/>
    </row>
    <row r="82" spans="1:26" ht="29.45" thickBot="1">
      <c r="A82" s="43">
        <v>80</v>
      </c>
      <c r="B82" s="41" t="s">
        <v>136</v>
      </c>
      <c r="C82" s="41" t="s">
        <v>822</v>
      </c>
      <c r="D82" s="41" t="s">
        <v>989</v>
      </c>
      <c r="E82" s="41" t="s">
        <v>990</v>
      </c>
      <c r="F82" s="38"/>
      <c r="G82" s="38"/>
      <c r="H82" s="38"/>
      <c r="I82" s="38"/>
      <c r="J82" s="38"/>
      <c r="K82" s="38"/>
      <c r="L82" s="38"/>
      <c r="M82" s="38"/>
      <c r="N82" s="38"/>
      <c r="O82" s="38"/>
      <c r="P82" s="38"/>
      <c r="Q82" s="38"/>
      <c r="R82" s="38"/>
      <c r="S82" s="38"/>
      <c r="T82" s="38"/>
      <c r="U82" s="38"/>
      <c r="V82" s="38"/>
      <c r="W82" s="38"/>
      <c r="X82" s="38"/>
      <c r="Y82" s="38"/>
      <c r="Z82" s="38"/>
    </row>
    <row r="83" spans="1:26" ht="29.45" thickBot="1">
      <c r="A83" s="42">
        <v>81</v>
      </c>
      <c r="B83" s="40" t="s">
        <v>137</v>
      </c>
      <c r="C83" s="40" t="s">
        <v>822</v>
      </c>
      <c r="D83" s="40" t="s">
        <v>991</v>
      </c>
      <c r="E83" s="40" t="s">
        <v>992</v>
      </c>
      <c r="F83" s="38"/>
      <c r="G83" s="38"/>
      <c r="H83" s="38"/>
      <c r="I83" s="38"/>
      <c r="J83" s="38"/>
      <c r="K83" s="38"/>
      <c r="L83" s="38"/>
      <c r="M83" s="38"/>
      <c r="N83" s="38"/>
      <c r="O83" s="38"/>
      <c r="P83" s="38"/>
      <c r="Q83" s="38"/>
      <c r="R83" s="38"/>
      <c r="S83" s="38"/>
      <c r="T83" s="38"/>
      <c r="U83" s="38"/>
      <c r="V83" s="38"/>
      <c r="W83" s="38"/>
      <c r="X83" s="38"/>
      <c r="Y83" s="38"/>
      <c r="Z83" s="38"/>
    </row>
    <row r="84" spans="1:26" ht="29.45" thickBot="1">
      <c r="A84" s="43">
        <v>82</v>
      </c>
      <c r="B84" s="41" t="s">
        <v>993</v>
      </c>
      <c r="C84" s="41" t="s">
        <v>822</v>
      </c>
      <c r="D84" s="41" t="s">
        <v>994</v>
      </c>
      <c r="E84" s="41" t="s">
        <v>995</v>
      </c>
      <c r="F84" s="38"/>
      <c r="G84" s="38"/>
      <c r="H84" s="38"/>
      <c r="I84" s="38"/>
      <c r="J84" s="38"/>
      <c r="K84" s="38"/>
      <c r="L84" s="38"/>
      <c r="M84" s="38"/>
      <c r="N84" s="38"/>
      <c r="O84" s="38"/>
      <c r="P84" s="38"/>
      <c r="Q84" s="38"/>
      <c r="R84" s="38"/>
      <c r="S84" s="38"/>
      <c r="T84" s="38"/>
      <c r="U84" s="38"/>
      <c r="V84" s="38"/>
      <c r="W84" s="38"/>
      <c r="X84" s="38"/>
      <c r="Y84" s="38"/>
      <c r="Z84" s="38"/>
    </row>
    <row r="85" spans="1:26" ht="29.45" thickBot="1">
      <c r="A85" s="42">
        <v>83</v>
      </c>
      <c r="B85" s="40" t="s">
        <v>139</v>
      </c>
      <c r="C85" s="40" t="s">
        <v>822</v>
      </c>
      <c r="D85" s="40" t="s">
        <v>996</v>
      </c>
      <c r="E85" s="40" t="s">
        <v>997</v>
      </c>
      <c r="F85" s="38"/>
      <c r="G85" s="38"/>
      <c r="H85" s="38"/>
      <c r="I85" s="38"/>
      <c r="J85" s="38"/>
      <c r="K85" s="38"/>
      <c r="L85" s="38"/>
      <c r="M85" s="38"/>
      <c r="N85" s="38"/>
      <c r="O85" s="38"/>
      <c r="P85" s="38"/>
      <c r="Q85" s="38"/>
      <c r="R85" s="38"/>
      <c r="S85" s="38"/>
      <c r="T85" s="38"/>
      <c r="U85" s="38"/>
      <c r="V85" s="38"/>
      <c r="W85" s="38"/>
      <c r="X85" s="38"/>
      <c r="Y85" s="38"/>
      <c r="Z85" s="38"/>
    </row>
    <row r="86" spans="1:26" ht="29.45" thickBot="1">
      <c r="A86" s="43">
        <v>84</v>
      </c>
      <c r="B86" s="41" t="s">
        <v>140</v>
      </c>
      <c r="C86" s="41" t="s">
        <v>822</v>
      </c>
      <c r="D86" s="41" t="s">
        <v>998</v>
      </c>
      <c r="E86" s="41" t="s">
        <v>999</v>
      </c>
      <c r="F86" s="38"/>
      <c r="G86" s="38"/>
      <c r="H86" s="38"/>
      <c r="I86" s="38"/>
      <c r="J86" s="38"/>
      <c r="K86" s="38"/>
      <c r="L86" s="38"/>
      <c r="M86" s="38"/>
      <c r="N86" s="38"/>
      <c r="O86" s="38"/>
      <c r="P86" s="38"/>
      <c r="Q86" s="38"/>
      <c r="R86" s="38"/>
      <c r="S86" s="38"/>
      <c r="T86" s="38"/>
      <c r="U86" s="38"/>
      <c r="V86" s="38"/>
      <c r="W86" s="38"/>
      <c r="X86" s="38"/>
      <c r="Y86" s="38"/>
      <c r="Z86" s="38"/>
    </row>
    <row r="87" spans="1:26" ht="29.45" thickBot="1">
      <c r="A87" s="42">
        <v>85</v>
      </c>
      <c r="B87" s="40" t="s">
        <v>141</v>
      </c>
      <c r="C87" s="40" t="s">
        <v>822</v>
      </c>
      <c r="D87" s="40" t="s">
        <v>1000</v>
      </c>
      <c r="E87" s="40" t="s">
        <v>1001</v>
      </c>
      <c r="F87" s="38"/>
      <c r="G87" s="38"/>
      <c r="H87" s="38"/>
      <c r="I87" s="38"/>
      <c r="J87" s="38"/>
      <c r="K87" s="38"/>
      <c r="L87" s="38"/>
      <c r="M87" s="38"/>
      <c r="N87" s="38"/>
      <c r="O87" s="38"/>
      <c r="P87" s="38"/>
      <c r="Q87" s="38"/>
      <c r="R87" s="38"/>
      <c r="S87" s="38"/>
      <c r="T87" s="38"/>
      <c r="U87" s="38"/>
      <c r="V87" s="38"/>
      <c r="W87" s="38"/>
      <c r="X87" s="38"/>
      <c r="Y87" s="38"/>
      <c r="Z87" s="38"/>
    </row>
    <row r="88" spans="1:26" ht="29.45" thickBot="1">
      <c r="A88" s="43">
        <v>86</v>
      </c>
      <c r="B88" s="41" t="s">
        <v>142</v>
      </c>
      <c r="C88" s="41" t="s">
        <v>835</v>
      </c>
      <c r="D88" s="41" t="s">
        <v>1002</v>
      </c>
      <c r="E88" s="41" t="s">
        <v>1003</v>
      </c>
      <c r="F88" s="38"/>
      <c r="G88" s="38"/>
      <c r="H88" s="38"/>
      <c r="I88" s="38"/>
      <c r="J88" s="38"/>
      <c r="K88" s="38"/>
      <c r="L88" s="38"/>
      <c r="M88" s="38"/>
      <c r="N88" s="38"/>
      <c r="O88" s="38"/>
      <c r="P88" s="38"/>
      <c r="Q88" s="38"/>
      <c r="R88" s="38"/>
      <c r="S88" s="38"/>
      <c r="T88" s="38"/>
      <c r="U88" s="38"/>
      <c r="V88" s="38"/>
      <c r="W88" s="38"/>
      <c r="X88" s="38"/>
      <c r="Y88" s="38"/>
      <c r="Z88" s="38"/>
    </row>
    <row r="89" spans="1:26" ht="29.45" thickBot="1">
      <c r="A89" s="42">
        <v>87</v>
      </c>
      <c r="B89" s="40" t="s">
        <v>143</v>
      </c>
      <c r="C89" s="40" t="s">
        <v>822</v>
      </c>
      <c r="D89" s="40" t="s">
        <v>1004</v>
      </c>
      <c r="E89" s="40" t="s">
        <v>1005</v>
      </c>
      <c r="F89" s="38"/>
      <c r="G89" s="38"/>
      <c r="H89" s="38"/>
      <c r="I89" s="38"/>
      <c r="J89" s="38"/>
      <c r="K89" s="38"/>
      <c r="L89" s="38"/>
      <c r="M89" s="38"/>
      <c r="N89" s="38"/>
      <c r="O89" s="38"/>
      <c r="P89" s="38"/>
      <c r="Q89" s="38"/>
      <c r="R89" s="38"/>
      <c r="S89" s="38"/>
      <c r="T89" s="38"/>
      <c r="U89" s="38"/>
      <c r="V89" s="38"/>
      <c r="W89" s="38"/>
      <c r="X89" s="38"/>
      <c r="Y89" s="38"/>
      <c r="Z89" s="38"/>
    </row>
    <row r="90" spans="1:26" ht="29.45" thickBot="1">
      <c r="A90" s="43">
        <v>88</v>
      </c>
      <c r="B90" s="41" t="s">
        <v>1006</v>
      </c>
      <c r="C90" s="41" t="s">
        <v>822</v>
      </c>
      <c r="D90" s="41" t="s">
        <v>1007</v>
      </c>
      <c r="E90" s="41" t="s">
        <v>1008</v>
      </c>
      <c r="F90" s="38"/>
      <c r="G90" s="38"/>
      <c r="H90" s="38"/>
      <c r="I90" s="38"/>
      <c r="J90" s="38"/>
      <c r="K90" s="38"/>
      <c r="L90" s="38"/>
      <c r="M90" s="38"/>
      <c r="N90" s="38"/>
      <c r="O90" s="38"/>
      <c r="P90" s="38"/>
      <c r="Q90" s="38"/>
      <c r="R90" s="38"/>
      <c r="S90" s="38"/>
      <c r="T90" s="38"/>
      <c r="U90" s="38"/>
      <c r="V90" s="38"/>
      <c r="W90" s="38"/>
      <c r="X90" s="38"/>
      <c r="Y90" s="38"/>
      <c r="Z90" s="38"/>
    </row>
    <row r="91" spans="1:26" ht="29.45" thickBot="1">
      <c r="A91" s="42">
        <v>89</v>
      </c>
      <c r="B91" s="40" t="s">
        <v>145</v>
      </c>
      <c r="C91" s="40" t="s">
        <v>822</v>
      </c>
      <c r="D91" s="40" t="s">
        <v>1009</v>
      </c>
      <c r="E91" s="40" t="s">
        <v>1010</v>
      </c>
      <c r="F91" s="38"/>
      <c r="G91" s="38"/>
      <c r="H91" s="38"/>
      <c r="I91" s="38"/>
      <c r="J91" s="38"/>
      <c r="K91" s="38"/>
      <c r="L91" s="38"/>
      <c r="M91" s="38"/>
      <c r="N91" s="38"/>
      <c r="O91" s="38"/>
      <c r="P91" s="38"/>
      <c r="Q91" s="38"/>
      <c r="R91" s="38"/>
      <c r="S91" s="38"/>
      <c r="T91" s="38"/>
      <c r="U91" s="38"/>
      <c r="V91" s="38"/>
      <c r="W91" s="38"/>
      <c r="X91" s="38"/>
      <c r="Y91" s="38"/>
      <c r="Z91" s="38"/>
    </row>
    <row r="92" spans="1:26" ht="29.45" thickBot="1">
      <c r="A92" s="43">
        <v>90</v>
      </c>
      <c r="B92" s="41" t="s">
        <v>146</v>
      </c>
      <c r="C92" s="41" t="s">
        <v>822</v>
      </c>
      <c r="D92" s="41" t="s">
        <v>1011</v>
      </c>
      <c r="E92" s="41" t="s">
        <v>1012</v>
      </c>
      <c r="F92" s="38"/>
      <c r="G92" s="38"/>
      <c r="H92" s="38"/>
      <c r="I92" s="38"/>
      <c r="J92" s="38"/>
      <c r="K92" s="38"/>
      <c r="L92" s="38"/>
      <c r="M92" s="38"/>
      <c r="N92" s="38"/>
      <c r="O92" s="38"/>
      <c r="P92" s="38"/>
      <c r="Q92" s="38"/>
      <c r="R92" s="38"/>
      <c r="S92" s="38"/>
      <c r="T92" s="38"/>
      <c r="U92" s="38"/>
      <c r="V92" s="38"/>
      <c r="W92" s="38"/>
      <c r="X92" s="38"/>
      <c r="Y92" s="38"/>
      <c r="Z92" s="38"/>
    </row>
    <row r="93" spans="1:26" ht="29.45" thickBot="1">
      <c r="A93" s="42">
        <v>91</v>
      </c>
      <c r="B93" s="40" t="s">
        <v>1013</v>
      </c>
      <c r="C93" s="40" t="s">
        <v>822</v>
      </c>
      <c r="D93" s="40" t="s">
        <v>1014</v>
      </c>
      <c r="E93" s="40" t="s">
        <v>1015</v>
      </c>
      <c r="F93" s="38"/>
      <c r="G93" s="38"/>
      <c r="H93" s="38"/>
      <c r="I93" s="38"/>
      <c r="J93" s="38"/>
      <c r="K93" s="38"/>
      <c r="L93" s="38"/>
      <c r="M93" s="38"/>
      <c r="N93" s="38"/>
      <c r="O93" s="38"/>
      <c r="P93" s="38"/>
      <c r="Q93" s="38"/>
      <c r="R93" s="38"/>
      <c r="S93" s="38"/>
      <c r="T93" s="38"/>
      <c r="U93" s="38"/>
      <c r="V93" s="38"/>
      <c r="W93" s="38"/>
      <c r="X93" s="38"/>
      <c r="Y93" s="38"/>
      <c r="Z93" s="38"/>
    </row>
    <row r="94" spans="1:26" ht="29.45" thickBot="1">
      <c r="A94" s="43">
        <v>92</v>
      </c>
      <c r="B94" s="41" t="s">
        <v>148</v>
      </c>
      <c r="C94" s="41" t="s">
        <v>822</v>
      </c>
      <c r="D94" s="41" t="s">
        <v>1016</v>
      </c>
      <c r="E94" s="41" t="s">
        <v>1017</v>
      </c>
      <c r="F94" s="38"/>
      <c r="G94" s="38"/>
      <c r="H94" s="38"/>
      <c r="I94" s="38"/>
      <c r="J94" s="38"/>
      <c r="K94" s="38"/>
      <c r="L94" s="38"/>
      <c r="M94" s="38"/>
      <c r="N94" s="38"/>
      <c r="O94" s="38"/>
      <c r="P94" s="38"/>
      <c r="Q94" s="38"/>
      <c r="R94" s="38"/>
      <c r="S94" s="38"/>
      <c r="T94" s="38"/>
      <c r="U94" s="38"/>
      <c r="V94" s="38"/>
      <c r="W94" s="38"/>
      <c r="X94" s="38"/>
      <c r="Y94" s="38"/>
      <c r="Z94" s="38"/>
    </row>
    <row r="95" spans="1:26" ht="29.45" thickBot="1">
      <c r="A95" s="42">
        <v>93</v>
      </c>
      <c r="B95" s="40" t="s">
        <v>149</v>
      </c>
      <c r="C95" s="40" t="s">
        <v>822</v>
      </c>
      <c r="D95" s="40" t="s">
        <v>1018</v>
      </c>
      <c r="E95" s="40" t="s">
        <v>1019</v>
      </c>
      <c r="F95" s="38"/>
      <c r="G95" s="38"/>
      <c r="H95" s="38"/>
      <c r="I95" s="38"/>
      <c r="J95" s="38"/>
      <c r="K95" s="38"/>
      <c r="L95" s="38"/>
      <c r="M95" s="38"/>
      <c r="N95" s="38"/>
      <c r="O95" s="38"/>
      <c r="P95" s="38"/>
      <c r="Q95" s="38"/>
      <c r="R95" s="38"/>
      <c r="S95" s="38"/>
      <c r="T95" s="38"/>
      <c r="U95" s="38"/>
      <c r="V95" s="38"/>
      <c r="W95" s="38"/>
      <c r="X95" s="38"/>
      <c r="Y95" s="38"/>
      <c r="Z95" s="38"/>
    </row>
    <row r="96" spans="1:26" ht="29.45" thickBot="1">
      <c r="A96" s="43">
        <v>94</v>
      </c>
      <c r="B96" s="41" t="s">
        <v>150</v>
      </c>
      <c r="C96" s="41" t="s">
        <v>822</v>
      </c>
      <c r="D96" s="41" t="s">
        <v>1020</v>
      </c>
      <c r="E96" s="41" t="s">
        <v>1021</v>
      </c>
      <c r="F96" s="38"/>
      <c r="G96" s="38"/>
      <c r="H96" s="38"/>
      <c r="I96" s="38"/>
      <c r="J96" s="38"/>
      <c r="K96" s="38"/>
      <c r="L96" s="38"/>
      <c r="M96" s="38"/>
      <c r="N96" s="38"/>
      <c r="O96" s="38"/>
      <c r="P96" s="38"/>
      <c r="Q96" s="38"/>
      <c r="R96" s="38"/>
      <c r="S96" s="38"/>
      <c r="T96" s="38"/>
      <c r="U96" s="38"/>
      <c r="V96" s="38"/>
      <c r="W96" s="38"/>
      <c r="X96" s="38"/>
      <c r="Y96" s="38"/>
      <c r="Z96" s="38"/>
    </row>
    <row r="97" spans="1:26" ht="29.45" thickBot="1">
      <c r="A97" s="42">
        <v>95</v>
      </c>
      <c r="B97" s="40" t="s">
        <v>151</v>
      </c>
      <c r="C97" s="40" t="s">
        <v>835</v>
      </c>
      <c r="D97" s="40" t="s">
        <v>1022</v>
      </c>
      <c r="E97" s="40" t="s">
        <v>1023</v>
      </c>
      <c r="F97" s="38"/>
      <c r="G97" s="38"/>
      <c r="H97" s="38"/>
      <c r="I97" s="38"/>
      <c r="J97" s="38"/>
      <c r="K97" s="38"/>
      <c r="L97" s="38"/>
      <c r="M97" s="38"/>
      <c r="N97" s="38"/>
      <c r="O97" s="38"/>
      <c r="P97" s="38"/>
      <c r="Q97" s="38"/>
      <c r="R97" s="38"/>
      <c r="S97" s="38"/>
      <c r="T97" s="38"/>
      <c r="U97" s="38"/>
      <c r="V97" s="38"/>
      <c r="W97" s="38"/>
      <c r="X97" s="38"/>
      <c r="Y97" s="38"/>
      <c r="Z97" s="38"/>
    </row>
    <row r="98" spans="1:26" ht="29.45" thickBot="1">
      <c r="A98" s="43">
        <v>96</v>
      </c>
      <c r="B98" s="41" t="s">
        <v>152</v>
      </c>
      <c r="C98" s="41" t="s">
        <v>822</v>
      </c>
      <c r="D98" s="41" t="s">
        <v>1024</v>
      </c>
      <c r="E98" s="41" t="s">
        <v>1025</v>
      </c>
      <c r="F98" s="38"/>
      <c r="G98" s="38"/>
      <c r="H98" s="38"/>
      <c r="I98" s="38"/>
      <c r="J98" s="38"/>
      <c r="K98" s="38"/>
      <c r="L98" s="38"/>
      <c r="M98" s="38"/>
      <c r="N98" s="38"/>
      <c r="O98" s="38"/>
      <c r="P98" s="38"/>
      <c r="Q98" s="38"/>
      <c r="R98" s="38"/>
      <c r="S98" s="38"/>
      <c r="T98" s="38"/>
      <c r="U98" s="38"/>
      <c r="V98" s="38"/>
      <c r="W98" s="38"/>
      <c r="X98" s="38"/>
      <c r="Y98" s="38"/>
      <c r="Z98" s="38"/>
    </row>
    <row r="99" spans="1:26" ht="29.45" thickBot="1">
      <c r="A99" s="42">
        <v>97</v>
      </c>
      <c r="B99" s="40" t="s">
        <v>1026</v>
      </c>
      <c r="C99" s="40" t="s">
        <v>822</v>
      </c>
      <c r="D99" s="40" t="s">
        <v>1027</v>
      </c>
      <c r="E99" s="40" t="s">
        <v>1028</v>
      </c>
      <c r="F99" s="38"/>
      <c r="G99" s="38"/>
      <c r="H99" s="38"/>
      <c r="I99" s="38"/>
      <c r="J99" s="38"/>
      <c r="K99" s="38"/>
      <c r="L99" s="38"/>
      <c r="M99" s="38"/>
      <c r="N99" s="38"/>
      <c r="O99" s="38"/>
      <c r="P99" s="38"/>
      <c r="Q99" s="38"/>
      <c r="R99" s="38"/>
      <c r="S99" s="38"/>
      <c r="T99" s="38"/>
      <c r="U99" s="38"/>
      <c r="V99" s="38"/>
      <c r="W99" s="38"/>
      <c r="X99" s="38"/>
      <c r="Y99" s="38"/>
      <c r="Z99" s="38"/>
    </row>
    <row r="100" spans="1:26" ht="29.45" thickBot="1">
      <c r="A100" s="43">
        <v>98</v>
      </c>
      <c r="B100" s="41" t="s">
        <v>154</v>
      </c>
      <c r="C100" s="41" t="s">
        <v>822</v>
      </c>
      <c r="D100" s="41" t="s">
        <v>1029</v>
      </c>
      <c r="E100" s="41" t="s">
        <v>1030</v>
      </c>
      <c r="F100" s="38"/>
      <c r="G100" s="38"/>
      <c r="H100" s="38"/>
      <c r="I100" s="38"/>
      <c r="J100" s="38"/>
      <c r="K100" s="38"/>
      <c r="L100" s="38"/>
      <c r="M100" s="38"/>
      <c r="N100" s="38"/>
      <c r="O100" s="38"/>
      <c r="P100" s="38"/>
      <c r="Q100" s="38"/>
      <c r="R100" s="38"/>
      <c r="S100" s="38"/>
      <c r="T100" s="38"/>
      <c r="U100" s="38"/>
      <c r="V100" s="38"/>
      <c r="W100" s="38"/>
      <c r="X100" s="38"/>
      <c r="Y100" s="38"/>
      <c r="Z100" s="38"/>
    </row>
    <row r="101" spans="1:26" ht="29.45" thickBot="1">
      <c r="A101" s="42">
        <v>99</v>
      </c>
      <c r="B101" s="40" t="s">
        <v>155</v>
      </c>
      <c r="C101" s="40" t="s">
        <v>822</v>
      </c>
      <c r="D101" s="40" t="s">
        <v>1031</v>
      </c>
      <c r="E101" s="40" t="s">
        <v>1032</v>
      </c>
      <c r="F101" s="38"/>
      <c r="G101" s="38"/>
      <c r="H101" s="38"/>
      <c r="I101" s="38"/>
      <c r="J101" s="38"/>
      <c r="K101" s="38"/>
      <c r="L101" s="38"/>
      <c r="M101" s="38"/>
      <c r="N101" s="38"/>
      <c r="O101" s="38"/>
      <c r="P101" s="38"/>
      <c r="Q101" s="38"/>
      <c r="R101" s="38"/>
      <c r="S101" s="38"/>
      <c r="T101" s="38"/>
      <c r="U101" s="38"/>
      <c r="V101" s="38"/>
      <c r="W101" s="38"/>
      <c r="X101" s="38"/>
      <c r="Y101" s="38"/>
      <c r="Z101" s="38"/>
    </row>
    <row r="102" spans="1:26" ht="29.45" thickBot="1">
      <c r="A102" s="43">
        <v>100</v>
      </c>
      <c r="B102" s="41" t="s">
        <v>156</v>
      </c>
      <c r="C102" s="41" t="s">
        <v>822</v>
      </c>
      <c r="D102" s="41" t="s">
        <v>1033</v>
      </c>
      <c r="E102" s="41" t="s">
        <v>1034</v>
      </c>
      <c r="F102" s="38"/>
      <c r="G102" s="38"/>
      <c r="H102" s="38"/>
      <c r="I102" s="38"/>
      <c r="J102" s="38"/>
      <c r="K102" s="38"/>
      <c r="L102" s="38"/>
      <c r="M102" s="38"/>
      <c r="N102" s="38"/>
      <c r="O102" s="38"/>
      <c r="P102" s="38"/>
      <c r="Q102" s="38"/>
      <c r="R102" s="38"/>
      <c r="S102" s="38"/>
      <c r="T102" s="38"/>
      <c r="U102" s="38"/>
      <c r="V102" s="38"/>
      <c r="W102" s="38"/>
      <c r="X102" s="38"/>
      <c r="Y102" s="38"/>
      <c r="Z102" s="38"/>
    </row>
    <row r="103" spans="1:26" ht="29.45" thickBot="1">
      <c r="A103" s="42">
        <v>101</v>
      </c>
      <c r="B103" s="40" t="s">
        <v>157</v>
      </c>
      <c r="C103" s="40" t="s">
        <v>822</v>
      </c>
      <c r="D103" s="40" t="s">
        <v>1035</v>
      </c>
      <c r="E103" s="40" t="s">
        <v>1036</v>
      </c>
      <c r="F103" s="38"/>
      <c r="G103" s="38"/>
      <c r="H103" s="38"/>
      <c r="I103" s="38"/>
      <c r="J103" s="38"/>
      <c r="K103" s="38"/>
      <c r="L103" s="38"/>
      <c r="M103" s="38"/>
      <c r="N103" s="38"/>
      <c r="O103" s="38"/>
      <c r="P103" s="38"/>
      <c r="Q103" s="38"/>
      <c r="R103" s="38"/>
      <c r="S103" s="38"/>
      <c r="T103" s="38"/>
      <c r="U103" s="38"/>
      <c r="V103" s="38"/>
      <c r="W103" s="38"/>
      <c r="X103" s="38"/>
      <c r="Y103" s="38"/>
      <c r="Z103" s="38"/>
    </row>
    <row r="104" spans="1:26" ht="29.45" thickBot="1">
      <c r="A104" s="43">
        <v>102</v>
      </c>
      <c r="B104" s="41" t="s">
        <v>158</v>
      </c>
      <c r="C104" s="41" t="s">
        <v>822</v>
      </c>
      <c r="D104" s="41" t="s">
        <v>1037</v>
      </c>
      <c r="E104" s="41" t="s">
        <v>1038</v>
      </c>
      <c r="F104" s="38"/>
      <c r="G104" s="38"/>
      <c r="H104" s="38"/>
      <c r="I104" s="38"/>
      <c r="J104" s="38"/>
      <c r="K104" s="38"/>
      <c r="L104" s="38"/>
      <c r="M104" s="38"/>
      <c r="N104" s="38"/>
      <c r="O104" s="38"/>
      <c r="P104" s="38"/>
      <c r="Q104" s="38"/>
      <c r="R104" s="38"/>
      <c r="S104" s="38"/>
      <c r="T104" s="38"/>
      <c r="U104" s="38"/>
      <c r="V104" s="38"/>
      <c r="W104" s="38"/>
      <c r="X104" s="38"/>
      <c r="Y104" s="38"/>
      <c r="Z104" s="38"/>
    </row>
    <row r="105" spans="1:26" ht="29.45" thickBot="1">
      <c r="A105" s="42">
        <v>103</v>
      </c>
      <c r="B105" s="40" t="s">
        <v>159</v>
      </c>
      <c r="C105" s="40" t="s">
        <v>835</v>
      </c>
      <c r="D105" s="40" t="s">
        <v>1039</v>
      </c>
      <c r="E105" s="40" t="s">
        <v>1040</v>
      </c>
      <c r="F105" s="38"/>
      <c r="G105" s="38"/>
      <c r="H105" s="38"/>
      <c r="I105" s="38"/>
      <c r="J105" s="38"/>
      <c r="K105" s="38"/>
      <c r="L105" s="38"/>
      <c r="M105" s="38"/>
      <c r="N105" s="38"/>
      <c r="O105" s="38"/>
      <c r="P105" s="38"/>
      <c r="Q105" s="38"/>
      <c r="R105" s="38"/>
      <c r="S105" s="38"/>
      <c r="T105" s="38"/>
      <c r="U105" s="38"/>
      <c r="V105" s="38"/>
      <c r="W105" s="38"/>
      <c r="X105" s="38"/>
      <c r="Y105" s="38"/>
      <c r="Z105" s="38"/>
    </row>
    <row r="106" spans="1:26" ht="29.45" thickBot="1">
      <c r="A106" s="43">
        <v>104</v>
      </c>
      <c r="B106" s="41" t="s">
        <v>160</v>
      </c>
      <c r="C106" s="41" t="s">
        <v>822</v>
      </c>
      <c r="D106" s="41" t="s">
        <v>1041</v>
      </c>
      <c r="E106" s="41" t="s">
        <v>1042</v>
      </c>
      <c r="F106" s="38"/>
      <c r="G106" s="38"/>
      <c r="H106" s="38"/>
      <c r="I106" s="38"/>
      <c r="J106" s="38"/>
      <c r="K106" s="38"/>
      <c r="L106" s="38"/>
      <c r="M106" s="38"/>
      <c r="N106" s="38"/>
      <c r="O106" s="38"/>
      <c r="P106" s="38"/>
      <c r="Q106" s="38"/>
      <c r="R106" s="38"/>
      <c r="S106" s="38"/>
      <c r="T106" s="38"/>
      <c r="U106" s="38"/>
      <c r="V106" s="38"/>
      <c r="W106" s="38"/>
      <c r="X106" s="38"/>
      <c r="Y106" s="38"/>
      <c r="Z106" s="38"/>
    </row>
    <row r="107" spans="1:26" ht="29.45" thickBot="1">
      <c r="A107" s="42">
        <v>105</v>
      </c>
      <c r="B107" s="40" t="s">
        <v>1043</v>
      </c>
      <c r="C107" s="40" t="s">
        <v>822</v>
      </c>
      <c r="D107" s="40" t="s">
        <v>1044</v>
      </c>
      <c r="E107" s="40" t="s">
        <v>1045</v>
      </c>
      <c r="F107" s="38"/>
      <c r="G107" s="38"/>
      <c r="H107" s="38"/>
      <c r="I107" s="38"/>
      <c r="J107" s="38"/>
      <c r="K107" s="38"/>
      <c r="L107" s="38"/>
      <c r="M107" s="38"/>
      <c r="N107" s="38"/>
      <c r="O107" s="38"/>
      <c r="P107" s="38"/>
      <c r="Q107" s="38"/>
      <c r="R107" s="38"/>
      <c r="S107" s="38"/>
      <c r="T107" s="38"/>
      <c r="U107" s="38"/>
      <c r="V107" s="38"/>
      <c r="W107" s="38"/>
      <c r="X107" s="38"/>
      <c r="Y107" s="38"/>
      <c r="Z107" s="38"/>
    </row>
    <row r="108" spans="1:26" ht="29.45" thickBot="1">
      <c r="A108" s="43">
        <v>106</v>
      </c>
      <c r="B108" s="41" t="s">
        <v>162</v>
      </c>
      <c r="C108" s="41" t="s">
        <v>822</v>
      </c>
      <c r="D108" s="41" t="s">
        <v>1046</v>
      </c>
      <c r="E108" s="41" t="s">
        <v>1047</v>
      </c>
      <c r="F108" s="38"/>
      <c r="G108" s="38"/>
      <c r="H108" s="38"/>
      <c r="I108" s="38"/>
      <c r="J108" s="38"/>
      <c r="K108" s="38"/>
      <c r="L108" s="38"/>
      <c r="M108" s="38"/>
      <c r="N108" s="38"/>
      <c r="O108" s="38"/>
      <c r="P108" s="38"/>
      <c r="Q108" s="38"/>
      <c r="R108" s="38"/>
      <c r="S108" s="38"/>
      <c r="T108" s="38"/>
      <c r="U108" s="38"/>
      <c r="V108" s="38"/>
      <c r="W108" s="38"/>
      <c r="X108" s="38"/>
      <c r="Y108" s="38"/>
      <c r="Z108" s="38"/>
    </row>
    <row r="109" spans="1:26" ht="29.45" thickBot="1">
      <c r="A109" s="42">
        <v>107</v>
      </c>
      <c r="B109" s="40" t="s">
        <v>163</v>
      </c>
      <c r="C109" s="40" t="s">
        <v>822</v>
      </c>
      <c r="D109" s="40" t="s">
        <v>1048</v>
      </c>
      <c r="E109" s="40" t="s">
        <v>1049</v>
      </c>
      <c r="F109" s="38"/>
      <c r="G109" s="38"/>
      <c r="H109" s="38"/>
      <c r="I109" s="38"/>
      <c r="J109" s="38"/>
      <c r="K109" s="38"/>
      <c r="L109" s="38"/>
      <c r="M109" s="38"/>
      <c r="N109" s="38"/>
      <c r="O109" s="38"/>
      <c r="P109" s="38"/>
      <c r="Q109" s="38"/>
      <c r="R109" s="38"/>
      <c r="S109" s="38"/>
      <c r="T109" s="38"/>
      <c r="U109" s="38"/>
      <c r="V109" s="38"/>
      <c r="W109" s="38"/>
      <c r="X109" s="38"/>
      <c r="Y109" s="38"/>
      <c r="Z109" s="38"/>
    </row>
    <row r="110" spans="1:26" ht="43.9" thickBot="1">
      <c r="A110" s="43">
        <v>108</v>
      </c>
      <c r="B110" s="41" t="s">
        <v>164</v>
      </c>
      <c r="C110" s="41" t="s">
        <v>835</v>
      </c>
      <c r="D110" s="41" t="s">
        <v>1050</v>
      </c>
      <c r="E110" s="41" t="s">
        <v>1051</v>
      </c>
      <c r="F110" s="38"/>
      <c r="G110" s="38"/>
      <c r="H110" s="38"/>
      <c r="I110" s="38"/>
      <c r="J110" s="38"/>
      <c r="K110" s="38"/>
      <c r="L110" s="38"/>
      <c r="M110" s="38"/>
      <c r="N110" s="38"/>
      <c r="O110" s="38"/>
      <c r="P110" s="38"/>
      <c r="Q110" s="38"/>
      <c r="R110" s="38"/>
      <c r="S110" s="38"/>
      <c r="T110" s="38"/>
      <c r="U110" s="38"/>
      <c r="V110" s="38"/>
      <c r="W110" s="38"/>
      <c r="X110" s="38"/>
      <c r="Y110" s="38"/>
      <c r="Z110" s="38"/>
    </row>
    <row r="111" spans="1:26" ht="29.45" thickBot="1">
      <c r="A111" s="42">
        <v>109</v>
      </c>
      <c r="B111" s="40" t="s">
        <v>165</v>
      </c>
      <c r="C111" s="40" t="s">
        <v>835</v>
      </c>
      <c r="D111" s="40" t="s">
        <v>1052</v>
      </c>
      <c r="E111" s="40" t="s">
        <v>849</v>
      </c>
      <c r="F111" s="38"/>
      <c r="G111" s="38"/>
      <c r="H111" s="38"/>
      <c r="I111" s="38"/>
      <c r="J111" s="38"/>
      <c r="K111" s="38"/>
      <c r="L111" s="38"/>
      <c r="M111" s="38"/>
      <c r="N111" s="38"/>
      <c r="O111" s="38"/>
      <c r="P111" s="38"/>
      <c r="Q111" s="38"/>
      <c r="R111" s="38"/>
      <c r="S111" s="38"/>
      <c r="T111" s="38"/>
      <c r="U111" s="38"/>
      <c r="V111" s="38"/>
      <c r="W111" s="38"/>
      <c r="X111" s="38"/>
      <c r="Y111" s="38"/>
      <c r="Z111" s="38"/>
    </row>
    <row r="112" spans="1:26" ht="29.45" thickBot="1">
      <c r="A112" s="43">
        <v>110</v>
      </c>
      <c r="B112" s="41" t="s">
        <v>166</v>
      </c>
      <c r="C112" s="41" t="s">
        <v>822</v>
      </c>
      <c r="D112" s="41" t="s">
        <v>1053</v>
      </c>
      <c r="E112" s="41" t="s">
        <v>1054</v>
      </c>
      <c r="F112" s="38"/>
      <c r="G112" s="38"/>
      <c r="H112" s="38"/>
      <c r="I112" s="38"/>
      <c r="J112" s="38"/>
      <c r="K112" s="38"/>
      <c r="L112" s="38"/>
      <c r="M112" s="38"/>
      <c r="N112" s="38"/>
      <c r="O112" s="38"/>
      <c r="P112" s="38"/>
      <c r="Q112" s="38"/>
      <c r="R112" s="38"/>
      <c r="S112" s="38"/>
      <c r="T112" s="38"/>
      <c r="U112" s="38"/>
      <c r="V112" s="38"/>
      <c r="W112" s="38"/>
      <c r="X112" s="38"/>
      <c r="Y112" s="38"/>
      <c r="Z112" s="38"/>
    </row>
    <row r="113" spans="1:26" ht="29.45" thickBot="1">
      <c r="A113" s="42">
        <v>111</v>
      </c>
      <c r="B113" s="40" t="s">
        <v>167</v>
      </c>
      <c r="C113" s="40" t="s">
        <v>822</v>
      </c>
      <c r="D113" s="40" t="s">
        <v>1055</v>
      </c>
      <c r="E113" s="40" t="s">
        <v>1056</v>
      </c>
      <c r="F113" s="38"/>
      <c r="G113" s="38"/>
      <c r="H113" s="38"/>
      <c r="I113" s="38"/>
      <c r="J113" s="38"/>
      <c r="K113" s="38"/>
      <c r="L113" s="38"/>
      <c r="M113" s="38"/>
      <c r="N113" s="38"/>
      <c r="O113" s="38"/>
      <c r="P113" s="38"/>
      <c r="Q113" s="38"/>
      <c r="R113" s="38"/>
      <c r="S113" s="38"/>
      <c r="T113" s="38"/>
      <c r="U113" s="38"/>
      <c r="V113" s="38"/>
      <c r="W113" s="38"/>
      <c r="X113" s="38"/>
      <c r="Y113" s="38"/>
      <c r="Z113" s="38"/>
    </row>
    <row r="114" spans="1:26" ht="15" thickBot="1">
      <c r="A114" s="43">
        <v>112</v>
      </c>
      <c r="B114" s="41" t="s">
        <v>1057</v>
      </c>
      <c r="C114" s="41" t="s">
        <v>1058</v>
      </c>
      <c r="D114" s="41" t="s">
        <v>1059</v>
      </c>
      <c r="E114" s="41" t="s">
        <v>1060</v>
      </c>
      <c r="F114" s="38"/>
      <c r="G114" s="38"/>
      <c r="H114" s="38"/>
      <c r="I114" s="38"/>
      <c r="J114" s="38"/>
      <c r="K114" s="38"/>
      <c r="L114" s="38"/>
      <c r="M114" s="38"/>
      <c r="N114" s="38"/>
      <c r="O114" s="38"/>
      <c r="P114" s="38"/>
      <c r="Q114" s="38"/>
      <c r="R114" s="38"/>
      <c r="S114" s="38"/>
      <c r="T114" s="38"/>
      <c r="U114" s="38"/>
      <c r="V114" s="38"/>
      <c r="W114" s="38"/>
      <c r="X114" s="38"/>
      <c r="Y114" s="38"/>
      <c r="Z114" s="38"/>
    </row>
    <row r="115" spans="1:26" ht="29.45" thickBot="1">
      <c r="A115" s="42">
        <v>113</v>
      </c>
      <c r="B115" s="40" t="s">
        <v>677</v>
      </c>
      <c r="C115" s="40" t="s">
        <v>1058</v>
      </c>
      <c r="D115" s="40" t="s">
        <v>1061</v>
      </c>
      <c r="E115" s="40" t="s">
        <v>1062</v>
      </c>
      <c r="F115" s="38"/>
      <c r="G115" s="38"/>
      <c r="H115" s="38"/>
      <c r="I115" s="38"/>
      <c r="J115" s="38"/>
      <c r="K115" s="38"/>
      <c r="L115" s="38"/>
      <c r="M115" s="38"/>
      <c r="N115" s="38"/>
      <c r="O115" s="38"/>
      <c r="P115" s="38"/>
      <c r="Q115" s="38"/>
      <c r="R115" s="38"/>
      <c r="S115" s="38"/>
      <c r="T115" s="38"/>
      <c r="U115" s="38"/>
      <c r="V115" s="38"/>
      <c r="W115" s="38"/>
      <c r="X115" s="38"/>
      <c r="Y115" s="38"/>
      <c r="Z115" s="38"/>
    </row>
    <row r="116" spans="1:26" ht="15" thickBot="1">
      <c r="A116" s="43">
        <v>114</v>
      </c>
      <c r="B116" s="41" t="s">
        <v>1063</v>
      </c>
      <c r="C116" s="41" t="s">
        <v>1058</v>
      </c>
      <c r="D116" s="41" t="s">
        <v>1064</v>
      </c>
      <c r="E116" s="41" t="s">
        <v>1065</v>
      </c>
      <c r="F116" s="38"/>
      <c r="G116" s="38"/>
      <c r="H116" s="38"/>
      <c r="I116" s="38"/>
      <c r="J116" s="38"/>
      <c r="K116" s="38"/>
      <c r="L116" s="38"/>
      <c r="M116" s="38"/>
      <c r="N116" s="38"/>
      <c r="O116" s="38"/>
      <c r="P116" s="38"/>
      <c r="Q116" s="38"/>
      <c r="R116" s="38"/>
      <c r="S116" s="38"/>
      <c r="T116" s="38"/>
      <c r="U116" s="38"/>
      <c r="V116" s="38"/>
      <c r="W116" s="38"/>
      <c r="X116" s="38"/>
      <c r="Y116" s="38"/>
      <c r="Z116" s="38"/>
    </row>
    <row r="117" spans="1:26" ht="29.45" thickBot="1">
      <c r="A117" s="42">
        <v>115</v>
      </c>
      <c r="B117" s="40" t="s">
        <v>1066</v>
      </c>
      <c r="C117" s="40" t="s">
        <v>1058</v>
      </c>
      <c r="D117" s="40" t="s">
        <v>1067</v>
      </c>
      <c r="E117" s="40" t="s">
        <v>1068</v>
      </c>
      <c r="F117" s="38"/>
      <c r="G117" s="38"/>
      <c r="H117" s="38"/>
      <c r="I117" s="38"/>
      <c r="J117" s="38"/>
      <c r="K117" s="38"/>
      <c r="L117" s="38"/>
      <c r="M117" s="38"/>
      <c r="N117" s="38"/>
      <c r="O117" s="38"/>
      <c r="P117" s="38"/>
      <c r="Q117" s="38"/>
      <c r="R117" s="38"/>
      <c r="S117" s="38"/>
      <c r="T117" s="38"/>
      <c r="U117" s="38"/>
      <c r="V117" s="38"/>
      <c r="W117" s="38"/>
      <c r="X117" s="38"/>
      <c r="Y117" s="38"/>
      <c r="Z117" s="38"/>
    </row>
    <row r="118" spans="1:26" ht="15" thickBot="1">
      <c r="A118" s="43">
        <v>116</v>
      </c>
      <c r="B118" s="41" t="s">
        <v>649</v>
      </c>
      <c r="C118" s="41" t="s">
        <v>1058</v>
      </c>
      <c r="D118" s="41" t="s">
        <v>1069</v>
      </c>
      <c r="E118" s="41" t="s">
        <v>1070</v>
      </c>
      <c r="F118" s="38"/>
      <c r="G118" s="38"/>
      <c r="H118" s="38"/>
      <c r="I118" s="38"/>
      <c r="J118" s="38"/>
      <c r="K118" s="38"/>
      <c r="L118" s="38"/>
      <c r="M118" s="38"/>
      <c r="N118" s="38"/>
      <c r="O118" s="38"/>
      <c r="P118" s="38"/>
      <c r="Q118" s="38"/>
      <c r="R118" s="38"/>
      <c r="S118" s="38"/>
      <c r="T118" s="38"/>
      <c r="U118" s="38"/>
      <c r="V118" s="38"/>
      <c r="W118" s="38"/>
      <c r="X118" s="38"/>
      <c r="Y118" s="38"/>
      <c r="Z118" s="38"/>
    </row>
    <row r="119" spans="1:26" ht="29.45" thickBot="1">
      <c r="A119" s="42">
        <v>117</v>
      </c>
      <c r="B119" s="40" t="s">
        <v>667</v>
      </c>
      <c r="C119" s="40" t="s">
        <v>1058</v>
      </c>
      <c r="D119" s="40" t="s">
        <v>1071</v>
      </c>
      <c r="E119" s="40" t="s">
        <v>1072</v>
      </c>
      <c r="F119" s="38"/>
      <c r="G119" s="38"/>
      <c r="H119" s="38"/>
      <c r="I119" s="38"/>
      <c r="J119" s="38"/>
      <c r="K119" s="38"/>
      <c r="L119" s="38"/>
      <c r="M119" s="38"/>
      <c r="N119" s="38"/>
      <c r="O119" s="38"/>
      <c r="P119" s="38"/>
      <c r="Q119" s="38"/>
      <c r="R119" s="38"/>
      <c r="S119" s="38"/>
      <c r="T119" s="38"/>
      <c r="U119" s="38"/>
      <c r="V119" s="38"/>
      <c r="W119" s="38"/>
      <c r="X119" s="38"/>
      <c r="Y119" s="38"/>
      <c r="Z119" s="38"/>
    </row>
    <row r="120" spans="1:26" ht="15" thickBot="1">
      <c r="A120" s="43">
        <v>118</v>
      </c>
      <c r="B120" s="41" t="s">
        <v>1073</v>
      </c>
      <c r="C120" s="41" t="s">
        <v>1058</v>
      </c>
      <c r="D120" s="41" t="s">
        <v>1074</v>
      </c>
      <c r="E120" s="41" t="s">
        <v>1075</v>
      </c>
      <c r="F120" s="38"/>
      <c r="G120" s="38"/>
      <c r="H120" s="38"/>
      <c r="I120" s="38"/>
      <c r="J120" s="38"/>
      <c r="K120" s="38"/>
      <c r="L120" s="38"/>
      <c r="M120" s="38"/>
      <c r="N120" s="38"/>
      <c r="O120" s="38"/>
      <c r="P120" s="38"/>
      <c r="Q120" s="38"/>
      <c r="R120" s="38"/>
      <c r="S120" s="38"/>
      <c r="T120" s="38"/>
      <c r="U120" s="38"/>
      <c r="V120" s="38"/>
      <c r="W120" s="38"/>
      <c r="X120" s="38"/>
      <c r="Y120" s="38"/>
      <c r="Z120" s="38"/>
    </row>
    <row r="121" spans="1:26" ht="15" thickBot="1">
      <c r="A121" s="42">
        <v>119</v>
      </c>
      <c r="B121" s="40" t="s">
        <v>1076</v>
      </c>
      <c r="C121" s="40" t="s">
        <v>1058</v>
      </c>
      <c r="D121" s="40" t="s">
        <v>1077</v>
      </c>
      <c r="E121" s="40" t="s">
        <v>1078</v>
      </c>
      <c r="F121" s="38"/>
      <c r="G121" s="38"/>
      <c r="H121" s="38"/>
      <c r="I121" s="38"/>
      <c r="J121" s="38"/>
      <c r="K121" s="38"/>
      <c r="L121" s="38"/>
      <c r="M121" s="38"/>
      <c r="N121" s="38"/>
      <c r="O121" s="38"/>
      <c r="P121" s="38"/>
      <c r="Q121" s="38"/>
      <c r="R121" s="38"/>
      <c r="S121" s="38"/>
      <c r="T121" s="38"/>
      <c r="U121" s="38"/>
      <c r="V121" s="38"/>
      <c r="W121" s="38"/>
      <c r="X121" s="38"/>
      <c r="Y121" s="38"/>
      <c r="Z121" s="38"/>
    </row>
    <row r="122" spans="1:26" ht="29.45" thickBot="1">
      <c r="A122" s="43">
        <v>120</v>
      </c>
      <c r="B122" s="41" t="s">
        <v>697</v>
      </c>
      <c r="C122" s="41" t="s">
        <v>1058</v>
      </c>
      <c r="D122" s="41" t="s">
        <v>1079</v>
      </c>
      <c r="E122" s="41" t="s">
        <v>1080</v>
      </c>
      <c r="F122" s="38"/>
      <c r="G122" s="38"/>
      <c r="H122" s="38"/>
      <c r="I122" s="38"/>
      <c r="J122" s="38"/>
      <c r="K122" s="38"/>
      <c r="L122" s="38"/>
      <c r="M122" s="38"/>
      <c r="N122" s="38"/>
      <c r="O122" s="38"/>
      <c r="P122" s="38"/>
      <c r="Q122" s="38"/>
      <c r="R122" s="38"/>
      <c r="S122" s="38"/>
      <c r="T122" s="38"/>
      <c r="U122" s="38"/>
      <c r="V122" s="38"/>
      <c r="W122" s="38"/>
      <c r="X122" s="38"/>
      <c r="Y122" s="38"/>
      <c r="Z122" s="38"/>
    </row>
    <row r="123" spans="1:26" ht="15" thickBot="1">
      <c r="A123" s="42">
        <v>121</v>
      </c>
      <c r="B123" s="40" t="s">
        <v>1081</v>
      </c>
      <c r="C123" s="40" t="s">
        <v>1058</v>
      </c>
      <c r="D123" s="40" t="s">
        <v>1082</v>
      </c>
      <c r="E123" s="40" t="s">
        <v>1083</v>
      </c>
      <c r="F123" s="38"/>
      <c r="G123" s="38"/>
      <c r="H123" s="38"/>
      <c r="I123" s="38"/>
      <c r="J123" s="38"/>
      <c r="K123" s="38"/>
      <c r="L123" s="38"/>
      <c r="M123" s="38"/>
      <c r="N123" s="38"/>
      <c r="O123" s="38"/>
      <c r="P123" s="38"/>
      <c r="Q123" s="38"/>
      <c r="R123" s="38"/>
      <c r="S123" s="38"/>
      <c r="T123" s="38"/>
      <c r="U123" s="38"/>
      <c r="V123" s="38"/>
      <c r="W123" s="38"/>
      <c r="X123" s="38"/>
      <c r="Y123" s="38"/>
      <c r="Z123" s="38"/>
    </row>
    <row r="124" spans="1:26" ht="29.45" thickBot="1">
      <c r="A124" s="43">
        <v>122</v>
      </c>
      <c r="B124" s="41" t="s">
        <v>512</v>
      </c>
      <c r="C124" s="41" t="s">
        <v>1084</v>
      </c>
      <c r="D124" s="41" t="s">
        <v>1085</v>
      </c>
      <c r="E124" s="41" t="s">
        <v>1086</v>
      </c>
      <c r="F124" s="38"/>
      <c r="G124" s="38"/>
      <c r="H124" s="38"/>
      <c r="I124" s="38"/>
      <c r="J124" s="38"/>
      <c r="K124" s="38"/>
      <c r="L124" s="38"/>
      <c r="M124" s="38"/>
      <c r="N124" s="38"/>
      <c r="O124" s="38"/>
      <c r="P124" s="38"/>
      <c r="Q124" s="38"/>
      <c r="R124" s="38"/>
      <c r="S124" s="38"/>
      <c r="T124" s="38"/>
      <c r="U124" s="38"/>
      <c r="V124" s="38"/>
      <c r="W124" s="38"/>
      <c r="X124" s="38"/>
      <c r="Y124" s="38"/>
      <c r="Z124" s="38"/>
    </row>
    <row r="125" spans="1:26" ht="29.45" thickBot="1">
      <c r="A125" s="42">
        <v>123</v>
      </c>
      <c r="B125" s="40" t="s">
        <v>513</v>
      </c>
      <c r="C125" s="40" t="s">
        <v>1084</v>
      </c>
      <c r="D125" s="40" t="s">
        <v>1087</v>
      </c>
      <c r="E125" s="40" t="s">
        <v>1088</v>
      </c>
      <c r="F125" s="38"/>
      <c r="G125" s="38"/>
      <c r="H125" s="38"/>
      <c r="I125" s="38"/>
      <c r="J125" s="38"/>
      <c r="K125" s="38"/>
      <c r="L125" s="38"/>
      <c r="M125" s="38"/>
      <c r="N125" s="38"/>
      <c r="O125" s="38"/>
      <c r="P125" s="38"/>
      <c r="Q125" s="38"/>
      <c r="R125" s="38"/>
      <c r="S125" s="38"/>
      <c r="T125" s="38"/>
      <c r="U125" s="38"/>
      <c r="V125" s="38"/>
      <c r="W125" s="38"/>
      <c r="X125" s="38"/>
      <c r="Y125" s="38"/>
      <c r="Z125" s="38"/>
    </row>
    <row r="126" spans="1:26" ht="29.45" thickBot="1">
      <c r="A126" s="43">
        <v>124</v>
      </c>
      <c r="B126" s="41" t="s">
        <v>587</v>
      </c>
      <c r="C126" s="41" t="s">
        <v>1084</v>
      </c>
      <c r="D126" s="41" t="s">
        <v>1089</v>
      </c>
      <c r="E126" s="41" t="s">
        <v>1088</v>
      </c>
      <c r="F126" s="38"/>
      <c r="G126" s="38"/>
      <c r="H126" s="38"/>
      <c r="I126" s="38"/>
      <c r="J126" s="38"/>
      <c r="K126" s="38"/>
      <c r="L126" s="38"/>
      <c r="M126" s="38"/>
      <c r="N126" s="38"/>
      <c r="O126" s="38"/>
      <c r="P126" s="38"/>
      <c r="Q126" s="38"/>
      <c r="R126" s="38"/>
      <c r="S126" s="38"/>
      <c r="T126" s="38"/>
      <c r="U126" s="38"/>
      <c r="V126" s="38"/>
      <c r="W126" s="38"/>
      <c r="X126" s="38"/>
      <c r="Y126" s="38"/>
      <c r="Z126" s="38"/>
    </row>
    <row r="127" spans="1:26" ht="29.45" thickBot="1">
      <c r="A127" s="42">
        <v>125</v>
      </c>
      <c r="B127" s="40" t="s">
        <v>582</v>
      </c>
      <c r="C127" s="40" t="s">
        <v>1084</v>
      </c>
      <c r="D127" s="40" t="s">
        <v>1090</v>
      </c>
      <c r="E127" s="40" t="s">
        <v>1086</v>
      </c>
      <c r="F127" s="38"/>
      <c r="G127" s="38"/>
      <c r="H127" s="38"/>
      <c r="I127" s="38"/>
      <c r="J127" s="38"/>
      <c r="K127" s="38"/>
      <c r="L127" s="38"/>
      <c r="M127" s="38"/>
      <c r="N127" s="38"/>
      <c r="O127" s="38"/>
      <c r="P127" s="38"/>
      <c r="Q127" s="38"/>
      <c r="R127" s="38"/>
      <c r="S127" s="38"/>
      <c r="T127" s="38"/>
      <c r="U127" s="38"/>
      <c r="V127" s="38"/>
      <c r="W127" s="38"/>
      <c r="X127" s="38"/>
      <c r="Y127" s="38"/>
      <c r="Z127" s="38"/>
    </row>
    <row r="128" spans="1:26" ht="29.45" thickBot="1">
      <c r="A128" s="43">
        <v>126</v>
      </c>
      <c r="B128" s="41" t="s">
        <v>595</v>
      </c>
      <c r="C128" s="41" t="s">
        <v>1084</v>
      </c>
      <c r="D128" s="41" t="s">
        <v>1091</v>
      </c>
      <c r="E128" s="41" t="s">
        <v>1092</v>
      </c>
      <c r="F128" s="38"/>
      <c r="G128" s="38"/>
      <c r="H128" s="38"/>
      <c r="I128" s="38"/>
      <c r="J128" s="38"/>
      <c r="K128" s="38"/>
      <c r="L128" s="38"/>
      <c r="M128" s="38"/>
      <c r="N128" s="38"/>
      <c r="O128" s="38"/>
      <c r="P128" s="38"/>
      <c r="Q128" s="38"/>
      <c r="R128" s="38"/>
      <c r="S128" s="38"/>
      <c r="T128" s="38"/>
      <c r="U128" s="38"/>
      <c r="V128" s="38"/>
      <c r="W128" s="38"/>
      <c r="X128" s="38"/>
      <c r="Y128" s="38"/>
      <c r="Z128" s="38"/>
    </row>
    <row r="129" spans="1:26" ht="29.45" thickBot="1">
      <c r="A129" s="42">
        <v>127</v>
      </c>
      <c r="B129" s="40" t="s">
        <v>495</v>
      </c>
      <c r="C129" s="40" t="s">
        <v>1084</v>
      </c>
      <c r="D129" s="40" t="s">
        <v>1093</v>
      </c>
      <c r="E129" s="40" t="s">
        <v>1094</v>
      </c>
      <c r="F129" s="38"/>
      <c r="G129" s="38"/>
      <c r="H129" s="38"/>
      <c r="I129" s="38"/>
      <c r="J129" s="38"/>
      <c r="K129" s="38"/>
      <c r="L129" s="38"/>
      <c r="M129" s="38"/>
      <c r="N129" s="38"/>
      <c r="O129" s="38"/>
      <c r="P129" s="38"/>
      <c r="Q129" s="38"/>
      <c r="R129" s="38"/>
      <c r="S129" s="38"/>
      <c r="T129" s="38"/>
      <c r="U129" s="38"/>
      <c r="V129" s="38"/>
      <c r="W129" s="38"/>
      <c r="X129" s="38"/>
      <c r="Y129" s="38"/>
      <c r="Z129" s="38"/>
    </row>
    <row r="130" spans="1:26" ht="29.45" thickBot="1">
      <c r="A130" s="43">
        <v>128</v>
      </c>
      <c r="B130" s="41" t="s">
        <v>562</v>
      </c>
      <c r="C130" s="41" t="s">
        <v>1084</v>
      </c>
      <c r="D130" s="41" t="s">
        <v>1095</v>
      </c>
      <c r="E130" s="41" t="s">
        <v>1092</v>
      </c>
      <c r="F130" s="38"/>
      <c r="G130" s="38"/>
      <c r="H130" s="38"/>
      <c r="I130" s="38"/>
      <c r="J130" s="38"/>
      <c r="K130" s="38"/>
      <c r="L130" s="38"/>
      <c r="M130" s="38"/>
      <c r="N130" s="38"/>
      <c r="O130" s="38"/>
      <c r="P130" s="38"/>
      <c r="Q130" s="38"/>
      <c r="R130" s="38"/>
      <c r="S130" s="38"/>
      <c r="T130" s="38"/>
      <c r="U130" s="38"/>
      <c r="V130" s="38"/>
      <c r="W130" s="38"/>
      <c r="X130" s="38"/>
      <c r="Y130" s="38"/>
      <c r="Z130" s="38"/>
    </row>
    <row r="131" spans="1:26" ht="29.45" thickBot="1">
      <c r="A131" s="42">
        <v>129</v>
      </c>
      <c r="B131" s="40" t="s">
        <v>503</v>
      </c>
      <c r="C131" s="40" t="s">
        <v>1084</v>
      </c>
      <c r="D131" s="40" t="s">
        <v>1096</v>
      </c>
      <c r="E131" s="40" t="s">
        <v>1097</v>
      </c>
      <c r="F131" s="38"/>
      <c r="G131" s="38"/>
      <c r="H131" s="38"/>
      <c r="I131" s="38"/>
      <c r="J131" s="38"/>
      <c r="K131" s="38"/>
      <c r="L131" s="38"/>
      <c r="M131" s="38"/>
      <c r="N131" s="38"/>
      <c r="O131" s="38"/>
      <c r="P131" s="38"/>
      <c r="Q131" s="38"/>
      <c r="R131" s="38"/>
      <c r="S131" s="38"/>
      <c r="T131" s="38"/>
      <c r="U131" s="38"/>
      <c r="V131" s="38"/>
      <c r="W131" s="38"/>
      <c r="X131" s="38"/>
      <c r="Y131" s="38"/>
      <c r="Z131" s="38"/>
    </row>
    <row r="132" spans="1:26" ht="15" thickBot="1">
      <c r="A132" s="43">
        <v>130</v>
      </c>
      <c r="B132" s="41" t="s">
        <v>486</v>
      </c>
      <c r="C132" s="41" t="s">
        <v>12</v>
      </c>
      <c r="D132" s="41" t="s">
        <v>1098</v>
      </c>
      <c r="E132" s="41" t="s">
        <v>1099</v>
      </c>
      <c r="F132" s="38"/>
      <c r="G132" s="38"/>
      <c r="H132" s="38"/>
      <c r="I132" s="38"/>
      <c r="J132" s="38"/>
      <c r="K132" s="38"/>
      <c r="L132" s="38"/>
      <c r="M132" s="38"/>
      <c r="N132" s="38"/>
      <c r="O132" s="38"/>
      <c r="P132" s="38"/>
      <c r="Q132" s="38"/>
      <c r="R132" s="38"/>
      <c r="S132" s="38"/>
      <c r="T132" s="38"/>
      <c r="U132" s="38"/>
      <c r="V132" s="38"/>
      <c r="W132" s="38"/>
      <c r="X132" s="38"/>
      <c r="Y132" s="38"/>
      <c r="Z132" s="38"/>
    </row>
    <row r="133" spans="1:26" ht="15" thickBot="1">
      <c r="A133" s="42">
        <v>131</v>
      </c>
      <c r="B133" s="40" t="s">
        <v>504</v>
      </c>
      <c r="C133" s="40" t="s">
        <v>12</v>
      </c>
      <c r="D133" s="40" t="s">
        <v>1100</v>
      </c>
      <c r="E133" s="40" t="s">
        <v>1099</v>
      </c>
      <c r="F133" s="38"/>
      <c r="G133" s="38"/>
      <c r="H133" s="38"/>
      <c r="I133" s="38"/>
      <c r="J133" s="38"/>
      <c r="K133" s="38"/>
      <c r="L133" s="38"/>
      <c r="M133" s="38"/>
      <c r="N133" s="38"/>
      <c r="O133" s="38"/>
      <c r="P133" s="38"/>
      <c r="Q133" s="38"/>
      <c r="R133" s="38"/>
      <c r="S133" s="38"/>
      <c r="T133" s="38"/>
      <c r="U133" s="38"/>
      <c r="V133" s="38"/>
      <c r="W133" s="38"/>
      <c r="X133" s="38"/>
      <c r="Y133" s="38"/>
      <c r="Z133" s="38"/>
    </row>
    <row r="134" spans="1:26" ht="15" thickBot="1">
      <c r="A134" s="43">
        <v>132</v>
      </c>
      <c r="B134" s="41" t="s">
        <v>478</v>
      </c>
      <c r="C134" s="41" t="s">
        <v>12</v>
      </c>
      <c r="D134" s="41" t="s">
        <v>1101</v>
      </c>
      <c r="E134" s="41" t="s">
        <v>1099</v>
      </c>
      <c r="F134" s="38"/>
      <c r="G134" s="38"/>
      <c r="H134" s="38"/>
      <c r="I134" s="38"/>
      <c r="J134" s="38"/>
      <c r="K134" s="38"/>
      <c r="L134" s="38"/>
      <c r="M134" s="38"/>
      <c r="N134" s="38"/>
      <c r="O134" s="38"/>
      <c r="P134" s="38"/>
      <c r="Q134" s="38"/>
      <c r="R134" s="38"/>
      <c r="S134" s="38"/>
      <c r="T134" s="38"/>
      <c r="U134" s="38"/>
      <c r="V134" s="38"/>
      <c r="W134" s="38"/>
      <c r="X134" s="38"/>
      <c r="Y134" s="38"/>
      <c r="Z134" s="38"/>
    </row>
    <row r="135" spans="1:26" ht="15" thickBot="1">
      <c r="A135" s="42">
        <v>133</v>
      </c>
      <c r="B135" s="40" t="s">
        <v>472</v>
      </c>
      <c r="C135" s="40" t="s">
        <v>12</v>
      </c>
      <c r="D135" s="40" t="s">
        <v>1102</v>
      </c>
      <c r="E135" s="40" t="s">
        <v>1099</v>
      </c>
      <c r="F135" s="38"/>
      <c r="G135" s="38"/>
      <c r="H135" s="38"/>
      <c r="I135" s="38"/>
      <c r="J135" s="38"/>
      <c r="K135" s="38"/>
      <c r="L135" s="38"/>
      <c r="M135" s="38"/>
      <c r="N135" s="38"/>
      <c r="O135" s="38"/>
      <c r="P135" s="38"/>
      <c r="Q135" s="38"/>
      <c r="R135" s="38"/>
      <c r="S135" s="38"/>
      <c r="T135" s="38"/>
      <c r="U135" s="38"/>
      <c r="V135" s="38"/>
      <c r="W135" s="38"/>
      <c r="X135" s="38"/>
      <c r="Y135" s="38"/>
      <c r="Z135" s="38"/>
    </row>
    <row r="136" spans="1:26" ht="15" thickBot="1">
      <c r="A136" s="43">
        <v>134</v>
      </c>
      <c r="B136" s="41" t="s">
        <v>508</v>
      </c>
      <c r="C136" s="41" t="s">
        <v>12</v>
      </c>
      <c r="D136" s="41" t="s">
        <v>1103</v>
      </c>
      <c r="E136" s="41" t="s">
        <v>1099</v>
      </c>
      <c r="F136" s="38"/>
      <c r="G136" s="38"/>
      <c r="H136" s="38"/>
      <c r="I136" s="38"/>
      <c r="J136" s="38"/>
      <c r="K136" s="38"/>
      <c r="L136" s="38"/>
      <c r="M136" s="38"/>
      <c r="N136" s="38"/>
      <c r="O136" s="38"/>
      <c r="P136" s="38"/>
      <c r="Q136" s="38"/>
      <c r="R136" s="38"/>
      <c r="S136" s="38"/>
      <c r="T136" s="38"/>
      <c r="U136" s="38"/>
      <c r="V136" s="38"/>
      <c r="W136" s="38"/>
      <c r="X136" s="38"/>
      <c r="Y136" s="38"/>
      <c r="Z136" s="38"/>
    </row>
    <row r="137" spans="1:26" ht="15" thickBot="1">
      <c r="A137" s="42">
        <v>135</v>
      </c>
      <c r="B137" s="40" t="s">
        <v>489</v>
      </c>
      <c r="C137" s="40" t="s">
        <v>12</v>
      </c>
      <c r="D137" s="40" t="s">
        <v>490</v>
      </c>
      <c r="E137" s="40" t="s">
        <v>1099</v>
      </c>
      <c r="F137" s="38"/>
      <c r="G137" s="38"/>
      <c r="H137" s="38"/>
      <c r="I137" s="38"/>
      <c r="J137" s="38"/>
      <c r="K137" s="38"/>
      <c r="L137" s="38"/>
      <c r="M137" s="38"/>
      <c r="N137" s="38"/>
      <c r="O137" s="38"/>
      <c r="P137" s="38"/>
      <c r="Q137" s="38"/>
      <c r="R137" s="38"/>
      <c r="S137" s="38"/>
      <c r="T137" s="38"/>
      <c r="U137" s="38"/>
      <c r="V137" s="38"/>
      <c r="W137" s="38"/>
      <c r="X137" s="38"/>
      <c r="Y137" s="38"/>
      <c r="Z137" s="38"/>
    </row>
    <row r="138" spans="1:26" ht="15" thickBot="1">
      <c r="A138" s="43">
        <v>136</v>
      </c>
      <c r="B138" s="41" t="s">
        <v>498</v>
      </c>
      <c r="C138" s="41" t="s">
        <v>12</v>
      </c>
      <c r="D138" s="41" t="s">
        <v>1104</v>
      </c>
      <c r="E138" s="41" t="s">
        <v>1099</v>
      </c>
      <c r="F138" s="38"/>
      <c r="G138" s="38"/>
      <c r="H138" s="38"/>
      <c r="I138" s="38"/>
      <c r="J138" s="38"/>
      <c r="K138" s="38"/>
      <c r="L138" s="38"/>
      <c r="M138" s="38"/>
      <c r="N138" s="38"/>
      <c r="O138" s="38"/>
      <c r="P138" s="38"/>
      <c r="Q138" s="38"/>
      <c r="R138" s="38"/>
      <c r="S138" s="38"/>
      <c r="T138" s="38"/>
      <c r="U138" s="38"/>
      <c r="V138" s="38"/>
      <c r="W138" s="38"/>
      <c r="X138" s="38"/>
      <c r="Y138" s="38"/>
      <c r="Z138" s="38"/>
    </row>
    <row r="139" spans="1:26" ht="15" thickBot="1">
      <c r="A139" s="42">
        <v>137</v>
      </c>
      <c r="B139" s="40" t="s">
        <v>502</v>
      </c>
      <c r="C139" s="40" t="s">
        <v>12</v>
      </c>
      <c r="D139" s="40" t="s">
        <v>1105</v>
      </c>
      <c r="E139" s="40" t="s">
        <v>1099</v>
      </c>
      <c r="F139" s="38"/>
      <c r="G139" s="38"/>
      <c r="H139" s="38"/>
      <c r="I139" s="38"/>
      <c r="J139" s="38"/>
      <c r="K139" s="38"/>
      <c r="L139" s="38"/>
      <c r="M139" s="38"/>
      <c r="N139" s="38"/>
      <c r="O139" s="38"/>
      <c r="P139" s="38"/>
      <c r="Q139" s="38"/>
      <c r="R139" s="38"/>
      <c r="S139" s="38"/>
      <c r="T139" s="38"/>
      <c r="U139" s="38"/>
      <c r="V139" s="38"/>
      <c r="W139" s="38"/>
      <c r="X139" s="38"/>
      <c r="Y139" s="38"/>
      <c r="Z139" s="38"/>
    </row>
    <row r="140" spans="1:26" ht="15" thickBot="1">
      <c r="A140" s="43">
        <v>138</v>
      </c>
      <c r="B140" s="41" t="s">
        <v>480</v>
      </c>
      <c r="C140" s="41" t="s">
        <v>12</v>
      </c>
      <c r="D140" s="41" t="s">
        <v>1106</v>
      </c>
      <c r="E140" s="41" t="s">
        <v>1099</v>
      </c>
      <c r="F140" s="38"/>
      <c r="G140" s="38"/>
      <c r="H140" s="38"/>
      <c r="I140" s="38"/>
      <c r="J140" s="38"/>
      <c r="K140" s="38"/>
      <c r="L140" s="38"/>
      <c r="M140" s="38"/>
      <c r="N140" s="38"/>
      <c r="O140" s="38"/>
      <c r="P140" s="38"/>
      <c r="Q140" s="38"/>
      <c r="R140" s="38"/>
      <c r="S140" s="38"/>
      <c r="T140" s="38"/>
      <c r="U140" s="38"/>
      <c r="V140" s="38"/>
      <c r="W140" s="38"/>
      <c r="X140" s="38"/>
      <c r="Y140" s="38"/>
      <c r="Z140" s="38"/>
    </row>
    <row r="141" spans="1:26" ht="15" thickBot="1">
      <c r="A141" s="42">
        <v>139</v>
      </c>
      <c r="B141" s="40" t="s">
        <v>479</v>
      </c>
      <c r="C141" s="40" t="s">
        <v>12</v>
      </c>
      <c r="D141" s="40" t="s">
        <v>1107</v>
      </c>
      <c r="E141" s="40" t="s">
        <v>1099</v>
      </c>
      <c r="F141" s="38"/>
      <c r="G141" s="38"/>
      <c r="H141" s="38"/>
      <c r="I141" s="38"/>
      <c r="J141" s="38"/>
      <c r="K141" s="38"/>
      <c r="L141" s="38"/>
      <c r="M141" s="38"/>
      <c r="N141" s="38"/>
      <c r="O141" s="38"/>
      <c r="P141" s="38"/>
      <c r="Q141" s="38"/>
      <c r="R141" s="38"/>
      <c r="S141" s="38"/>
      <c r="T141" s="38"/>
      <c r="U141" s="38"/>
      <c r="V141" s="38"/>
      <c r="W141" s="38"/>
      <c r="X141" s="38"/>
      <c r="Y141" s="38"/>
      <c r="Z141" s="38"/>
    </row>
    <row r="142" spans="1:26" ht="15" thickBot="1">
      <c r="A142" s="43">
        <v>140</v>
      </c>
      <c r="B142" s="41" t="s">
        <v>482</v>
      </c>
      <c r="C142" s="41" t="s">
        <v>12</v>
      </c>
      <c r="D142" s="41" t="s">
        <v>483</v>
      </c>
      <c r="E142" s="41" t="s">
        <v>1099</v>
      </c>
      <c r="F142" s="38"/>
      <c r="G142" s="38"/>
      <c r="H142" s="38"/>
      <c r="I142" s="38"/>
      <c r="J142" s="38"/>
      <c r="K142" s="38"/>
      <c r="L142" s="38"/>
      <c r="M142" s="38"/>
      <c r="N142" s="38"/>
      <c r="O142" s="38"/>
      <c r="P142" s="38"/>
      <c r="Q142" s="38"/>
      <c r="R142" s="38"/>
      <c r="S142" s="38"/>
      <c r="T142" s="38"/>
      <c r="U142" s="38"/>
      <c r="V142" s="38"/>
      <c r="W142" s="38"/>
      <c r="X142" s="38"/>
      <c r="Y142" s="38"/>
      <c r="Z142" s="38"/>
    </row>
    <row r="143" spans="1:26" ht="15" thickBot="1">
      <c r="A143" s="42">
        <v>141</v>
      </c>
      <c r="B143" s="40" t="s">
        <v>487</v>
      </c>
      <c r="C143" s="40" t="s">
        <v>12</v>
      </c>
      <c r="D143" s="40" t="s">
        <v>1108</v>
      </c>
      <c r="E143" s="40" t="s">
        <v>1099</v>
      </c>
      <c r="F143" s="38"/>
      <c r="G143" s="38"/>
      <c r="H143" s="38"/>
      <c r="I143" s="38"/>
      <c r="J143" s="38"/>
      <c r="K143" s="38"/>
      <c r="L143" s="38"/>
      <c r="M143" s="38"/>
      <c r="N143" s="38"/>
      <c r="O143" s="38"/>
      <c r="P143" s="38"/>
      <c r="Q143" s="38"/>
      <c r="R143" s="38"/>
      <c r="S143" s="38"/>
      <c r="T143" s="38"/>
      <c r="U143" s="38"/>
      <c r="V143" s="38"/>
      <c r="W143" s="38"/>
      <c r="X143" s="38"/>
      <c r="Y143" s="38"/>
      <c r="Z143" s="38"/>
    </row>
    <row r="144" spans="1:26" ht="15" thickBot="1">
      <c r="A144" s="43">
        <v>142</v>
      </c>
      <c r="B144" s="41" t="s">
        <v>488</v>
      </c>
      <c r="C144" s="41" t="s">
        <v>12</v>
      </c>
      <c r="D144" s="41" t="s">
        <v>1109</v>
      </c>
      <c r="E144" s="41" t="s">
        <v>1099</v>
      </c>
      <c r="F144" s="38"/>
      <c r="G144" s="38"/>
      <c r="H144" s="38"/>
      <c r="I144" s="38"/>
      <c r="J144" s="38"/>
      <c r="K144" s="38"/>
      <c r="L144" s="38"/>
      <c r="M144" s="38"/>
      <c r="N144" s="38"/>
      <c r="O144" s="38"/>
      <c r="P144" s="38"/>
      <c r="Q144" s="38"/>
      <c r="R144" s="38"/>
      <c r="S144" s="38"/>
      <c r="T144" s="38"/>
      <c r="U144" s="38"/>
      <c r="V144" s="38"/>
      <c r="W144" s="38"/>
      <c r="X144" s="38"/>
      <c r="Y144" s="38"/>
      <c r="Z144" s="38"/>
    </row>
    <row r="145" spans="1:26" ht="15" thickBot="1">
      <c r="A145" s="50">
        <v>143</v>
      </c>
      <c r="B145" s="38" t="s">
        <v>484</v>
      </c>
      <c r="C145" s="38" t="s">
        <v>12</v>
      </c>
      <c r="D145" s="38" t="s">
        <v>1096</v>
      </c>
      <c r="E145" s="38" t="s">
        <v>1099</v>
      </c>
      <c r="F145" s="38"/>
      <c r="G145" s="38"/>
      <c r="H145" s="38"/>
      <c r="I145" s="38"/>
      <c r="J145" s="38"/>
      <c r="K145" s="38"/>
      <c r="L145" s="38"/>
      <c r="M145" s="38"/>
      <c r="N145" s="38"/>
      <c r="O145" s="38"/>
      <c r="P145" s="38"/>
      <c r="Q145" s="38"/>
      <c r="R145" s="38"/>
      <c r="S145" s="38"/>
      <c r="T145" s="38"/>
      <c r="U145" s="38"/>
      <c r="V145" s="38"/>
      <c r="W145" s="38"/>
      <c r="X145" s="38"/>
      <c r="Y145" s="38"/>
      <c r="Z145" s="38"/>
    </row>
    <row r="146" spans="1:26" ht="15" thickBot="1">
      <c r="A146" s="50">
        <v>145</v>
      </c>
      <c r="B146" s="38" t="s">
        <v>496</v>
      </c>
      <c r="C146" s="38" t="s">
        <v>1058</v>
      </c>
      <c r="D146" s="38" t="s">
        <v>496</v>
      </c>
      <c r="E146" s="38" t="s">
        <v>1110</v>
      </c>
      <c r="F146" s="38"/>
      <c r="G146" s="38"/>
      <c r="H146" s="38"/>
      <c r="I146" s="38"/>
      <c r="J146" s="38"/>
      <c r="K146" s="38"/>
      <c r="L146" s="38"/>
      <c r="M146" s="38"/>
      <c r="N146" s="38"/>
      <c r="O146" s="38"/>
      <c r="P146" s="38"/>
      <c r="Q146" s="38"/>
      <c r="R146" s="38"/>
      <c r="S146" s="38"/>
      <c r="T146" s="38"/>
      <c r="U146" s="38"/>
      <c r="V146" s="38"/>
      <c r="W146" s="38"/>
      <c r="X146" s="38"/>
      <c r="Y146" s="38"/>
      <c r="Z146" s="38"/>
    </row>
    <row r="147" spans="1:26" ht="15" thickBot="1">
      <c r="A147" s="50">
        <v>146</v>
      </c>
      <c r="B147" s="38" t="s">
        <v>564</v>
      </c>
      <c r="C147" s="38" t="s">
        <v>1058</v>
      </c>
      <c r="D147" s="38" t="s">
        <v>564</v>
      </c>
      <c r="E147" s="51" t="s">
        <v>1111</v>
      </c>
      <c r="F147" s="38"/>
      <c r="G147" s="38"/>
      <c r="H147" s="38"/>
      <c r="I147" s="38"/>
      <c r="J147" s="38"/>
      <c r="K147" s="38"/>
      <c r="L147" s="38"/>
      <c r="M147" s="38"/>
      <c r="N147" s="38"/>
      <c r="O147" s="38"/>
      <c r="P147" s="38"/>
      <c r="Q147" s="38"/>
      <c r="R147" s="38"/>
      <c r="S147" s="38"/>
      <c r="T147" s="38"/>
      <c r="U147" s="38"/>
      <c r="V147" s="38"/>
      <c r="W147" s="38"/>
      <c r="X147" s="38"/>
      <c r="Y147" s="38"/>
      <c r="Z147" s="38"/>
    </row>
    <row r="148" spans="1:26" ht="15" thickBot="1">
      <c r="A148" s="50">
        <v>147</v>
      </c>
      <c r="B148" s="38" t="s">
        <v>536</v>
      </c>
      <c r="C148" s="38" t="s">
        <v>1058</v>
      </c>
      <c r="D148" s="38" t="s">
        <v>536</v>
      </c>
      <c r="E148" s="51" t="s">
        <v>1112</v>
      </c>
      <c r="F148" s="38"/>
      <c r="G148" s="38"/>
      <c r="H148" s="38"/>
      <c r="I148" s="38"/>
      <c r="J148" s="38"/>
      <c r="K148" s="38"/>
      <c r="L148" s="38"/>
      <c r="M148" s="38"/>
      <c r="N148" s="38"/>
      <c r="O148" s="38"/>
      <c r="P148" s="38"/>
      <c r="Q148" s="38"/>
      <c r="R148" s="38"/>
      <c r="S148" s="38"/>
      <c r="T148" s="38"/>
      <c r="U148" s="38"/>
      <c r="V148" s="38"/>
      <c r="W148" s="38"/>
      <c r="X148" s="38"/>
      <c r="Y148" s="38"/>
      <c r="Z148" s="38"/>
    </row>
    <row r="149" spans="1:26" ht="29.45" thickBot="1">
      <c r="A149" s="50">
        <v>148</v>
      </c>
      <c r="B149" s="38" t="s">
        <v>473</v>
      </c>
      <c r="C149" s="38" t="s">
        <v>1084</v>
      </c>
      <c r="D149" s="38" t="s">
        <v>473</v>
      </c>
      <c r="E149" s="51" t="s">
        <v>1113</v>
      </c>
      <c r="F149" s="38"/>
      <c r="G149" s="38"/>
      <c r="H149" s="38"/>
      <c r="I149" s="38"/>
      <c r="J149" s="38"/>
      <c r="K149" s="38"/>
      <c r="L149" s="38"/>
      <c r="M149" s="38"/>
      <c r="N149" s="38"/>
      <c r="O149" s="38"/>
      <c r="P149" s="38"/>
      <c r="Q149" s="38"/>
      <c r="R149" s="38"/>
      <c r="S149" s="38"/>
      <c r="T149" s="38"/>
      <c r="U149" s="38"/>
      <c r="V149" s="38"/>
      <c r="W149" s="38"/>
      <c r="X149" s="38"/>
      <c r="Y149" s="38"/>
      <c r="Z149" s="38"/>
    </row>
    <row r="150" spans="1:26" ht="29.45" thickBot="1">
      <c r="A150" s="50">
        <v>149</v>
      </c>
      <c r="B150" s="38" t="s">
        <v>481</v>
      </c>
      <c r="C150" s="38" t="s">
        <v>1084</v>
      </c>
      <c r="D150" s="38" t="s">
        <v>481</v>
      </c>
      <c r="E150" s="38" t="s">
        <v>1114</v>
      </c>
      <c r="F150" s="38"/>
      <c r="G150" s="38"/>
      <c r="H150" s="38"/>
      <c r="I150" s="38"/>
      <c r="J150" s="38"/>
      <c r="K150" s="38"/>
      <c r="L150" s="38"/>
      <c r="M150" s="38"/>
      <c r="N150" s="38"/>
      <c r="O150" s="38"/>
      <c r="P150" s="38"/>
      <c r="Q150" s="38"/>
      <c r="R150" s="38"/>
      <c r="S150" s="38"/>
      <c r="T150" s="38"/>
      <c r="U150" s="38"/>
      <c r="V150" s="38"/>
      <c r="W150" s="38"/>
      <c r="X150" s="38"/>
      <c r="Y150" s="38"/>
      <c r="Z150" s="38"/>
    </row>
    <row r="151" spans="1:26" ht="29.45" thickBot="1">
      <c r="A151" s="50">
        <v>150</v>
      </c>
      <c r="B151" s="38" t="s">
        <v>485</v>
      </c>
      <c r="C151" s="38" t="s">
        <v>1084</v>
      </c>
      <c r="D151" s="38" t="s">
        <v>485</v>
      </c>
      <c r="E151" s="51" t="s">
        <v>1115</v>
      </c>
      <c r="F151" s="38"/>
      <c r="G151" s="38"/>
      <c r="H151" s="38"/>
      <c r="I151" s="38"/>
      <c r="J151" s="38"/>
      <c r="K151" s="38"/>
      <c r="L151" s="38"/>
      <c r="M151" s="38"/>
      <c r="N151" s="38"/>
      <c r="O151" s="38"/>
      <c r="P151" s="38"/>
      <c r="Q151" s="38"/>
      <c r="R151" s="38"/>
      <c r="S151" s="38"/>
      <c r="T151" s="38"/>
      <c r="U151" s="38"/>
      <c r="V151" s="38"/>
      <c r="W151" s="38"/>
      <c r="X151" s="38"/>
      <c r="Y151" s="38"/>
      <c r="Z151" s="38"/>
    </row>
    <row r="152" spans="1:26" ht="29.45" thickBot="1">
      <c r="A152" s="50">
        <v>151</v>
      </c>
      <c r="B152" s="38" t="s">
        <v>490</v>
      </c>
      <c r="C152" s="38" t="s">
        <v>1084</v>
      </c>
      <c r="D152" s="38" t="s">
        <v>490</v>
      </c>
      <c r="E152" s="38" t="s">
        <v>1116</v>
      </c>
      <c r="F152" s="38"/>
      <c r="G152" s="38"/>
      <c r="H152" s="38"/>
      <c r="I152" s="38"/>
      <c r="J152" s="38"/>
      <c r="K152" s="38"/>
      <c r="L152" s="38"/>
      <c r="M152" s="38"/>
      <c r="N152" s="38"/>
      <c r="O152" s="38"/>
      <c r="P152" s="38"/>
      <c r="Q152" s="38"/>
      <c r="R152" s="38"/>
      <c r="S152" s="38"/>
      <c r="T152" s="38"/>
      <c r="U152" s="38"/>
      <c r="V152" s="38"/>
      <c r="W152" s="38"/>
      <c r="X152" s="38"/>
      <c r="Y152" s="38"/>
      <c r="Z152" s="38"/>
    </row>
    <row r="153" spans="1:26" ht="29.45" thickBot="1">
      <c r="A153" s="50">
        <v>152</v>
      </c>
      <c r="B153" s="38" t="s">
        <v>483</v>
      </c>
      <c r="C153" s="38" t="s">
        <v>1084</v>
      </c>
      <c r="D153" s="38" t="s">
        <v>483</v>
      </c>
      <c r="E153" s="38" t="s">
        <v>1117</v>
      </c>
      <c r="F153" s="38"/>
      <c r="G153" s="38"/>
      <c r="H153" s="38"/>
      <c r="I153" s="38"/>
      <c r="J153" s="38"/>
      <c r="K153" s="38"/>
      <c r="L153" s="38"/>
      <c r="M153" s="38"/>
      <c r="N153" s="38"/>
      <c r="O153" s="38"/>
      <c r="P153" s="38"/>
      <c r="Q153" s="38"/>
      <c r="R153" s="38"/>
      <c r="S153" s="38"/>
      <c r="T153" s="38"/>
      <c r="U153" s="38"/>
      <c r="V153" s="38"/>
      <c r="W153" s="38"/>
      <c r="X153" s="38"/>
      <c r="Y153" s="38"/>
      <c r="Z153" s="38"/>
    </row>
    <row r="154" spans="1:26" ht="15" thickBot="1">
      <c r="F154" s="38"/>
      <c r="G154" s="38"/>
      <c r="H154" s="38"/>
      <c r="I154" s="38"/>
      <c r="J154" s="38"/>
      <c r="K154" s="38"/>
      <c r="L154" s="38"/>
      <c r="M154" s="38"/>
      <c r="N154" s="38"/>
      <c r="O154" s="38"/>
      <c r="P154" s="38"/>
      <c r="Q154" s="38"/>
      <c r="R154" s="38"/>
      <c r="S154" s="38"/>
      <c r="T154" s="38"/>
      <c r="U154" s="38"/>
      <c r="V154" s="38"/>
      <c r="W154" s="38"/>
      <c r="X154" s="38"/>
      <c r="Y154" s="38"/>
      <c r="Z154" s="38"/>
    </row>
    <row r="155" spans="1:26" ht="15" thickBot="1">
      <c r="F155" s="38"/>
      <c r="G155" s="38"/>
      <c r="H155" s="38"/>
      <c r="I155" s="38"/>
      <c r="J155" s="38"/>
      <c r="K155" s="38"/>
      <c r="L155" s="38"/>
      <c r="M155" s="38"/>
      <c r="N155" s="38"/>
      <c r="O155" s="38"/>
      <c r="P155" s="38"/>
      <c r="Q155" s="38"/>
      <c r="R155" s="38"/>
      <c r="S155" s="38"/>
      <c r="T155" s="38"/>
      <c r="U155" s="38"/>
      <c r="V155" s="38"/>
      <c r="W155" s="38"/>
      <c r="X155" s="38"/>
      <c r="Y155" s="38"/>
      <c r="Z155" s="38"/>
    </row>
    <row r="156" spans="1:26" ht="15" thickBot="1">
      <c r="F156" s="38"/>
      <c r="G156" s="38"/>
      <c r="H156" s="38"/>
      <c r="I156" s="38"/>
      <c r="J156" s="38"/>
      <c r="K156" s="38"/>
      <c r="L156" s="38"/>
      <c r="M156" s="38"/>
      <c r="N156" s="38"/>
      <c r="O156" s="38"/>
      <c r="P156" s="38"/>
      <c r="Q156" s="38"/>
      <c r="R156" s="38"/>
      <c r="S156" s="38"/>
      <c r="T156" s="38"/>
      <c r="U156" s="38"/>
      <c r="V156" s="38"/>
      <c r="W156" s="38"/>
      <c r="X156" s="38"/>
      <c r="Y156" s="38"/>
      <c r="Z156" s="38"/>
    </row>
    <row r="157" spans="1:26" ht="15" thickBot="1">
      <c r="F157" s="38"/>
      <c r="G157" s="38"/>
      <c r="H157" s="38"/>
      <c r="I157" s="38"/>
      <c r="J157" s="38"/>
      <c r="K157" s="38"/>
      <c r="L157" s="38"/>
      <c r="M157" s="38"/>
      <c r="N157" s="38"/>
      <c r="O157" s="38"/>
      <c r="P157" s="38"/>
      <c r="Q157" s="38"/>
      <c r="R157" s="38"/>
      <c r="S157" s="38"/>
      <c r="T157" s="38"/>
      <c r="U157" s="38"/>
      <c r="V157" s="38"/>
      <c r="W157" s="38"/>
      <c r="X157" s="38"/>
      <c r="Y157" s="38"/>
      <c r="Z157" s="38"/>
    </row>
    <row r="158" spans="1:26" ht="15" thickBot="1">
      <c r="F158" s="38"/>
      <c r="G158" s="38"/>
      <c r="H158" s="38"/>
      <c r="I158" s="38"/>
      <c r="J158" s="38"/>
      <c r="K158" s="38"/>
      <c r="L158" s="38"/>
      <c r="M158" s="38"/>
      <c r="N158" s="38"/>
      <c r="O158" s="38"/>
      <c r="P158" s="38"/>
      <c r="Q158" s="38"/>
      <c r="R158" s="38"/>
      <c r="S158" s="38"/>
      <c r="T158" s="38"/>
      <c r="U158" s="38"/>
      <c r="V158" s="38"/>
      <c r="W158" s="38"/>
      <c r="X158" s="38"/>
      <c r="Y158" s="38"/>
      <c r="Z158" s="38"/>
    </row>
    <row r="159" spans="1:26" ht="15" thickBot="1">
      <c r="F159" s="38"/>
      <c r="G159" s="38"/>
      <c r="H159" s="38"/>
      <c r="I159" s="38"/>
      <c r="J159" s="38"/>
      <c r="K159" s="38"/>
      <c r="L159" s="38"/>
      <c r="M159" s="38"/>
      <c r="N159" s="38"/>
      <c r="O159" s="38"/>
      <c r="P159" s="38"/>
      <c r="Q159" s="38"/>
      <c r="R159" s="38"/>
      <c r="S159" s="38"/>
      <c r="T159" s="38"/>
      <c r="U159" s="38"/>
      <c r="V159" s="38"/>
      <c r="W159" s="38"/>
      <c r="X159" s="38"/>
      <c r="Y159" s="38"/>
      <c r="Z159" s="38"/>
    </row>
    <row r="160" spans="1:26" ht="15" thickBot="1">
      <c r="F160" s="38"/>
      <c r="G160" s="38"/>
      <c r="H160" s="38"/>
      <c r="I160" s="38"/>
      <c r="J160" s="38"/>
      <c r="K160" s="38"/>
      <c r="L160" s="38"/>
      <c r="M160" s="38"/>
      <c r="N160" s="38"/>
      <c r="O160" s="38"/>
      <c r="P160" s="38"/>
      <c r="Q160" s="38"/>
      <c r="R160" s="38"/>
      <c r="S160" s="38"/>
      <c r="T160" s="38"/>
      <c r="U160" s="38"/>
      <c r="V160" s="38"/>
      <c r="W160" s="38"/>
      <c r="X160" s="38"/>
      <c r="Y160" s="38"/>
      <c r="Z160" s="38"/>
    </row>
    <row r="161" spans="6:26" ht="15" thickBot="1">
      <c r="F161" s="38"/>
      <c r="G161" s="38"/>
      <c r="H161" s="38"/>
      <c r="I161" s="38"/>
      <c r="J161" s="38"/>
      <c r="K161" s="38"/>
      <c r="L161" s="38"/>
      <c r="M161" s="38"/>
      <c r="N161" s="38"/>
      <c r="O161" s="38"/>
      <c r="P161" s="38"/>
      <c r="Q161" s="38"/>
      <c r="R161" s="38"/>
      <c r="S161" s="38"/>
      <c r="T161" s="38"/>
      <c r="U161" s="38"/>
      <c r="V161" s="38"/>
      <c r="W161" s="38"/>
      <c r="X161" s="38"/>
      <c r="Y161" s="38"/>
      <c r="Z161" s="38"/>
    </row>
    <row r="162" spans="6:26" ht="15" thickBot="1">
      <c r="F162" s="38"/>
      <c r="G162" s="38"/>
      <c r="H162" s="38"/>
      <c r="I162" s="38"/>
      <c r="J162" s="38"/>
      <c r="K162" s="38"/>
      <c r="L162" s="38"/>
      <c r="M162" s="38"/>
      <c r="N162" s="38"/>
      <c r="O162" s="38"/>
      <c r="P162" s="38"/>
      <c r="Q162" s="38"/>
      <c r="R162" s="38"/>
      <c r="S162" s="38"/>
      <c r="T162" s="38"/>
      <c r="U162" s="38"/>
      <c r="V162" s="38"/>
      <c r="W162" s="38"/>
      <c r="X162" s="38"/>
      <c r="Y162" s="38"/>
      <c r="Z162" s="38"/>
    </row>
    <row r="163" spans="6:26" ht="15" thickBot="1">
      <c r="F163" s="38"/>
      <c r="G163" s="38"/>
      <c r="H163" s="38"/>
      <c r="I163" s="38"/>
      <c r="J163" s="38"/>
      <c r="K163" s="38"/>
      <c r="L163" s="38"/>
      <c r="M163" s="38"/>
      <c r="N163" s="38"/>
      <c r="O163" s="38"/>
      <c r="P163" s="38"/>
      <c r="Q163" s="38"/>
      <c r="R163" s="38"/>
      <c r="S163" s="38"/>
      <c r="T163" s="38"/>
      <c r="U163" s="38"/>
      <c r="V163" s="38"/>
      <c r="W163" s="38"/>
      <c r="X163" s="38"/>
      <c r="Y163" s="38"/>
      <c r="Z163" s="38"/>
    </row>
    <row r="164" spans="6:26" ht="15" thickBot="1">
      <c r="F164" s="38"/>
      <c r="G164" s="38"/>
      <c r="H164" s="38"/>
      <c r="I164" s="38"/>
      <c r="J164" s="38"/>
      <c r="K164" s="38"/>
      <c r="L164" s="38"/>
      <c r="M164" s="38"/>
      <c r="N164" s="38"/>
      <c r="O164" s="38"/>
      <c r="P164" s="38"/>
      <c r="Q164" s="38"/>
      <c r="R164" s="38"/>
      <c r="S164" s="38"/>
      <c r="T164" s="38"/>
      <c r="U164" s="38"/>
      <c r="V164" s="38"/>
      <c r="W164" s="38"/>
      <c r="X164" s="38"/>
      <c r="Y164" s="38"/>
      <c r="Z164" s="38"/>
    </row>
    <row r="165" spans="6:26" ht="15" thickBot="1">
      <c r="F165" s="38"/>
      <c r="G165" s="38"/>
      <c r="H165" s="38"/>
      <c r="I165" s="38"/>
      <c r="J165" s="38"/>
      <c r="K165" s="38"/>
      <c r="L165" s="38"/>
      <c r="M165" s="38"/>
      <c r="N165" s="38"/>
      <c r="O165" s="38"/>
      <c r="P165" s="38"/>
      <c r="Q165" s="38"/>
      <c r="R165" s="38"/>
      <c r="S165" s="38"/>
      <c r="T165" s="38"/>
      <c r="U165" s="38"/>
      <c r="V165" s="38"/>
      <c r="W165" s="38"/>
      <c r="X165" s="38"/>
      <c r="Y165" s="38"/>
      <c r="Z165" s="38"/>
    </row>
    <row r="166" spans="6:26" ht="15" thickBot="1">
      <c r="F166" s="38"/>
      <c r="G166" s="38"/>
      <c r="H166" s="38"/>
      <c r="I166" s="38"/>
      <c r="J166" s="38"/>
      <c r="K166" s="38"/>
      <c r="L166" s="38"/>
      <c r="M166" s="38"/>
      <c r="N166" s="38"/>
      <c r="O166" s="38"/>
      <c r="P166" s="38"/>
      <c r="Q166" s="38"/>
      <c r="R166" s="38"/>
      <c r="S166" s="38"/>
      <c r="T166" s="38"/>
      <c r="U166" s="38"/>
      <c r="V166" s="38"/>
      <c r="W166" s="38"/>
      <c r="X166" s="38"/>
      <c r="Y166" s="38"/>
      <c r="Z166" s="38"/>
    </row>
    <row r="167" spans="6:26" ht="15" thickBot="1">
      <c r="F167" s="38"/>
      <c r="G167" s="38"/>
      <c r="H167" s="38"/>
      <c r="I167" s="38"/>
      <c r="J167" s="38"/>
      <c r="K167" s="38"/>
      <c r="L167" s="38"/>
      <c r="M167" s="38"/>
      <c r="N167" s="38"/>
      <c r="O167" s="38"/>
      <c r="P167" s="38"/>
      <c r="Q167" s="38"/>
      <c r="R167" s="38"/>
      <c r="S167" s="38"/>
      <c r="T167" s="38"/>
      <c r="U167" s="38"/>
      <c r="V167" s="38"/>
      <c r="W167" s="38"/>
      <c r="X167" s="38"/>
      <c r="Y167" s="38"/>
      <c r="Z167" s="38"/>
    </row>
    <row r="168" spans="6:26" ht="15" thickBot="1">
      <c r="F168" s="38"/>
      <c r="G168" s="38"/>
      <c r="H168" s="38"/>
      <c r="I168" s="38"/>
      <c r="J168" s="38"/>
      <c r="K168" s="38"/>
      <c r="L168" s="38"/>
      <c r="M168" s="38"/>
      <c r="N168" s="38"/>
      <c r="O168" s="38"/>
      <c r="P168" s="38"/>
      <c r="Q168" s="38"/>
      <c r="R168" s="38"/>
      <c r="S168" s="38"/>
      <c r="T168" s="38"/>
      <c r="U168" s="38"/>
      <c r="V168" s="38"/>
      <c r="W168" s="38"/>
      <c r="X168" s="38"/>
      <c r="Y168" s="38"/>
      <c r="Z168" s="38"/>
    </row>
    <row r="169" spans="6:26" ht="15" thickBot="1">
      <c r="F169" s="38"/>
      <c r="G169" s="38"/>
      <c r="H169" s="38"/>
      <c r="I169" s="38"/>
      <c r="J169" s="38"/>
      <c r="K169" s="38"/>
      <c r="L169" s="38"/>
      <c r="M169" s="38"/>
      <c r="N169" s="38"/>
      <c r="O169" s="38"/>
      <c r="P169" s="38"/>
      <c r="Q169" s="38"/>
      <c r="R169" s="38"/>
      <c r="S169" s="38"/>
      <c r="T169" s="38"/>
      <c r="U169" s="38"/>
      <c r="V169" s="38"/>
      <c r="W169" s="38"/>
      <c r="X169" s="38"/>
      <c r="Y169" s="38"/>
      <c r="Z169" s="38"/>
    </row>
    <row r="170" spans="6:26" ht="15" thickBot="1">
      <c r="F170" s="38"/>
      <c r="G170" s="38"/>
      <c r="H170" s="38"/>
      <c r="I170" s="38"/>
      <c r="J170" s="38"/>
      <c r="K170" s="38"/>
      <c r="L170" s="38"/>
      <c r="M170" s="38"/>
      <c r="N170" s="38"/>
      <c r="O170" s="38"/>
      <c r="P170" s="38"/>
      <c r="Q170" s="38"/>
      <c r="R170" s="38"/>
      <c r="S170" s="38"/>
      <c r="T170" s="38"/>
      <c r="U170" s="38"/>
      <c r="V170" s="38"/>
      <c r="W170" s="38"/>
      <c r="X170" s="38"/>
      <c r="Y170" s="38"/>
      <c r="Z170" s="38"/>
    </row>
    <row r="171" spans="6:26" ht="15" thickBot="1">
      <c r="F171" s="38"/>
      <c r="G171" s="38"/>
      <c r="H171" s="38"/>
      <c r="I171" s="38"/>
      <c r="J171" s="38"/>
      <c r="K171" s="38"/>
      <c r="L171" s="38"/>
      <c r="M171" s="38"/>
      <c r="N171" s="38"/>
      <c r="O171" s="38"/>
      <c r="P171" s="38"/>
      <c r="Q171" s="38"/>
      <c r="R171" s="38"/>
      <c r="S171" s="38"/>
      <c r="T171" s="38"/>
      <c r="U171" s="38"/>
      <c r="V171" s="38"/>
      <c r="W171" s="38"/>
      <c r="X171" s="38"/>
      <c r="Y171" s="38"/>
      <c r="Z171" s="38"/>
    </row>
    <row r="172" spans="6:26" ht="15" thickBot="1">
      <c r="F172" s="38"/>
      <c r="G172" s="38"/>
      <c r="H172" s="38"/>
      <c r="I172" s="38"/>
      <c r="J172" s="38"/>
      <c r="K172" s="38"/>
      <c r="L172" s="38"/>
      <c r="M172" s="38"/>
      <c r="N172" s="38"/>
      <c r="O172" s="38"/>
      <c r="P172" s="38"/>
      <c r="Q172" s="38"/>
      <c r="R172" s="38"/>
      <c r="S172" s="38"/>
      <c r="T172" s="38"/>
      <c r="U172" s="38"/>
      <c r="V172" s="38"/>
      <c r="W172" s="38"/>
      <c r="X172" s="38"/>
      <c r="Y172" s="38"/>
      <c r="Z172" s="38"/>
    </row>
    <row r="173" spans="6:26" ht="15" thickBot="1">
      <c r="F173" s="38"/>
      <c r="G173" s="38"/>
      <c r="H173" s="38"/>
      <c r="I173" s="38"/>
      <c r="J173" s="38"/>
      <c r="K173" s="38"/>
      <c r="L173" s="38"/>
      <c r="M173" s="38"/>
      <c r="N173" s="38"/>
      <c r="O173" s="38"/>
      <c r="P173" s="38"/>
      <c r="Q173" s="38"/>
      <c r="R173" s="38"/>
      <c r="S173" s="38"/>
      <c r="T173" s="38"/>
      <c r="U173" s="38"/>
      <c r="V173" s="38"/>
      <c r="W173" s="38"/>
      <c r="X173" s="38"/>
      <c r="Y173" s="38"/>
      <c r="Z173" s="38"/>
    </row>
    <row r="174" spans="6:26" ht="15" thickBot="1">
      <c r="F174" s="38"/>
      <c r="G174" s="38"/>
      <c r="H174" s="38"/>
      <c r="I174" s="38"/>
      <c r="J174" s="38"/>
      <c r="K174" s="38"/>
      <c r="L174" s="38"/>
      <c r="M174" s="38"/>
      <c r="N174" s="38"/>
      <c r="O174" s="38"/>
      <c r="P174" s="38"/>
      <c r="Q174" s="38"/>
      <c r="R174" s="38"/>
      <c r="S174" s="38"/>
      <c r="T174" s="38"/>
      <c r="U174" s="38"/>
      <c r="V174" s="38"/>
      <c r="W174" s="38"/>
      <c r="X174" s="38"/>
      <c r="Y174" s="38"/>
      <c r="Z174" s="38"/>
    </row>
    <row r="175" spans="6:26" ht="15" thickBot="1">
      <c r="F175" s="38"/>
      <c r="G175" s="38"/>
      <c r="H175" s="38"/>
      <c r="I175" s="38"/>
      <c r="J175" s="38"/>
      <c r="K175" s="38"/>
      <c r="L175" s="38"/>
      <c r="M175" s="38"/>
      <c r="N175" s="38"/>
      <c r="O175" s="38"/>
      <c r="P175" s="38"/>
      <c r="Q175" s="38"/>
      <c r="R175" s="38"/>
      <c r="S175" s="38"/>
      <c r="T175" s="38"/>
      <c r="U175" s="38"/>
      <c r="V175" s="38"/>
      <c r="W175" s="38"/>
      <c r="X175" s="38"/>
      <c r="Y175" s="38"/>
      <c r="Z175" s="38"/>
    </row>
    <row r="176" spans="6:26" ht="15" thickBot="1">
      <c r="F176" s="38"/>
      <c r="G176" s="38"/>
      <c r="H176" s="38"/>
      <c r="I176" s="38"/>
      <c r="J176" s="38"/>
      <c r="K176" s="38"/>
      <c r="L176" s="38"/>
      <c r="M176" s="38"/>
      <c r="N176" s="38"/>
      <c r="O176" s="38"/>
      <c r="P176" s="38"/>
      <c r="Q176" s="38"/>
      <c r="R176" s="38"/>
      <c r="S176" s="38"/>
      <c r="T176" s="38"/>
      <c r="U176" s="38"/>
      <c r="V176" s="38"/>
      <c r="W176" s="38"/>
      <c r="X176" s="38"/>
      <c r="Y176" s="38"/>
      <c r="Z176" s="38"/>
    </row>
    <row r="177" spans="6:26" ht="15" thickBot="1">
      <c r="F177" s="38"/>
      <c r="G177" s="38"/>
      <c r="H177" s="38"/>
      <c r="I177" s="38"/>
      <c r="J177" s="38"/>
      <c r="K177" s="38"/>
      <c r="L177" s="38"/>
      <c r="M177" s="38"/>
      <c r="N177" s="38"/>
      <c r="O177" s="38"/>
      <c r="P177" s="38"/>
      <c r="Q177" s="38"/>
      <c r="R177" s="38"/>
      <c r="S177" s="38"/>
      <c r="T177" s="38"/>
      <c r="U177" s="38"/>
      <c r="V177" s="38"/>
      <c r="W177" s="38"/>
      <c r="X177" s="38"/>
      <c r="Y177" s="38"/>
      <c r="Z177" s="38"/>
    </row>
    <row r="178" spans="6:26" ht="15" thickBot="1">
      <c r="F178" s="38"/>
      <c r="G178" s="38"/>
      <c r="H178" s="38"/>
      <c r="I178" s="38"/>
      <c r="J178" s="38"/>
      <c r="K178" s="38"/>
      <c r="L178" s="38"/>
      <c r="M178" s="38"/>
      <c r="N178" s="38"/>
      <c r="O178" s="38"/>
      <c r="P178" s="38"/>
      <c r="Q178" s="38"/>
      <c r="R178" s="38"/>
      <c r="S178" s="38"/>
      <c r="T178" s="38"/>
      <c r="U178" s="38"/>
      <c r="V178" s="38"/>
      <c r="W178" s="38"/>
      <c r="X178" s="38"/>
      <c r="Y178" s="38"/>
      <c r="Z178" s="38"/>
    </row>
    <row r="179" spans="6:26" ht="15" thickBot="1">
      <c r="F179" s="38"/>
      <c r="G179" s="38"/>
      <c r="H179" s="38"/>
      <c r="I179" s="38"/>
      <c r="J179" s="38"/>
      <c r="K179" s="38"/>
      <c r="L179" s="38"/>
      <c r="M179" s="38"/>
      <c r="N179" s="38"/>
      <c r="O179" s="38"/>
      <c r="P179" s="38"/>
      <c r="Q179" s="38"/>
      <c r="R179" s="38"/>
      <c r="S179" s="38"/>
      <c r="T179" s="38"/>
      <c r="U179" s="38"/>
      <c r="V179" s="38"/>
      <c r="W179" s="38"/>
      <c r="X179" s="38"/>
      <c r="Y179" s="38"/>
      <c r="Z179" s="38"/>
    </row>
    <row r="180" spans="6:26" ht="15" thickBot="1">
      <c r="F180" s="38"/>
      <c r="G180" s="38"/>
      <c r="H180" s="38"/>
      <c r="I180" s="38"/>
      <c r="J180" s="38"/>
      <c r="K180" s="38"/>
      <c r="L180" s="38"/>
      <c r="M180" s="38"/>
      <c r="N180" s="38"/>
      <c r="O180" s="38"/>
      <c r="P180" s="38"/>
      <c r="Q180" s="38"/>
      <c r="R180" s="38"/>
      <c r="S180" s="38"/>
      <c r="T180" s="38"/>
      <c r="U180" s="38"/>
      <c r="V180" s="38"/>
      <c r="W180" s="38"/>
      <c r="X180" s="38"/>
      <c r="Y180" s="38"/>
      <c r="Z180" s="38"/>
    </row>
    <row r="181" spans="6:26" ht="15" thickBot="1">
      <c r="F181" s="38"/>
      <c r="G181" s="38"/>
      <c r="H181" s="38"/>
      <c r="I181" s="38"/>
      <c r="J181" s="38"/>
      <c r="K181" s="38"/>
      <c r="L181" s="38"/>
      <c r="M181" s="38"/>
      <c r="N181" s="38"/>
      <c r="O181" s="38"/>
      <c r="P181" s="38"/>
      <c r="Q181" s="38"/>
      <c r="R181" s="38"/>
      <c r="S181" s="38"/>
      <c r="T181" s="38"/>
      <c r="U181" s="38"/>
      <c r="V181" s="38"/>
      <c r="W181" s="38"/>
      <c r="X181" s="38"/>
      <c r="Y181" s="38"/>
      <c r="Z181" s="38"/>
    </row>
    <row r="182" spans="6:26" ht="15" thickBot="1">
      <c r="F182" s="38"/>
      <c r="G182" s="38"/>
      <c r="H182" s="38"/>
      <c r="I182" s="38"/>
      <c r="J182" s="38"/>
      <c r="K182" s="38"/>
      <c r="L182" s="38"/>
      <c r="M182" s="38"/>
      <c r="N182" s="38"/>
      <c r="O182" s="38"/>
      <c r="P182" s="38"/>
      <c r="Q182" s="38"/>
      <c r="R182" s="38"/>
      <c r="S182" s="38"/>
      <c r="T182" s="38"/>
      <c r="U182" s="38"/>
      <c r="V182" s="38"/>
      <c r="W182" s="38"/>
      <c r="X182" s="38"/>
      <c r="Y182" s="38"/>
      <c r="Z182" s="38"/>
    </row>
    <row r="183" spans="6:26" ht="15" thickBot="1">
      <c r="F183" s="38"/>
      <c r="G183" s="38"/>
      <c r="H183" s="38"/>
      <c r="I183" s="38"/>
      <c r="J183" s="38"/>
      <c r="K183" s="38"/>
      <c r="L183" s="38"/>
      <c r="M183" s="38"/>
      <c r="N183" s="38"/>
      <c r="O183" s="38"/>
      <c r="P183" s="38"/>
      <c r="Q183" s="38"/>
      <c r="R183" s="38"/>
      <c r="S183" s="38"/>
      <c r="T183" s="38"/>
      <c r="U183" s="38"/>
      <c r="V183" s="38"/>
      <c r="W183" s="38"/>
      <c r="X183" s="38"/>
      <c r="Y183" s="38"/>
      <c r="Z183" s="38"/>
    </row>
    <row r="184" spans="6:26" ht="15" thickBot="1">
      <c r="F184" s="38"/>
      <c r="G184" s="38"/>
      <c r="H184" s="38"/>
      <c r="I184" s="38"/>
      <c r="J184" s="38"/>
      <c r="K184" s="38"/>
      <c r="L184" s="38"/>
      <c r="M184" s="38"/>
      <c r="N184" s="38"/>
      <c r="O184" s="38"/>
      <c r="P184" s="38"/>
      <c r="Q184" s="38"/>
      <c r="R184" s="38"/>
      <c r="S184" s="38"/>
      <c r="T184" s="38"/>
      <c r="U184" s="38"/>
      <c r="V184" s="38"/>
      <c r="W184" s="38"/>
      <c r="X184" s="38"/>
      <c r="Y184" s="38"/>
      <c r="Z184" s="38"/>
    </row>
    <row r="185" spans="6:26" ht="15" thickBot="1">
      <c r="F185" s="38"/>
      <c r="G185" s="38"/>
      <c r="H185" s="38"/>
      <c r="I185" s="38"/>
      <c r="J185" s="38"/>
      <c r="K185" s="38"/>
      <c r="L185" s="38"/>
      <c r="M185" s="38"/>
      <c r="N185" s="38"/>
      <c r="O185" s="38"/>
      <c r="P185" s="38"/>
      <c r="Q185" s="38"/>
      <c r="R185" s="38"/>
      <c r="S185" s="38"/>
      <c r="T185" s="38"/>
      <c r="U185" s="38"/>
      <c r="V185" s="38"/>
      <c r="W185" s="38"/>
      <c r="X185" s="38"/>
      <c r="Y185" s="38"/>
      <c r="Z185" s="38"/>
    </row>
    <row r="186" spans="6:26" ht="15" thickBot="1">
      <c r="F186" s="38"/>
      <c r="G186" s="38"/>
      <c r="H186" s="38"/>
      <c r="I186" s="38"/>
      <c r="J186" s="38"/>
      <c r="K186" s="38"/>
      <c r="L186" s="38"/>
      <c r="M186" s="38"/>
      <c r="N186" s="38"/>
      <c r="O186" s="38"/>
      <c r="P186" s="38"/>
      <c r="Q186" s="38"/>
      <c r="R186" s="38"/>
      <c r="S186" s="38"/>
      <c r="T186" s="38"/>
      <c r="U186" s="38"/>
      <c r="V186" s="38"/>
      <c r="W186" s="38"/>
      <c r="X186" s="38"/>
      <c r="Y186" s="38"/>
      <c r="Z186" s="38"/>
    </row>
    <row r="187" spans="6:26" ht="15" thickBot="1">
      <c r="F187" s="38"/>
      <c r="G187" s="38"/>
      <c r="H187" s="38"/>
      <c r="I187" s="38"/>
      <c r="J187" s="38"/>
      <c r="K187" s="38"/>
      <c r="L187" s="38"/>
      <c r="M187" s="38"/>
      <c r="N187" s="38"/>
      <c r="O187" s="38"/>
      <c r="P187" s="38"/>
      <c r="Q187" s="38"/>
      <c r="R187" s="38"/>
      <c r="S187" s="38"/>
      <c r="T187" s="38"/>
      <c r="U187" s="38"/>
      <c r="V187" s="38"/>
      <c r="W187" s="38"/>
      <c r="X187" s="38"/>
      <c r="Y187" s="38"/>
      <c r="Z187" s="38"/>
    </row>
    <row r="188" spans="6:26" ht="15" thickBot="1">
      <c r="F188" s="38"/>
      <c r="G188" s="38"/>
      <c r="H188" s="38"/>
      <c r="I188" s="38"/>
      <c r="J188" s="38"/>
      <c r="K188" s="38"/>
      <c r="L188" s="38"/>
      <c r="M188" s="38"/>
      <c r="N188" s="38"/>
      <c r="O188" s="38"/>
      <c r="P188" s="38"/>
      <c r="Q188" s="38"/>
      <c r="R188" s="38"/>
      <c r="S188" s="38"/>
      <c r="T188" s="38"/>
      <c r="U188" s="38"/>
      <c r="V188" s="38"/>
      <c r="W188" s="38"/>
      <c r="X188" s="38"/>
      <c r="Y188" s="38"/>
      <c r="Z188" s="38"/>
    </row>
    <row r="189" spans="6:26" ht="15" thickBot="1">
      <c r="F189" s="38"/>
      <c r="G189" s="38"/>
      <c r="H189" s="38"/>
      <c r="I189" s="38"/>
      <c r="J189" s="38"/>
      <c r="K189" s="38"/>
      <c r="L189" s="38"/>
      <c r="M189" s="38"/>
      <c r="N189" s="38"/>
      <c r="O189" s="38"/>
      <c r="P189" s="38"/>
      <c r="Q189" s="38"/>
      <c r="R189" s="38"/>
      <c r="S189" s="38"/>
      <c r="T189" s="38"/>
      <c r="U189" s="38"/>
      <c r="V189" s="38"/>
      <c r="W189" s="38"/>
      <c r="X189" s="38"/>
      <c r="Y189" s="38"/>
      <c r="Z189" s="38"/>
    </row>
    <row r="190" spans="6:26" ht="15" thickBot="1">
      <c r="F190" s="38"/>
      <c r="G190" s="38"/>
      <c r="H190" s="38"/>
      <c r="I190" s="38"/>
      <c r="J190" s="38"/>
      <c r="K190" s="38"/>
      <c r="L190" s="38"/>
      <c r="M190" s="38"/>
      <c r="N190" s="38"/>
      <c r="O190" s="38"/>
      <c r="P190" s="38"/>
      <c r="Q190" s="38"/>
      <c r="R190" s="38"/>
      <c r="S190" s="38"/>
      <c r="T190" s="38"/>
      <c r="U190" s="38"/>
      <c r="V190" s="38"/>
      <c r="W190" s="38"/>
      <c r="X190" s="38"/>
      <c r="Y190" s="38"/>
      <c r="Z190" s="38"/>
    </row>
    <row r="191" spans="6:26" ht="15" thickBot="1">
      <c r="F191" s="38"/>
      <c r="G191" s="38"/>
      <c r="H191" s="38"/>
      <c r="I191" s="38"/>
      <c r="J191" s="38"/>
      <c r="K191" s="38"/>
      <c r="L191" s="38"/>
      <c r="M191" s="38"/>
      <c r="N191" s="38"/>
      <c r="O191" s="38"/>
      <c r="P191" s="38"/>
      <c r="Q191" s="38"/>
      <c r="R191" s="38"/>
      <c r="S191" s="38"/>
      <c r="T191" s="38"/>
      <c r="U191" s="38"/>
      <c r="V191" s="38"/>
      <c r="W191" s="38"/>
      <c r="X191" s="38"/>
      <c r="Y191" s="38"/>
      <c r="Z191" s="38"/>
    </row>
    <row r="192" spans="6:26" ht="15" thickBot="1">
      <c r="F192" s="38"/>
      <c r="G192" s="38"/>
      <c r="H192" s="38"/>
      <c r="I192" s="38"/>
      <c r="J192" s="38"/>
      <c r="K192" s="38"/>
      <c r="L192" s="38"/>
      <c r="M192" s="38"/>
      <c r="N192" s="38"/>
      <c r="O192" s="38"/>
      <c r="P192" s="38"/>
      <c r="Q192" s="38"/>
      <c r="R192" s="38"/>
      <c r="S192" s="38"/>
      <c r="T192" s="38"/>
      <c r="U192" s="38"/>
      <c r="V192" s="38"/>
      <c r="W192" s="38"/>
      <c r="X192" s="38"/>
      <c r="Y192" s="38"/>
      <c r="Z192" s="38"/>
    </row>
    <row r="193" spans="6:26" ht="15" thickBot="1">
      <c r="F193" s="38"/>
      <c r="G193" s="38"/>
      <c r="H193" s="38"/>
      <c r="I193" s="38"/>
      <c r="J193" s="38"/>
      <c r="K193" s="38"/>
      <c r="L193" s="38"/>
      <c r="M193" s="38"/>
      <c r="N193" s="38"/>
      <c r="O193" s="38"/>
      <c r="P193" s="38"/>
      <c r="Q193" s="38"/>
      <c r="R193" s="38"/>
      <c r="S193" s="38"/>
      <c r="T193" s="38"/>
      <c r="U193" s="38"/>
      <c r="V193" s="38"/>
      <c r="W193" s="38"/>
      <c r="X193" s="38"/>
      <c r="Y193" s="38"/>
      <c r="Z193" s="38"/>
    </row>
    <row r="194" spans="6:26" ht="15" thickBot="1">
      <c r="F194" s="38"/>
      <c r="G194" s="38"/>
      <c r="H194" s="38"/>
      <c r="I194" s="38"/>
      <c r="J194" s="38"/>
      <c r="K194" s="38"/>
      <c r="L194" s="38"/>
      <c r="M194" s="38"/>
      <c r="N194" s="38"/>
      <c r="O194" s="38"/>
      <c r="P194" s="38"/>
      <c r="Q194" s="38"/>
      <c r="R194" s="38"/>
      <c r="S194" s="38"/>
      <c r="T194" s="38"/>
      <c r="U194" s="38"/>
      <c r="V194" s="38"/>
      <c r="W194" s="38"/>
      <c r="X194" s="38"/>
      <c r="Y194" s="38"/>
      <c r="Z194" s="38"/>
    </row>
    <row r="195" spans="6:26" ht="15" thickBot="1">
      <c r="F195" s="38"/>
      <c r="G195" s="38"/>
      <c r="H195" s="38"/>
      <c r="I195" s="38"/>
      <c r="J195" s="38"/>
      <c r="K195" s="38"/>
      <c r="L195" s="38"/>
      <c r="M195" s="38"/>
      <c r="N195" s="38"/>
      <c r="O195" s="38"/>
      <c r="P195" s="38"/>
      <c r="Q195" s="38"/>
      <c r="R195" s="38"/>
      <c r="S195" s="38"/>
      <c r="T195" s="38"/>
      <c r="U195" s="38"/>
      <c r="V195" s="38"/>
      <c r="W195" s="38"/>
      <c r="X195" s="38"/>
      <c r="Y195" s="38"/>
      <c r="Z195" s="38"/>
    </row>
    <row r="196" spans="6:26" ht="15" thickBot="1">
      <c r="F196" s="38"/>
      <c r="G196" s="38"/>
      <c r="H196" s="38"/>
      <c r="I196" s="38"/>
      <c r="J196" s="38"/>
      <c r="K196" s="38"/>
      <c r="L196" s="38"/>
      <c r="M196" s="38"/>
      <c r="N196" s="38"/>
      <c r="O196" s="38"/>
      <c r="P196" s="38"/>
      <c r="Q196" s="38"/>
      <c r="R196" s="38"/>
      <c r="S196" s="38"/>
      <c r="T196" s="38"/>
      <c r="U196" s="38"/>
      <c r="V196" s="38"/>
      <c r="W196" s="38"/>
      <c r="X196" s="38"/>
      <c r="Y196" s="38"/>
      <c r="Z196" s="38"/>
    </row>
    <row r="197" spans="6:26" ht="15" thickBot="1">
      <c r="F197" s="38"/>
      <c r="G197" s="38"/>
      <c r="H197" s="38"/>
      <c r="I197" s="38"/>
      <c r="J197" s="38"/>
      <c r="K197" s="38"/>
      <c r="L197" s="38"/>
      <c r="M197" s="38"/>
      <c r="N197" s="38"/>
      <c r="O197" s="38"/>
      <c r="P197" s="38"/>
      <c r="Q197" s="38"/>
      <c r="R197" s="38"/>
      <c r="S197" s="38"/>
      <c r="T197" s="38"/>
      <c r="U197" s="38"/>
      <c r="V197" s="38"/>
      <c r="W197" s="38"/>
      <c r="X197" s="38"/>
      <c r="Y197" s="38"/>
      <c r="Z197" s="38"/>
    </row>
    <row r="198" spans="6:26" ht="15" thickBot="1">
      <c r="F198" s="38"/>
      <c r="G198" s="38"/>
      <c r="H198" s="38"/>
      <c r="I198" s="38"/>
      <c r="J198" s="38"/>
      <c r="K198" s="38"/>
      <c r="L198" s="38"/>
      <c r="M198" s="38"/>
      <c r="N198" s="38"/>
      <c r="O198" s="38"/>
      <c r="P198" s="38"/>
      <c r="Q198" s="38"/>
      <c r="R198" s="38"/>
      <c r="S198" s="38"/>
      <c r="T198" s="38"/>
      <c r="U198" s="38"/>
      <c r="V198" s="38"/>
      <c r="W198" s="38"/>
      <c r="X198" s="38"/>
      <c r="Y198" s="38"/>
      <c r="Z198" s="38"/>
    </row>
    <row r="199" spans="6:26" ht="15" thickBot="1">
      <c r="F199" s="38"/>
      <c r="G199" s="38"/>
      <c r="H199" s="38"/>
      <c r="I199" s="38"/>
      <c r="J199" s="38"/>
      <c r="K199" s="38"/>
      <c r="L199" s="38"/>
      <c r="M199" s="38"/>
      <c r="N199" s="38"/>
      <c r="O199" s="38"/>
      <c r="P199" s="38"/>
      <c r="Q199" s="38"/>
      <c r="R199" s="38"/>
      <c r="S199" s="38"/>
      <c r="T199" s="38"/>
      <c r="U199" s="38"/>
      <c r="V199" s="38"/>
      <c r="W199" s="38"/>
      <c r="X199" s="38"/>
      <c r="Y199" s="38"/>
      <c r="Z199" s="38"/>
    </row>
    <row r="200" spans="6:26" ht="15" thickBot="1">
      <c r="F200" s="38"/>
      <c r="G200" s="38"/>
      <c r="H200" s="38"/>
      <c r="I200" s="38"/>
      <c r="J200" s="38"/>
      <c r="K200" s="38"/>
      <c r="L200" s="38"/>
      <c r="M200" s="38"/>
      <c r="N200" s="38"/>
      <c r="O200" s="38"/>
      <c r="P200" s="38"/>
      <c r="Q200" s="38"/>
      <c r="R200" s="38"/>
      <c r="S200" s="38"/>
      <c r="T200" s="38"/>
      <c r="U200" s="38"/>
      <c r="V200" s="38"/>
      <c r="W200" s="38"/>
      <c r="X200" s="38"/>
      <c r="Y200" s="38"/>
      <c r="Z200" s="38"/>
    </row>
    <row r="201" spans="6:26" ht="15" thickBot="1">
      <c r="F201" s="38"/>
      <c r="G201" s="38"/>
      <c r="H201" s="38"/>
      <c r="I201" s="38"/>
      <c r="J201" s="38"/>
      <c r="K201" s="38"/>
      <c r="L201" s="38"/>
      <c r="M201" s="38"/>
      <c r="N201" s="38"/>
      <c r="O201" s="38"/>
      <c r="P201" s="38"/>
      <c r="Q201" s="38"/>
      <c r="R201" s="38"/>
      <c r="S201" s="38"/>
      <c r="T201" s="38"/>
      <c r="U201" s="38"/>
      <c r="V201" s="38"/>
      <c r="W201" s="38"/>
      <c r="X201" s="38"/>
      <c r="Y201" s="38"/>
      <c r="Z201" s="38"/>
    </row>
    <row r="202" spans="6:26" ht="15" thickBot="1">
      <c r="F202" s="38"/>
      <c r="G202" s="38"/>
      <c r="H202" s="38"/>
      <c r="I202" s="38"/>
      <c r="J202" s="38"/>
      <c r="K202" s="38"/>
      <c r="L202" s="38"/>
      <c r="M202" s="38"/>
      <c r="N202" s="38"/>
      <c r="O202" s="38"/>
      <c r="P202" s="38"/>
      <c r="Q202" s="38"/>
      <c r="R202" s="38"/>
      <c r="S202" s="38"/>
      <c r="T202" s="38"/>
      <c r="U202" s="38"/>
      <c r="V202" s="38"/>
      <c r="W202" s="38"/>
      <c r="X202" s="38"/>
      <c r="Y202" s="38"/>
      <c r="Z202" s="38"/>
    </row>
    <row r="203" spans="6:26" ht="15" thickBot="1">
      <c r="F203" s="38"/>
      <c r="G203" s="38"/>
      <c r="H203" s="38"/>
      <c r="I203" s="38"/>
      <c r="J203" s="38"/>
      <c r="K203" s="38"/>
      <c r="L203" s="38"/>
      <c r="M203" s="38"/>
      <c r="N203" s="38"/>
      <c r="O203" s="38"/>
      <c r="P203" s="38"/>
      <c r="Q203" s="38"/>
      <c r="R203" s="38"/>
      <c r="S203" s="38"/>
      <c r="T203" s="38"/>
      <c r="U203" s="38"/>
      <c r="V203" s="38"/>
      <c r="W203" s="38"/>
      <c r="X203" s="38"/>
      <c r="Y203" s="38"/>
      <c r="Z203" s="38"/>
    </row>
    <row r="204" spans="6:26" ht="15" thickBot="1">
      <c r="F204" s="38"/>
      <c r="G204" s="38"/>
      <c r="H204" s="38"/>
      <c r="I204" s="38"/>
      <c r="J204" s="38"/>
      <c r="K204" s="38"/>
      <c r="L204" s="38"/>
      <c r="M204" s="38"/>
      <c r="N204" s="38"/>
      <c r="O204" s="38"/>
      <c r="P204" s="38"/>
      <c r="Q204" s="38"/>
      <c r="R204" s="38"/>
      <c r="S204" s="38"/>
      <c r="T204" s="38"/>
      <c r="U204" s="38"/>
      <c r="V204" s="38"/>
      <c r="W204" s="38"/>
      <c r="X204" s="38"/>
      <c r="Y204" s="38"/>
      <c r="Z204" s="38"/>
    </row>
    <row r="205" spans="6:26" ht="15" thickBot="1">
      <c r="F205" s="38"/>
      <c r="G205" s="38"/>
      <c r="H205" s="38"/>
      <c r="I205" s="38"/>
      <c r="J205" s="38"/>
      <c r="K205" s="38"/>
      <c r="L205" s="38"/>
      <c r="M205" s="38"/>
      <c r="N205" s="38"/>
      <c r="O205" s="38"/>
      <c r="P205" s="38"/>
      <c r="Q205" s="38"/>
      <c r="R205" s="38"/>
      <c r="S205" s="38"/>
      <c r="T205" s="38"/>
      <c r="U205" s="38"/>
      <c r="V205" s="38"/>
      <c r="W205" s="38"/>
      <c r="X205" s="38"/>
      <c r="Y205" s="38"/>
      <c r="Z205" s="38"/>
    </row>
    <row r="206" spans="6:26" ht="15" thickBot="1">
      <c r="F206" s="38"/>
      <c r="G206" s="38"/>
      <c r="H206" s="38"/>
      <c r="I206" s="38"/>
      <c r="J206" s="38"/>
      <c r="K206" s="38"/>
      <c r="L206" s="38"/>
      <c r="M206" s="38"/>
      <c r="N206" s="38"/>
      <c r="O206" s="38"/>
      <c r="P206" s="38"/>
      <c r="Q206" s="38"/>
      <c r="R206" s="38"/>
      <c r="S206" s="38"/>
      <c r="T206" s="38"/>
      <c r="U206" s="38"/>
      <c r="V206" s="38"/>
      <c r="W206" s="38"/>
      <c r="X206" s="38"/>
      <c r="Y206" s="38"/>
      <c r="Z206" s="38"/>
    </row>
    <row r="207" spans="6:26" ht="15" thickBot="1">
      <c r="F207" s="38"/>
      <c r="G207" s="38"/>
      <c r="H207" s="38"/>
      <c r="I207" s="38"/>
      <c r="J207" s="38"/>
      <c r="K207" s="38"/>
      <c r="L207" s="38"/>
      <c r="M207" s="38"/>
      <c r="N207" s="38"/>
      <c r="O207" s="38"/>
      <c r="P207" s="38"/>
      <c r="Q207" s="38"/>
      <c r="R207" s="38"/>
      <c r="S207" s="38"/>
      <c r="T207" s="38"/>
      <c r="U207" s="38"/>
      <c r="V207" s="38"/>
      <c r="W207" s="38"/>
      <c r="X207" s="38"/>
      <c r="Y207" s="38"/>
      <c r="Z207" s="38"/>
    </row>
    <row r="208" spans="6:26" ht="15" thickBot="1">
      <c r="F208" s="38"/>
      <c r="G208" s="38"/>
      <c r="H208" s="38"/>
      <c r="I208" s="38"/>
      <c r="J208" s="38"/>
      <c r="K208" s="38"/>
      <c r="L208" s="38"/>
      <c r="M208" s="38"/>
      <c r="N208" s="38"/>
      <c r="O208" s="38"/>
      <c r="P208" s="38"/>
      <c r="Q208" s="38"/>
      <c r="R208" s="38"/>
      <c r="S208" s="38"/>
      <c r="T208" s="38"/>
      <c r="U208" s="38"/>
      <c r="V208" s="38"/>
      <c r="W208" s="38"/>
      <c r="X208" s="38"/>
      <c r="Y208" s="38"/>
      <c r="Z208" s="38"/>
    </row>
    <row r="209" spans="6:26" ht="15" thickBot="1">
      <c r="F209" s="38"/>
      <c r="G209" s="38"/>
      <c r="H209" s="38"/>
      <c r="I209" s="38"/>
      <c r="J209" s="38"/>
      <c r="K209" s="38"/>
      <c r="L209" s="38"/>
      <c r="M209" s="38"/>
      <c r="N209" s="38"/>
      <c r="O209" s="38"/>
      <c r="P209" s="38"/>
      <c r="Q209" s="38"/>
      <c r="R209" s="38"/>
      <c r="S209" s="38"/>
      <c r="T209" s="38"/>
      <c r="U209" s="38"/>
      <c r="V209" s="38"/>
      <c r="W209" s="38"/>
      <c r="X209" s="38"/>
      <c r="Y209" s="38"/>
      <c r="Z209" s="38"/>
    </row>
    <row r="210" spans="6:26" ht="15" thickBot="1">
      <c r="F210" s="38"/>
      <c r="G210" s="38"/>
      <c r="H210" s="38"/>
      <c r="I210" s="38"/>
      <c r="J210" s="38"/>
      <c r="K210" s="38"/>
      <c r="L210" s="38"/>
      <c r="M210" s="38"/>
      <c r="N210" s="38"/>
      <c r="O210" s="38"/>
      <c r="P210" s="38"/>
      <c r="Q210" s="38"/>
      <c r="R210" s="38"/>
      <c r="S210" s="38"/>
      <c r="T210" s="38"/>
      <c r="U210" s="38"/>
      <c r="V210" s="38"/>
      <c r="W210" s="38"/>
      <c r="X210" s="38"/>
      <c r="Y210" s="38"/>
      <c r="Z210" s="38"/>
    </row>
    <row r="211" spans="6:26" ht="15" thickBot="1">
      <c r="F211" s="38"/>
      <c r="G211" s="38"/>
      <c r="H211" s="38"/>
      <c r="I211" s="38"/>
      <c r="J211" s="38"/>
      <c r="K211" s="38"/>
      <c r="L211" s="38"/>
      <c r="M211" s="38"/>
      <c r="N211" s="38"/>
      <c r="O211" s="38"/>
      <c r="P211" s="38"/>
      <c r="Q211" s="38"/>
      <c r="R211" s="38"/>
      <c r="S211" s="38"/>
      <c r="T211" s="38"/>
      <c r="U211" s="38"/>
      <c r="V211" s="38"/>
      <c r="W211" s="38"/>
      <c r="X211" s="38"/>
      <c r="Y211" s="38"/>
      <c r="Z211" s="38"/>
    </row>
    <row r="212" spans="6:26" ht="15" thickBot="1">
      <c r="F212" s="38"/>
      <c r="G212" s="38"/>
      <c r="H212" s="38"/>
      <c r="I212" s="38"/>
      <c r="J212" s="38"/>
      <c r="K212" s="38"/>
      <c r="L212" s="38"/>
      <c r="M212" s="38"/>
      <c r="N212" s="38"/>
      <c r="O212" s="38"/>
      <c r="P212" s="38"/>
      <c r="Q212" s="38"/>
      <c r="R212" s="38"/>
      <c r="S212" s="38"/>
      <c r="T212" s="38"/>
      <c r="U212" s="38"/>
      <c r="V212" s="38"/>
      <c r="W212" s="38"/>
      <c r="X212" s="38"/>
      <c r="Y212" s="38"/>
      <c r="Z212" s="38"/>
    </row>
    <row r="213" spans="6:26" ht="15" thickBot="1">
      <c r="F213" s="38"/>
      <c r="G213" s="38"/>
      <c r="H213" s="38"/>
      <c r="I213" s="38"/>
      <c r="J213" s="38"/>
      <c r="K213" s="38"/>
      <c r="L213" s="38"/>
      <c r="M213" s="38"/>
      <c r="N213" s="38"/>
      <c r="O213" s="38"/>
      <c r="P213" s="38"/>
      <c r="Q213" s="38"/>
      <c r="R213" s="38"/>
      <c r="S213" s="38"/>
      <c r="T213" s="38"/>
      <c r="U213" s="38"/>
      <c r="V213" s="38"/>
      <c r="W213" s="38"/>
      <c r="X213" s="38"/>
      <c r="Y213" s="38"/>
      <c r="Z213" s="38"/>
    </row>
    <row r="214" spans="6:26" ht="15" thickBot="1">
      <c r="F214" s="38"/>
      <c r="G214" s="38"/>
      <c r="H214" s="38"/>
      <c r="I214" s="38"/>
      <c r="J214" s="38"/>
      <c r="K214" s="38"/>
      <c r="L214" s="38"/>
      <c r="M214" s="38"/>
      <c r="N214" s="38"/>
      <c r="O214" s="38"/>
      <c r="P214" s="38"/>
      <c r="Q214" s="38"/>
      <c r="R214" s="38"/>
      <c r="S214" s="38"/>
      <c r="T214" s="38"/>
      <c r="U214" s="38"/>
      <c r="V214" s="38"/>
      <c r="W214" s="38"/>
      <c r="X214" s="38"/>
      <c r="Y214" s="38"/>
      <c r="Z214" s="38"/>
    </row>
    <row r="215" spans="6:26" ht="15" thickBot="1">
      <c r="F215" s="38"/>
      <c r="G215" s="38"/>
      <c r="H215" s="38"/>
      <c r="I215" s="38"/>
      <c r="J215" s="38"/>
      <c r="K215" s="38"/>
      <c r="L215" s="38"/>
      <c r="M215" s="38"/>
      <c r="N215" s="38"/>
      <c r="O215" s="38"/>
      <c r="P215" s="38"/>
      <c r="Q215" s="38"/>
      <c r="R215" s="38"/>
      <c r="S215" s="38"/>
      <c r="T215" s="38"/>
      <c r="U215" s="38"/>
      <c r="V215" s="38"/>
      <c r="W215" s="38"/>
      <c r="X215" s="38"/>
      <c r="Y215" s="38"/>
      <c r="Z215" s="38"/>
    </row>
    <row r="216" spans="6:26" ht="15" thickBot="1">
      <c r="F216" s="38"/>
      <c r="G216" s="38"/>
      <c r="H216" s="38"/>
      <c r="I216" s="38"/>
      <c r="J216" s="38"/>
      <c r="K216" s="38"/>
      <c r="L216" s="38"/>
      <c r="M216" s="38"/>
      <c r="N216" s="38"/>
      <c r="O216" s="38"/>
      <c r="P216" s="38"/>
      <c r="Q216" s="38"/>
      <c r="R216" s="38"/>
      <c r="S216" s="38"/>
      <c r="T216" s="38"/>
      <c r="U216" s="38"/>
      <c r="V216" s="38"/>
      <c r="W216" s="38"/>
      <c r="X216" s="38"/>
      <c r="Y216" s="38"/>
      <c r="Z216" s="38"/>
    </row>
    <row r="217" spans="6:26" ht="15" thickBot="1">
      <c r="F217" s="38"/>
      <c r="G217" s="38"/>
      <c r="H217" s="38"/>
      <c r="I217" s="38"/>
      <c r="J217" s="38"/>
      <c r="K217" s="38"/>
      <c r="L217" s="38"/>
      <c r="M217" s="38"/>
      <c r="N217" s="38"/>
      <c r="O217" s="38"/>
      <c r="P217" s="38"/>
      <c r="Q217" s="38"/>
      <c r="R217" s="38"/>
      <c r="S217" s="38"/>
      <c r="T217" s="38"/>
      <c r="U217" s="38"/>
      <c r="V217" s="38"/>
      <c r="W217" s="38"/>
      <c r="X217" s="38"/>
      <c r="Y217" s="38"/>
      <c r="Z217" s="38"/>
    </row>
    <row r="218" spans="6:26" ht="15" thickBot="1">
      <c r="F218" s="38"/>
      <c r="G218" s="38"/>
      <c r="H218" s="38"/>
      <c r="I218" s="38"/>
      <c r="J218" s="38"/>
      <c r="K218" s="38"/>
      <c r="L218" s="38"/>
      <c r="M218" s="38"/>
      <c r="N218" s="38"/>
      <c r="O218" s="38"/>
      <c r="P218" s="38"/>
      <c r="Q218" s="38"/>
      <c r="R218" s="38"/>
      <c r="S218" s="38"/>
      <c r="T218" s="38"/>
      <c r="U218" s="38"/>
      <c r="V218" s="38"/>
      <c r="W218" s="38"/>
      <c r="X218" s="38"/>
      <c r="Y218" s="38"/>
      <c r="Z218" s="38"/>
    </row>
    <row r="219" spans="6:26" ht="15" thickBot="1">
      <c r="F219" s="38"/>
      <c r="G219" s="38"/>
      <c r="H219" s="38"/>
      <c r="I219" s="38"/>
      <c r="J219" s="38"/>
      <c r="K219" s="38"/>
      <c r="L219" s="38"/>
      <c r="M219" s="38"/>
      <c r="N219" s="38"/>
      <c r="O219" s="38"/>
      <c r="P219" s="38"/>
      <c r="Q219" s="38"/>
      <c r="R219" s="38"/>
      <c r="S219" s="38"/>
      <c r="T219" s="38"/>
      <c r="U219" s="38"/>
      <c r="V219" s="38"/>
      <c r="W219" s="38"/>
      <c r="X219" s="38"/>
      <c r="Y219" s="38"/>
      <c r="Z219" s="38"/>
    </row>
    <row r="220" spans="6:26" ht="15" thickBot="1">
      <c r="F220" s="38"/>
      <c r="G220" s="38"/>
      <c r="H220" s="38"/>
      <c r="I220" s="38"/>
      <c r="J220" s="38"/>
      <c r="K220" s="38"/>
      <c r="L220" s="38"/>
      <c r="M220" s="38"/>
      <c r="N220" s="38"/>
      <c r="O220" s="38"/>
      <c r="P220" s="38"/>
      <c r="Q220" s="38"/>
      <c r="R220" s="38"/>
      <c r="S220" s="38"/>
      <c r="T220" s="38"/>
      <c r="U220" s="38"/>
      <c r="V220" s="38"/>
      <c r="W220" s="38"/>
      <c r="X220" s="38"/>
      <c r="Y220" s="38"/>
      <c r="Z220" s="38"/>
    </row>
    <row r="221" spans="6:26" ht="15" thickBot="1">
      <c r="F221" s="38"/>
      <c r="G221" s="38"/>
      <c r="H221" s="38"/>
      <c r="I221" s="38"/>
      <c r="J221" s="38"/>
      <c r="K221" s="38"/>
      <c r="L221" s="38"/>
      <c r="M221" s="38"/>
      <c r="N221" s="38"/>
      <c r="O221" s="38"/>
      <c r="P221" s="38"/>
      <c r="Q221" s="38"/>
      <c r="R221" s="38"/>
      <c r="S221" s="38"/>
      <c r="T221" s="38"/>
      <c r="U221" s="38"/>
      <c r="V221" s="38"/>
      <c r="W221" s="38"/>
      <c r="X221" s="38"/>
      <c r="Y221" s="38"/>
      <c r="Z221" s="38"/>
    </row>
    <row r="222" spans="6:26" ht="15" thickBot="1">
      <c r="F222" s="38"/>
      <c r="G222" s="38"/>
      <c r="H222" s="38"/>
      <c r="I222" s="38"/>
      <c r="J222" s="38"/>
      <c r="K222" s="38"/>
      <c r="L222" s="38"/>
      <c r="M222" s="38"/>
      <c r="N222" s="38"/>
      <c r="O222" s="38"/>
      <c r="P222" s="38"/>
      <c r="Q222" s="38"/>
      <c r="R222" s="38"/>
      <c r="S222" s="38"/>
      <c r="T222" s="38"/>
      <c r="U222" s="38"/>
      <c r="V222" s="38"/>
      <c r="W222" s="38"/>
      <c r="X222" s="38"/>
      <c r="Y222" s="38"/>
      <c r="Z222" s="38"/>
    </row>
    <row r="223" spans="6:26" ht="15" thickBot="1">
      <c r="F223" s="38"/>
      <c r="G223" s="38"/>
      <c r="H223" s="38"/>
      <c r="I223" s="38"/>
      <c r="J223" s="38"/>
      <c r="K223" s="38"/>
      <c r="L223" s="38"/>
      <c r="M223" s="38"/>
      <c r="N223" s="38"/>
      <c r="O223" s="38"/>
      <c r="P223" s="38"/>
      <c r="Q223" s="38"/>
      <c r="R223" s="38"/>
      <c r="S223" s="38"/>
      <c r="T223" s="38"/>
      <c r="U223" s="38"/>
      <c r="V223" s="38"/>
      <c r="W223" s="38"/>
      <c r="X223" s="38"/>
      <c r="Y223" s="38"/>
      <c r="Z223" s="38"/>
    </row>
    <row r="224" spans="6:26" ht="15" thickBot="1">
      <c r="F224" s="38"/>
      <c r="G224" s="38"/>
      <c r="H224" s="38"/>
      <c r="I224" s="38"/>
      <c r="J224" s="38"/>
      <c r="K224" s="38"/>
      <c r="L224" s="38"/>
      <c r="M224" s="38"/>
      <c r="N224" s="38"/>
      <c r="O224" s="38"/>
      <c r="P224" s="38"/>
      <c r="Q224" s="38"/>
      <c r="R224" s="38"/>
      <c r="S224" s="38"/>
      <c r="T224" s="38"/>
      <c r="U224" s="38"/>
      <c r="V224" s="38"/>
      <c r="W224" s="38"/>
      <c r="X224" s="38"/>
      <c r="Y224" s="38"/>
      <c r="Z224" s="38"/>
    </row>
    <row r="225" spans="6:26" ht="15" thickBot="1">
      <c r="F225" s="38"/>
      <c r="G225" s="38"/>
      <c r="H225" s="38"/>
      <c r="I225" s="38"/>
      <c r="J225" s="38"/>
      <c r="K225" s="38"/>
      <c r="L225" s="38"/>
      <c r="M225" s="38"/>
      <c r="N225" s="38"/>
      <c r="O225" s="38"/>
      <c r="P225" s="38"/>
      <c r="Q225" s="38"/>
      <c r="R225" s="38"/>
      <c r="S225" s="38"/>
      <c r="T225" s="38"/>
      <c r="U225" s="38"/>
      <c r="V225" s="38"/>
      <c r="W225" s="38"/>
      <c r="X225" s="38"/>
      <c r="Y225" s="38"/>
      <c r="Z225" s="38"/>
    </row>
    <row r="226" spans="6:26" ht="15" thickBot="1">
      <c r="F226" s="38"/>
      <c r="G226" s="38"/>
      <c r="H226" s="38"/>
      <c r="I226" s="38"/>
      <c r="J226" s="38"/>
      <c r="K226" s="38"/>
      <c r="L226" s="38"/>
      <c r="M226" s="38"/>
      <c r="N226" s="38"/>
      <c r="O226" s="38"/>
      <c r="P226" s="38"/>
      <c r="Q226" s="38"/>
      <c r="R226" s="38"/>
      <c r="S226" s="38"/>
      <c r="T226" s="38"/>
      <c r="U226" s="38"/>
      <c r="V226" s="38"/>
      <c r="W226" s="38"/>
      <c r="X226" s="38"/>
      <c r="Y226" s="38"/>
      <c r="Z226" s="38"/>
    </row>
    <row r="227" spans="6:26" ht="15" thickBot="1">
      <c r="F227" s="38"/>
      <c r="G227" s="38"/>
      <c r="H227" s="38"/>
      <c r="I227" s="38"/>
      <c r="J227" s="38"/>
      <c r="K227" s="38"/>
      <c r="L227" s="38"/>
      <c r="M227" s="38"/>
      <c r="N227" s="38"/>
      <c r="O227" s="38"/>
      <c r="P227" s="38"/>
      <c r="Q227" s="38"/>
      <c r="R227" s="38"/>
      <c r="S227" s="38"/>
      <c r="T227" s="38"/>
      <c r="U227" s="38"/>
      <c r="V227" s="38"/>
      <c r="W227" s="38"/>
      <c r="X227" s="38"/>
      <c r="Y227" s="38"/>
      <c r="Z227" s="38"/>
    </row>
    <row r="228" spans="6:26" ht="15" thickBot="1">
      <c r="F228" s="38"/>
      <c r="G228" s="38"/>
      <c r="H228" s="38"/>
      <c r="I228" s="38"/>
      <c r="J228" s="38"/>
      <c r="K228" s="38"/>
      <c r="L228" s="38"/>
      <c r="M228" s="38"/>
      <c r="N228" s="38"/>
      <c r="O228" s="38"/>
      <c r="P228" s="38"/>
      <c r="Q228" s="38"/>
      <c r="R228" s="38"/>
      <c r="S228" s="38"/>
      <c r="T228" s="38"/>
      <c r="U228" s="38"/>
      <c r="V228" s="38"/>
      <c r="W228" s="38"/>
      <c r="X228" s="38"/>
      <c r="Y228" s="38"/>
      <c r="Z228" s="38"/>
    </row>
    <row r="229" spans="6:26" ht="15" thickBot="1">
      <c r="F229" s="38"/>
      <c r="G229" s="38"/>
      <c r="H229" s="38"/>
      <c r="I229" s="38"/>
      <c r="J229" s="38"/>
      <c r="K229" s="38"/>
      <c r="L229" s="38"/>
      <c r="M229" s="38"/>
      <c r="N229" s="38"/>
      <c r="O229" s="38"/>
      <c r="P229" s="38"/>
      <c r="Q229" s="38"/>
      <c r="R229" s="38"/>
      <c r="S229" s="38"/>
      <c r="T229" s="38"/>
      <c r="U229" s="38"/>
      <c r="V229" s="38"/>
      <c r="W229" s="38"/>
      <c r="X229" s="38"/>
      <c r="Y229" s="38"/>
      <c r="Z229" s="38"/>
    </row>
    <row r="230" spans="6:26" ht="15" thickBot="1">
      <c r="F230" s="38"/>
      <c r="G230" s="38"/>
      <c r="H230" s="38"/>
      <c r="I230" s="38"/>
      <c r="J230" s="38"/>
      <c r="K230" s="38"/>
      <c r="L230" s="38"/>
      <c r="M230" s="38"/>
      <c r="N230" s="38"/>
      <c r="O230" s="38"/>
      <c r="P230" s="38"/>
      <c r="Q230" s="38"/>
      <c r="R230" s="38"/>
      <c r="S230" s="38"/>
      <c r="T230" s="38"/>
      <c r="U230" s="38"/>
      <c r="V230" s="38"/>
      <c r="W230" s="38"/>
      <c r="X230" s="38"/>
      <c r="Y230" s="38"/>
      <c r="Z230" s="38"/>
    </row>
    <row r="231" spans="6:26" ht="15" thickBot="1">
      <c r="F231" s="38"/>
      <c r="G231" s="38"/>
      <c r="H231" s="38"/>
      <c r="I231" s="38"/>
      <c r="J231" s="38"/>
      <c r="K231" s="38"/>
      <c r="L231" s="38"/>
      <c r="M231" s="38"/>
      <c r="N231" s="38"/>
      <c r="O231" s="38"/>
      <c r="P231" s="38"/>
      <c r="Q231" s="38"/>
      <c r="R231" s="38"/>
      <c r="S231" s="38"/>
      <c r="T231" s="38"/>
      <c r="U231" s="38"/>
      <c r="V231" s="38"/>
      <c r="W231" s="38"/>
      <c r="X231" s="38"/>
      <c r="Y231" s="38"/>
      <c r="Z231" s="38"/>
    </row>
    <row r="232" spans="6:26" ht="15" thickBot="1">
      <c r="F232" s="38"/>
      <c r="G232" s="38"/>
      <c r="H232" s="38"/>
      <c r="I232" s="38"/>
      <c r="J232" s="38"/>
      <c r="K232" s="38"/>
      <c r="L232" s="38"/>
      <c r="M232" s="38"/>
      <c r="N232" s="38"/>
      <c r="O232" s="38"/>
      <c r="P232" s="38"/>
      <c r="Q232" s="38"/>
      <c r="R232" s="38"/>
      <c r="S232" s="38"/>
      <c r="T232" s="38"/>
      <c r="U232" s="38"/>
      <c r="V232" s="38"/>
      <c r="W232" s="38"/>
      <c r="X232" s="38"/>
      <c r="Y232" s="38"/>
      <c r="Z232" s="38"/>
    </row>
    <row r="233" spans="6:26" ht="15" thickBot="1">
      <c r="F233" s="38"/>
      <c r="G233" s="38"/>
      <c r="H233" s="38"/>
      <c r="I233" s="38"/>
      <c r="J233" s="38"/>
      <c r="K233" s="38"/>
      <c r="L233" s="38"/>
      <c r="M233" s="38"/>
      <c r="N233" s="38"/>
      <c r="O233" s="38"/>
      <c r="P233" s="38"/>
      <c r="Q233" s="38"/>
      <c r="R233" s="38"/>
      <c r="S233" s="38"/>
      <c r="T233" s="38"/>
      <c r="U233" s="38"/>
      <c r="V233" s="38"/>
      <c r="W233" s="38"/>
      <c r="X233" s="38"/>
      <c r="Y233" s="38"/>
      <c r="Z233" s="38"/>
    </row>
    <row r="234" spans="6:26" ht="15" thickBot="1">
      <c r="F234" s="38"/>
      <c r="G234" s="38"/>
      <c r="H234" s="38"/>
      <c r="I234" s="38"/>
      <c r="J234" s="38"/>
      <c r="K234" s="38"/>
      <c r="L234" s="38"/>
      <c r="M234" s="38"/>
      <c r="N234" s="38"/>
      <c r="O234" s="38"/>
      <c r="P234" s="38"/>
      <c r="Q234" s="38"/>
      <c r="R234" s="38"/>
      <c r="S234" s="38"/>
      <c r="T234" s="38"/>
      <c r="U234" s="38"/>
      <c r="V234" s="38"/>
      <c r="W234" s="38"/>
      <c r="X234" s="38"/>
      <c r="Y234" s="38"/>
      <c r="Z234" s="38"/>
    </row>
    <row r="235" spans="6:26" ht="15" thickBot="1">
      <c r="F235" s="38"/>
      <c r="G235" s="38"/>
      <c r="H235" s="38"/>
      <c r="I235" s="38"/>
      <c r="J235" s="38"/>
      <c r="K235" s="38"/>
      <c r="L235" s="38"/>
      <c r="M235" s="38"/>
      <c r="N235" s="38"/>
      <c r="O235" s="38"/>
      <c r="P235" s="38"/>
      <c r="Q235" s="38"/>
      <c r="R235" s="38"/>
      <c r="S235" s="38"/>
      <c r="T235" s="38"/>
      <c r="U235" s="38"/>
      <c r="V235" s="38"/>
      <c r="W235" s="38"/>
      <c r="X235" s="38"/>
      <c r="Y235" s="38"/>
      <c r="Z235" s="38"/>
    </row>
    <row r="236" spans="6:26" ht="15" thickBot="1">
      <c r="F236" s="38"/>
      <c r="G236" s="38"/>
      <c r="H236" s="38"/>
      <c r="I236" s="38"/>
      <c r="J236" s="38"/>
      <c r="K236" s="38"/>
      <c r="L236" s="38"/>
      <c r="M236" s="38"/>
      <c r="N236" s="38"/>
      <c r="O236" s="38"/>
      <c r="P236" s="38"/>
      <c r="Q236" s="38"/>
      <c r="R236" s="38"/>
      <c r="S236" s="38"/>
      <c r="T236" s="38"/>
      <c r="U236" s="38"/>
      <c r="V236" s="38"/>
      <c r="W236" s="38"/>
      <c r="X236" s="38"/>
      <c r="Y236" s="38"/>
      <c r="Z236" s="38"/>
    </row>
    <row r="237" spans="6:26" ht="15" thickBot="1">
      <c r="F237" s="38"/>
      <c r="G237" s="38"/>
      <c r="H237" s="38"/>
      <c r="I237" s="38"/>
      <c r="J237" s="38"/>
      <c r="K237" s="38"/>
      <c r="L237" s="38"/>
      <c r="M237" s="38"/>
      <c r="N237" s="38"/>
      <c r="O237" s="38"/>
      <c r="P237" s="38"/>
      <c r="Q237" s="38"/>
      <c r="R237" s="38"/>
      <c r="S237" s="38"/>
      <c r="T237" s="38"/>
      <c r="U237" s="38"/>
      <c r="V237" s="38"/>
      <c r="W237" s="38"/>
      <c r="X237" s="38"/>
      <c r="Y237" s="38"/>
      <c r="Z237" s="38"/>
    </row>
    <row r="238" spans="6:26" ht="15" thickBot="1">
      <c r="F238" s="38"/>
      <c r="G238" s="38"/>
      <c r="H238" s="38"/>
      <c r="I238" s="38"/>
      <c r="J238" s="38"/>
      <c r="K238" s="38"/>
      <c r="L238" s="38"/>
      <c r="M238" s="38"/>
      <c r="N238" s="38"/>
      <c r="O238" s="38"/>
      <c r="P238" s="38"/>
      <c r="Q238" s="38"/>
      <c r="R238" s="38"/>
      <c r="S238" s="38"/>
      <c r="T238" s="38"/>
      <c r="U238" s="38"/>
      <c r="V238" s="38"/>
      <c r="W238" s="38"/>
      <c r="X238" s="38"/>
      <c r="Y238" s="38"/>
      <c r="Z238" s="38"/>
    </row>
    <row r="239" spans="6:26" ht="15" thickBot="1">
      <c r="F239" s="38"/>
      <c r="G239" s="38"/>
      <c r="H239" s="38"/>
      <c r="I239" s="38"/>
      <c r="J239" s="38"/>
      <c r="K239" s="38"/>
      <c r="L239" s="38"/>
      <c r="M239" s="38"/>
      <c r="N239" s="38"/>
      <c r="O239" s="38"/>
      <c r="P239" s="38"/>
      <c r="Q239" s="38"/>
      <c r="R239" s="38"/>
      <c r="S239" s="38"/>
      <c r="T239" s="38"/>
      <c r="U239" s="38"/>
      <c r="V239" s="38"/>
      <c r="W239" s="38"/>
      <c r="X239" s="38"/>
      <c r="Y239" s="38"/>
      <c r="Z239" s="38"/>
    </row>
    <row r="240" spans="6:26" ht="15" thickBot="1">
      <c r="F240" s="38"/>
      <c r="G240" s="38"/>
      <c r="H240" s="38"/>
      <c r="I240" s="38"/>
      <c r="J240" s="38"/>
      <c r="K240" s="38"/>
      <c r="L240" s="38"/>
      <c r="M240" s="38"/>
      <c r="N240" s="38"/>
      <c r="O240" s="38"/>
      <c r="P240" s="38"/>
      <c r="Q240" s="38"/>
      <c r="R240" s="38"/>
      <c r="S240" s="38"/>
      <c r="T240" s="38"/>
      <c r="U240" s="38"/>
      <c r="V240" s="38"/>
      <c r="W240" s="38"/>
      <c r="X240" s="38"/>
      <c r="Y240" s="38"/>
      <c r="Z240" s="38"/>
    </row>
    <row r="241" spans="6:26" ht="15" thickBot="1">
      <c r="F241" s="38"/>
      <c r="G241" s="38"/>
      <c r="H241" s="38"/>
      <c r="I241" s="38"/>
      <c r="J241" s="38"/>
      <c r="K241" s="38"/>
      <c r="L241" s="38"/>
      <c r="M241" s="38"/>
      <c r="N241" s="38"/>
      <c r="O241" s="38"/>
      <c r="P241" s="38"/>
      <c r="Q241" s="38"/>
      <c r="R241" s="38"/>
      <c r="S241" s="38"/>
      <c r="T241" s="38"/>
      <c r="U241" s="38"/>
      <c r="V241" s="38"/>
      <c r="W241" s="38"/>
      <c r="X241" s="38"/>
      <c r="Y241" s="38"/>
      <c r="Z241" s="38"/>
    </row>
    <row r="242" spans="6:26" ht="15" thickBot="1">
      <c r="F242" s="38"/>
      <c r="G242" s="38"/>
      <c r="H242" s="38"/>
      <c r="I242" s="38"/>
      <c r="J242" s="38"/>
      <c r="K242" s="38"/>
      <c r="L242" s="38"/>
      <c r="M242" s="38"/>
      <c r="N242" s="38"/>
      <c r="O242" s="38"/>
      <c r="P242" s="38"/>
      <c r="Q242" s="38"/>
      <c r="R242" s="38"/>
      <c r="S242" s="38"/>
      <c r="T242" s="38"/>
      <c r="U242" s="38"/>
      <c r="V242" s="38"/>
      <c r="W242" s="38"/>
      <c r="X242" s="38"/>
      <c r="Y242" s="38"/>
      <c r="Z242" s="38"/>
    </row>
    <row r="243" spans="6:26" ht="15" thickBot="1">
      <c r="F243" s="38"/>
      <c r="G243" s="38"/>
      <c r="H243" s="38"/>
      <c r="I243" s="38"/>
      <c r="J243" s="38"/>
      <c r="K243" s="38"/>
      <c r="L243" s="38"/>
      <c r="M243" s="38"/>
      <c r="N243" s="38"/>
      <c r="O243" s="38"/>
      <c r="P243" s="38"/>
      <c r="Q243" s="38"/>
      <c r="R243" s="38"/>
      <c r="S243" s="38"/>
      <c r="T243" s="38"/>
      <c r="U243" s="38"/>
      <c r="V243" s="38"/>
      <c r="W243" s="38"/>
      <c r="X243" s="38"/>
      <c r="Y243" s="38"/>
      <c r="Z243" s="38"/>
    </row>
    <row r="244" spans="6:26" ht="15" thickBot="1">
      <c r="F244" s="38"/>
      <c r="G244" s="38"/>
      <c r="H244" s="38"/>
      <c r="I244" s="38"/>
      <c r="J244" s="38"/>
      <c r="K244" s="38"/>
      <c r="L244" s="38"/>
      <c r="M244" s="38"/>
      <c r="N244" s="38"/>
      <c r="O244" s="38"/>
      <c r="P244" s="38"/>
      <c r="Q244" s="38"/>
      <c r="R244" s="38"/>
      <c r="S244" s="38"/>
      <c r="T244" s="38"/>
      <c r="U244" s="38"/>
      <c r="V244" s="38"/>
      <c r="W244" s="38"/>
      <c r="X244" s="38"/>
      <c r="Y244" s="38"/>
      <c r="Z244" s="38"/>
    </row>
    <row r="245" spans="6:26" ht="15" thickBot="1">
      <c r="F245" s="38"/>
      <c r="G245" s="38"/>
      <c r="H245" s="38"/>
      <c r="I245" s="38"/>
      <c r="J245" s="38"/>
      <c r="K245" s="38"/>
      <c r="L245" s="38"/>
      <c r="M245" s="38"/>
      <c r="N245" s="38"/>
      <c r="O245" s="38"/>
      <c r="P245" s="38"/>
      <c r="Q245" s="38"/>
      <c r="R245" s="38"/>
      <c r="S245" s="38"/>
      <c r="T245" s="38"/>
      <c r="U245" s="38"/>
      <c r="V245" s="38"/>
      <c r="W245" s="38"/>
      <c r="X245" s="38"/>
      <c r="Y245" s="38"/>
      <c r="Z245" s="38"/>
    </row>
    <row r="246" spans="6:26" ht="15" thickBot="1">
      <c r="F246" s="38"/>
      <c r="G246" s="38"/>
      <c r="H246" s="38"/>
      <c r="I246" s="38"/>
      <c r="J246" s="38"/>
      <c r="K246" s="38"/>
      <c r="L246" s="38"/>
      <c r="M246" s="38"/>
      <c r="N246" s="38"/>
      <c r="O246" s="38"/>
      <c r="P246" s="38"/>
      <c r="Q246" s="38"/>
      <c r="R246" s="38"/>
      <c r="S246" s="38"/>
      <c r="T246" s="38"/>
      <c r="U246" s="38"/>
      <c r="V246" s="38"/>
      <c r="W246" s="38"/>
      <c r="X246" s="38"/>
      <c r="Y246" s="38"/>
      <c r="Z246" s="38"/>
    </row>
    <row r="247" spans="6:26" ht="15" thickBot="1">
      <c r="F247" s="38"/>
      <c r="G247" s="38"/>
      <c r="H247" s="38"/>
      <c r="I247" s="38"/>
      <c r="J247" s="38"/>
      <c r="K247" s="38"/>
      <c r="L247" s="38"/>
      <c r="M247" s="38"/>
      <c r="N247" s="38"/>
      <c r="O247" s="38"/>
      <c r="P247" s="38"/>
      <c r="Q247" s="38"/>
      <c r="R247" s="38"/>
      <c r="S247" s="38"/>
      <c r="T247" s="38"/>
      <c r="U247" s="38"/>
      <c r="V247" s="38"/>
      <c r="W247" s="38"/>
      <c r="X247" s="38"/>
      <c r="Y247" s="38"/>
      <c r="Z247" s="38"/>
    </row>
    <row r="248" spans="6:26" ht="15" thickBot="1">
      <c r="F248" s="38"/>
      <c r="G248" s="38"/>
      <c r="H248" s="38"/>
      <c r="I248" s="38"/>
      <c r="J248" s="38"/>
      <c r="K248" s="38"/>
      <c r="L248" s="38"/>
      <c r="M248" s="38"/>
      <c r="N248" s="38"/>
      <c r="O248" s="38"/>
      <c r="P248" s="38"/>
      <c r="Q248" s="38"/>
      <c r="R248" s="38"/>
      <c r="S248" s="38"/>
      <c r="T248" s="38"/>
      <c r="U248" s="38"/>
      <c r="V248" s="38"/>
      <c r="W248" s="38"/>
      <c r="X248" s="38"/>
      <c r="Y248" s="38"/>
      <c r="Z248" s="38"/>
    </row>
    <row r="249" spans="6:26" ht="15" thickBot="1">
      <c r="F249" s="38"/>
      <c r="G249" s="38"/>
      <c r="H249" s="38"/>
      <c r="I249" s="38"/>
      <c r="J249" s="38"/>
      <c r="K249" s="38"/>
      <c r="L249" s="38"/>
      <c r="M249" s="38"/>
      <c r="N249" s="38"/>
      <c r="O249" s="38"/>
      <c r="P249" s="38"/>
      <c r="Q249" s="38"/>
      <c r="R249" s="38"/>
      <c r="S249" s="38"/>
      <c r="T249" s="38"/>
      <c r="U249" s="38"/>
      <c r="V249" s="38"/>
      <c r="W249" s="38"/>
      <c r="X249" s="38"/>
      <c r="Y249" s="38"/>
      <c r="Z249" s="38"/>
    </row>
    <row r="250" spans="6:26" ht="15" thickBot="1">
      <c r="F250" s="38"/>
      <c r="G250" s="38"/>
      <c r="H250" s="38"/>
      <c r="I250" s="38"/>
      <c r="J250" s="38"/>
      <c r="K250" s="38"/>
      <c r="L250" s="38"/>
      <c r="M250" s="38"/>
      <c r="N250" s="38"/>
      <c r="O250" s="38"/>
      <c r="P250" s="38"/>
      <c r="Q250" s="38"/>
      <c r="R250" s="38"/>
      <c r="S250" s="38"/>
      <c r="T250" s="38"/>
      <c r="U250" s="38"/>
      <c r="V250" s="38"/>
      <c r="W250" s="38"/>
      <c r="X250" s="38"/>
      <c r="Y250" s="38"/>
      <c r="Z250" s="38"/>
    </row>
    <row r="251" spans="6:26" ht="15" thickBot="1">
      <c r="F251" s="38"/>
      <c r="G251" s="38"/>
      <c r="H251" s="38"/>
      <c r="I251" s="38"/>
      <c r="J251" s="38"/>
      <c r="K251" s="38"/>
      <c r="L251" s="38"/>
      <c r="M251" s="38"/>
      <c r="N251" s="38"/>
      <c r="O251" s="38"/>
      <c r="P251" s="38"/>
      <c r="Q251" s="38"/>
      <c r="R251" s="38"/>
      <c r="S251" s="38"/>
      <c r="T251" s="38"/>
      <c r="U251" s="38"/>
      <c r="V251" s="38"/>
      <c r="W251" s="38"/>
      <c r="X251" s="38"/>
      <c r="Y251" s="38"/>
      <c r="Z251" s="38"/>
    </row>
    <row r="252" spans="6:26" ht="15" thickBot="1">
      <c r="F252" s="38"/>
      <c r="G252" s="38"/>
      <c r="H252" s="38"/>
      <c r="I252" s="38"/>
      <c r="J252" s="38"/>
      <c r="K252" s="38"/>
      <c r="L252" s="38"/>
      <c r="M252" s="38"/>
      <c r="N252" s="38"/>
      <c r="O252" s="38"/>
      <c r="P252" s="38"/>
      <c r="Q252" s="38"/>
      <c r="R252" s="38"/>
      <c r="S252" s="38"/>
      <c r="T252" s="38"/>
      <c r="U252" s="38"/>
      <c r="V252" s="38"/>
      <c r="W252" s="38"/>
      <c r="X252" s="38"/>
      <c r="Y252" s="38"/>
      <c r="Z252" s="38"/>
    </row>
    <row r="253" spans="6:26" ht="15" thickBot="1">
      <c r="F253" s="38"/>
      <c r="G253" s="38"/>
      <c r="H253" s="38"/>
      <c r="I253" s="38"/>
      <c r="J253" s="38"/>
      <c r="K253" s="38"/>
      <c r="L253" s="38"/>
      <c r="M253" s="38"/>
      <c r="N253" s="38"/>
      <c r="O253" s="38"/>
      <c r="P253" s="38"/>
      <c r="Q253" s="38"/>
      <c r="R253" s="38"/>
      <c r="S253" s="38"/>
      <c r="T253" s="38"/>
      <c r="U253" s="38"/>
      <c r="V253" s="38"/>
      <c r="W253" s="38"/>
      <c r="X253" s="38"/>
      <c r="Y253" s="38"/>
      <c r="Z253" s="38"/>
    </row>
    <row r="254" spans="6:26" ht="15" thickBot="1">
      <c r="F254" s="38"/>
      <c r="G254" s="38"/>
      <c r="H254" s="38"/>
      <c r="I254" s="38"/>
      <c r="J254" s="38"/>
      <c r="K254" s="38"/>
      <c r="L254" s="38"/>
      <c r="M254" s="38"/>
      <c r="N254" s="38"/>
      <c r="O254" s="38"/>
      <c r="P254" s="38"/>
      <c r="Q254" s="38"/>
      <c r="R254" s="38"/>
      <c r="S254" s="38"/>
      <c r="T254" s="38"/>
      <c r="U254" s="38"/>
      <c r="V254" s="38"/>
      <c r="W254" s="38"/>
      <c r="X254" s="38"/>
      <c r="Y254" s="38"/>
      <c r="Z254" s="38"/>
    </row>
    <row r="255" spans="6:26" ht="15" thickBot="1">
      <c r="F255" s="38"/>
      <c r="G255" s="38"/>
      <c r="H255" s="38"/>
      <c r="I255" s="38"/>
      <c r="J255" s="38"/>
      <c r="K255" s="38"/>
      <c r="L255" s="38"/>
      <c r="M255" s="38"/>
      <c r="N255" s="38"/>
      <c r="O255" s="38"/>
      <c r="P255" s="38"/>
      <c r="Q255" s="38"/>
      <c r="R255" s="38"/>
      <c r="S255" s="38"/>
      <c r="T255" s="38"/>
      <c r="U255" s="38"/>
      <c r="V255" s="38"/>
      <c r="W255" s="38"/>
      <c r="X255" s="38"/>
      <c r="Y255" s="38"/>
      <c r="Z255" s="38"/>
    </row>
    <row r="256" spans="6:26" ht="15" thickBot="1">
      <c r="F256" s="38"/>
      <c r="G256" s="38"/>
      <c r="H256" s="38"/>
      <c r="I256" s="38"/>
      <c r="J256" s="38"/>
      <c r="K256" s="38"/>
      <c r="L256" s="38"/>
      <c r="M256" s="38"/>
      <c r="N256" s="38"/>
      <c r="O256" s="38"/>
      <c r="P256" s="38"/>
      <c r="Q256" s="38"/>
      <c r="R256" s="38"/>
      <c r="S256" s="38"/>
      <c r="T256" s="38"/>
      <c r="U256" s="38"/>
      <c r="V256" s="38"/>
      <c r="W256" s="38"/>
      <c r="X256" s="38"/>
      <c r="Y256" s="38"/>
      <c r="Z256" s="38"/>
    </row>
    <row r="257" spans="6:26" ht="15" thickBot="1">
      <c r="F257" s="38"/>
      <c r="G257" s="38"/>
      <c r="H257" s="38"/>
      <c r="I257" s="38"/>
      <c r="J257" s="38"/>
      <c r="K257" s="38"/>
      <c r="L257" s="38"/>
      <c r="M257" s="38"/>
      <c r="N257" s="38"/>
      <c r="O257" s="38"/>
      <c r="P257" s="38"/>
      <c r="Q257" s="38"/>
      <c r="R257" s="38"/>
      <c r="S257" s="38"/>
      <c r="T257" s="38"/>
      <c r="U257" s="38"/>
      <c r="V257" s="38"/>
      <c r="W257" s="38"/>
      <c r="X257" s="38"/>
      <c r="Y257" s="38"/>
      <c r="Z257" s="38"/>
    </row>
    <row r="258" spans="6:26" ht="15" thickBot="1">
      <c r="F258" s="38"/>
      <c r="G258" s="38"/>
      <c r="H258" s="38"/>
      <c r="I258" s="38"/>
      <c r="J258" s="38"/>
      <c r="K258" s="38"/>
      <c r="L258" s="38"/>
      <c r="M258" s="38"/>
      <c r="N258" s="38"/>
      <c r="O258" s="38"/>
      <c r="P258" s="38"/>
      <c r="Q258" s="38"/>
      <c r="R258" s="38"/>
      <c r="S258" s="38"/>
      <c r="T258" s="38"/>
      <c r="U258" s="38"/>
      <c r="V258" s="38"/>
      <c r="W258" s="38"/>
      <c r="X258" s="38"/>
      <c r="Y258" s="38"/>
      <c r="Z258" s="38"/>
    </row>
    <row r="259" spans="6:26" ht="15" thickBot="1">
      <c r="F259" s="38"/>
      <c r="G259" s="38"/>
      <c r="H259" s="38"/>
      <c r="I259" s="38"/>
      <c r="J259" s="38"/>
      <c r="K259" s="38"/>
      <c r="L259" s="38"/>
      <c r="M259" s="38"/>
      <c r="N259" s="38"/>
      <c r="O259" s="38"/>
      <c r="P259" s="38"/>
      <c r="Q259" s="38"/>
      <c r="R259" s="38"/>
      <c r="S259" s="38"/>
      <c r="T259" s="38"/>
      <c r="U259" s="38"/>
      <c r="V259" s="38"/>
      <c r="W259" s="38"/>
      <c r="X259" s="38"/>
      <c r="Y259" s="38"/>
      <c r="Z259" s="38"/>
    </row>
    <row r="260" spans="6:26" ht="15" thickBot="1">
      <c r="F260" s="38"/>
      <c r="G260" s="38"/>
      <c r="H260" s="38"/>
      <c r="I260" s="38"/>
      <c r="J260" s="38"/>
      <c r="K260" s="38"/>
      <c r="L260" s="38"/>
      <c r="M260" s="38"/>
      <c r="N260" s="38"/>
      <c r="O260" s="38"/>
      <c r="P260" s="38"/>
      <c r="Q260" s="38"/>
      <c r="R260" s="38"/>
      <c r="S260" s="38"/>
      <c r="T260" s="38"/>
      <c r="U260" s="38"/>
      <c r="V260" s="38"/>
      <c r="W260" s="38"/>
      <c r="X260" s="38"/>
      <c r="Y260" s="38"/>
      <c r="Z260" s="38"/>
    </row>
    <row r="261" spans="6:26" ht="15" thickBot="1">
      <c r="F261" s="38"/>
      <c r="G261" s="38"/>
      <c r="H261" s="38"/>
      <c r="I261" s="38"/>
      <c r="J261" s="38"/>
      <c r="K261" s="38"/>
      <c r="L261" s="38"/>
      <c r="M261" s="38"/>
      <c r="N261" s="38"/>
      <c r="O261" s="38"/>
      <c r="P261" s="38"/>
      <c r="Q261" s="38"/>
      <c r="R261" s="38"/>
      <c r="S261" s="38"/>
      <c r="T261" s="38"/>
      <c r="U261" s="38"/>
      <c r="V261" s="38"/>
      <c r="W261" s="38"/>
      <c r="X261" s="38"/>
      <c r="Y261" s="38"/>
      <c r="Z261" s="38"/>
    </row>
    <row r="262" spans="6:26" ht="15" thickBot="1">
      <c r="F262" s="38"/>
      <c r="G262" s="38"/>
      <c r="H262" s="38"/>
      <c r="I262" s="38"/>
      <c r="J262" s="38"/>
      <c r="K262" s="38"/>
      <c r="L262" s="38"/>
      <c r="M262" s="38"/>
      <c r="N262" s="38"/>
      <c r="O262" s="38"/>
      <c r="P262" s="38"/>
      <c r="Q262" s="38"/>
      <c r="R262" s="38"/>
      <c r="S262" s="38"/>
      <c r="T262" s="38"/>
      <c r="U262" s="38"/>
      <c r="V262" s="38"/>
      <c r="W262" s="38"/>
      <c r="X262" s="38"/>
      <c r="Y262" s="38"/>
      <c r="Z262" s="38"/>
    </row>
    <row r="263" spans="6:26" ht="15" thickBot="1">
      <c r="F263" s="38"/>
      <c r="G263" s="38"/>
      <c r="H263" s="38"/>
      <c r="I263" s="38"/>
      <c r="J263" s="38"/>
      <c r="K263" s="38"/>
      <c r="L263" s="38"/>
      <c r="M263" s="38"/>
      <c r="N263" s="38"/>
      <c r="O263" s="38"/>
      <c r="P263" s="38"/>
      <c r="Q263" s="38"/>
      <c r="R263" s="38"/>
      <c r="S263" s="38"/>
      <c r="T263" s="38"/>
      <c r="U263" s="38"/>
      <c r="V263" s="38"/>
      <c r="W263" s="38"/>
      <c r="X263" s="38"/>
      <c r="Y263" s="38"/>
      <c r="Z263" s="38"/>
    </row>
    <row r="264" spans="6:26" ht="15" thickBot="1">
      <c r="F264" s="38"/>
      <c r="G264" s="38"/>
      <c r="H264" s="38"/>
      <c r="I264" s="38"/>
      <c r="J264" s="38"/>
      <c r="K264" s="38"/>
      <c r="L264" s="38"/>
      <c r="M264" s="38"/>
      <c r="N264" s="38"/>
      <c r="O264" s="38"/>
      <c r="P264" s="38"/>
      <c r="Q264" s="38"/>
      <c r="R264" s="38"/>
      <c r="S264" s="38"/>
      <c r="T264" s="38"/>
      <c r="U264" s="38"/>
      <c r="V264" s="38"/>
      <c r="W264" s="38"/>
      <c r="X264" s="38"/>
      <c r="Y264" s="38"/>
      <c r="Z264" s="38"/>
    </row>
    <row r="265" spans="6:26" ht="15" thickBot="1">
      <c r="F265" s="38"/>
      <c r="G265" s="38"/>
      <c r="H265" s="38"/>
      <c r="I265" s="38"/>
      <c r="J265" s="38"/>
      <c r="K265" s="38"/>
      <c r="L265" s="38"/>
      <c r="M265" s="38"/>
      <c r="N265" s="38"/>
      <c r="O265" s="38"/>
      <c r="P265" s="38"/>
      <c r="Q265" s="38"/>
      <c r="R265" s="38"/>
      <c r="S265" s="38"/>
      <c r="T265" s="38"/>
      <c r="U265" s="38"/>
      <c r="V265" s="38"/>
      <c r="W265" s="38"/>
      <c r="X265" s="38"/>
      <c r="Y265" s="38"/>
      <c r="Z265" s="38"/>
    </row>
    <row r="266" spans="6:26" ht="15" thickBot="1">
      <c r="F266" s="38"/>
      <c r="G266" s="38"/>
      <c r="H266" s="38"/>
      <c r="I266" s="38"/>
      <c r="J266" s="38"/>
      <c r="K266" s="38"/>
      <c r="L266" s="38"/>
      <c r="M266" s="38"/>
      <c r="N266" s="38"/>
      <c r="O266" s="38"/>
      <c r="P266" s="38"/>
      <c r="Q266" s="38"/>
      <c r="R266" s="38"/>
      <c r="S266" s="38"/>
      <c r="T266" s="38"/>
      <c r="U266" s="38"/>
      <c r="V266" s="38"/>
      <c r="W266" s="38"/>
      <c r="X266" s="38"/>
      <c r="Y266" s="38"/>
      <c r="Z266" s="38"/>
    </row>
    <row r="267" spans="6:26" ht="15" thickBot="1">
      <c r="F267" s="38"/>
      <c r="G267" s="38"/>
      <c r="H267" s="38"/>
      <c r="I267" s="38"/>
      <c r="J267" s="38"/>
      <c r="K267" s="38"/>
      <c r="L267" s="38"/>
      <c r="M267" s="38"/>
      <c r="N267" s="38"/>
      <c r="O267" s="38"/>
      <c r="P267" s="38"/>
      <c r="Q267" s="38"/>
      <c r="R267" s="38"/>
      <c r="S267" s="38"/>
      <c r="T267" s="38"/>
      <c r="U267" s="38"/>
      <c r="V267" s="38"/>
      <c r="W267" s="38"/>
      <c r="X267" s="38"/>
      <c r="Y267" s="38"/>
      <c r="Z267" s="38"/>
    </row>
    <row r="268" spans="6:26" ht="15" thickBot="1">
      <c r="F268" s="38"/>
      <c r="G268" s="38"/>
      <c r="H268" s="38"/>
      <c r="I268" s="38"/>
      <c r="J268" s="38"/>
      <c r="K268" s="38"/>
      <c r="L268" s="38"/>
      <c r="M268" s="38"/>
      <c r="N268" s="38"/>
      <c r="O268" s="38"/>
      <c r="P268" s="38"/>
      <c r="Q268" s="38"/>
      <c r="R268" s="38"/>
      <c r="S268" s="38"/>
      <c r="T268" s="38"/>
      <c r="U268" s="38"/>
      <c r="V268" s="38"/>
      <c r="W268" s="38"/>
      <c r="X268" s="38"/>
      <c r="Y268" s="38"/>
      <c r="Z268" s="38"/>
    </row>
    <row r="269" spans="6:26" ht="15" thickBot="1">
      <c r="F269" s="38"/>
      <c r="G269" s="38"/>
      <c r="H269" s="38"/>
      <c r="I269" s="38"/>
      <c r="J269" s="38"/>
      <c r="K269" s="38"/>
      <c r="L269" s="38"/>
      <c r="M269" s="38"/>
      <c r="N269" s="38"/>
      <c r="O269" s="38"/>
      <c r="P269" s="38"/>
      <c r="Q269" s="38"/>
      <c r="R269" s="38"/>
      <c r="S269" s="38"/>
      <c r="T269" s="38"/>
      <c r="U269" s="38"/>
      <c r="V269" s="38"/>
      <c r="W269" s="38"/>
      <c r="X269" s="38"/>
      <c r="Y269" s="38"/>
      <c r="Z269" s="38"/>
    </row>
    <row r="270" spans="6:26" ht="15" thickBot="1">
      <c r="F270" s="38"/>
      <c r="G270" s="38"/>
      <c r="H270" s="38"/>
      <c r="I270" s="38"/>
      <c r="J270" s="38"/>
      <c r="K270" s="38"/>
      <c r="L270" s="38"/>
      <c r="M270" s="38"/>
      <c r="N270" s="38"/>
      <c r="O270" s="38"/>
      <c r="P270" s="38"/>
      <c r="Q270" s="38"/>
      <c r="R270" s="38"/>
      <c r="S270" s="38"/>
      <c r="T270" s="38"/>
      <c r="U270" s="38"/>
      <c r="V270" s="38"/>
      <c r="W270" s="38"/>
      <c r="X270" s="38"/>
      <c r="Y270" s="38"/>
      <c r="Z270" s="38"/>
    </row>
    <row r="271" spans="6:26" ht="15" thickBot="1">
      <c r="F271" s="38"/>
      <c r="G271" s="38"/>
      <c r="H271" s="38"/>
      <c r="I271" s="38"/>
      <c r="J271" s="38"/>
      <c r="K271" s="38"/>
      <c r="L271" s="38"/>
      <c r="M271" s="38"/>
      <c r="N271" s="38"/>
      <c r="O271" s="38"/>
      <c r="P271" s="38"/>
      <c r="Q271" s="38"/>
      <c r="R271" s="38"/>
      <c r="S271" s="38"/>
      <c r="T271" s="38"/>
      <c r="U271" s="38"/>
      <c r="V271" s="38"/>
      <c r="W271" s="38"/>
      <c r="X271" s="38"/>
      <c r="Y271" s="38"/>
      <c r="Z271" s="38"/>
    </row>
    <row r="272" spans="6:26" ht="15" thickBot="1">
      <c r="F272" s="38"/>
      <c r="G272" s="38"/>
      <c r="H272" s="38"/>
      <c r="I272" s="38"/>
      <c r="J272" s="38"/>
      <c r="K272" s="38"/>
      <c r="L272" s="38"/>
      <c r="M272" s="38"/>
      <c r="N272" s="38"/>
      <c r="O272" s="38"/>
      <c r="P272" s="38"/>
      <c r="Q272" s="38"/>
      <c r="R272" s="38"/>
      <c r="S272" s="38"/>
      <c r="T272" s="38"/>
      <c r="U272" s="38"/>
      <c r="V272" s="38"/>
      <c r="W272" s="38"/>
      <c r="X272" s="38"/>
      <c r="Y272" s="38"/>
      <c r="Z272" s="38"/>
    </row>
    <row r="273" spans="6:26" ht="15" thickBot="1">
      <c r="F273" s="38"/>
      <c r="G273" s="38"/>
      <c r="H273" s="38"/>
      <c r="I273" s="38"/>
      <c r="J273" s="38"/>
      <c r="K273" s="38"/>
      <c r="L273" s="38"/>
      <c r="M273" s="38"/>
      <c r="N273" s="38"/>
      <c r="O273" s="38"/>
      <c r="P273" s="38"/>
      <c r="Q273" s="38"/>
      <c r="R273" s="38"/>
      <c r="S273" s="38"/>
      <c r="T273" s="38"/>
      <c r="U273" s="38"/>
      <c r="V273" s="38"/>
      <c r="W273" s="38"/>
      <c r="X273" s="38"/>
      <c r="Y273" s="38"/>
      <c r="Z273" s="38"/>
    </row>
    <row r="274" spans="6:26" ht="15" thickBot="1">
      <c r="F274" s="38"/>
      <c r="G274" s="38"/>
      <c r="H274" s="38"/>
      <c r="I274" s="38"/>
      <c r="J274" s="38"/>
      <c r="K274" s="38"/>
      <c r="L274" s="38"/>
      <c r="M274" s="38"/>
      <c r="N274" s="38"/>
      <c r="O274" s="38"/>
      <c r="P274" s="38"/>
      <c r="Q274" s="38"/>
      <c r="R274" s="38"/>
      <c r="S274" s="38"/>
      <c r="T274" s="38"/>
      <c r="U274" s="38"/>
      <c r="V274" s="38"/>
      <c r="W274" s="38"/>
      <c r="X274" s="38"/>
      <c r="Y274" s="38"/>
      <c r="Z274" s="38"/>
    </row>
    <row r="275" spans="6:26" ht="15" thickBot="1">
      <c r="F275" s="38"/>
      <c r="G275" s="38"/>
      <c r="H275" s="38"/>
      <c r="I275" s="38"/>
      <c r="J275" s="38"/>
      <c r="K275" s="38"/>
      <c r="L275" s="38"/>
      <c r="M275" s="38"/>
      <c r="N275" s="38"/>
      <c r="O275" s="38"/>
      <c r="P275" s="38"/>
      <c r="Q275" s="38"/>
      <c r="R275" s="38"/>
      <c r="S275" s="38"/>
      <c r="T275" s="38"/>
      <c r="U275" s="38"/>
      <c r="V275" s="38"/>
      <c r="W275" s="38"/>
      <c r="X275" s="38"/>
      <c r="Y275" s="38"/>
      <c r="Z275" s="38"/>
    </row>
    <row r="276" spans="6:26" ht="15" thickBot="1">
      <c r="F276" s="38"/>
      <c r="G276" s="38"/>
      <c r="H276" s="38"/>
      <c r="I276" s="38"/>
      <c r="J276" s="38"/>
      <c r="K276" s="38"/>
      <c r="L276" s="38"/>
      <c r="M276" s="38"/>
      <c r="N276" s="38"/>
      <c r="O276" s="38"/>
      <c r="P276" s="38"/>
      <c r="Q276" s="38"/>
      <c r="R276" s="38"/>
      <c r="S276" s="38"/>
      <c r="T276" s="38"/>
      <c r="U276" s="38"/>
      <c r="V276" s="38"/>
      <c r="W276" s="38"/>
      <c r="X276" s="38"/>
      <c r="Y276" s="38"/>
      <c r="Z276" s="38"/>
    </row>
    <row r="277" spans="6:26" ht="15" thickBot="1">
      <c r="F277" s="38"/>
      <c r="G277" s="38"/>
      <c r="H277" s="38"/>
      <c r="I277" s="38"/>
      <c r="J277" s="38"/>
      <c r="K277" s="38"/>
      <c r="L277" s="38"/>
      <c r="M277" s="38"/>
      <c r="N277" s="38"/>
      <c r="O277" s="38"/>
      <c r="P277" s="38"/>
      <c r="Q277" s="38"/>
      <c r="R277" s="38"/>
      <c r="S277" s="38"/>
      <c r="T277" s="38"/>
      <c r="U277" s="38"/>
      <c r="V277" s="38"/>
      <c r="W277" s="38"/>
      <c r="X277" s="38"/>
      <c r="Y277" s="38"/>
      <c r="Z277" s="38"/>
    </row>
    <row r="278" spans="6:26" ht="15" thickBot="1">
      <c r="F278" s="38"/>
      <c r="G278" s="38"/>
      <c r="H278" s="38"/>
      <c r="I278" s="38"/>
      <c r="J278" s="38"/>
      <c r="K278" s="38"/>
      <c r="L278" s="38"/>
      <c r="M278" s="38"/>
      <c r="N278" s="38"/>
      <c r="O278" s="38"/>
      <c r="P278" s="38"/>
      <c r="Q278" s="38"/>
      <c r="R278" s="38"/>
      <c r="S278" s="38"/>
      <c r="T278" s="38"/>
      <c r="U278" s="38"/>
      <c r="V278" s="38"/>
      <c r="W278" s="38"/>
      <c r="X278" s="38"/>
      <c r="Y278" s="38"/>
      <c r="Z278" s="38"/>
    </row>
    <row r="279" spans="6:26" ht="15" thickBot="1">
      <c r="F279" s="38"/>
      <c r="G279" s="38"/>
      <c r="H279" s="38"/>
      <c r="I279" s="38"/>
      <c r="J279" s="38"/>
      <c r="K279" s="38"/>
      <c r="L279" s="38"/>
      <c r="M279" s="38"/>
      <c r="N279" s="38"/>
      <c r="O279" s="38"/>
      <c r="P279" s="38"/>
      <c r="Q279" s="38"/>
      <c r="R279" s="38"/>
      <c r="S279" s="38"/>
      <c r="T279" s="38"/>
      <c r="U279" s="38"/>
      <c r="V279" s="38"/>
      <c r="W279" s="38"/>
      <c r="X279" s="38"/>
      <c r="Y279" s="38"/>
      <c r="Z279" s="38"/>
    </row>
    <row r="280" spans="6:26" ht="15" thickBot="1">
      <c r="F280" s="38"/>
      <c r="G280" s="38"/>
      <c r="H280" s="38"/>
      <c r="I280" s="38"/>
      <c r="J280" s="38"/>
      <c r="K280" s="38"/>
      <c r="L280" s="38"/>
      <c r="M280" s="38"/>
      <c r="N280" s="38"/>
      <c r="O280" s="38"/>
      <c r="P280" s="38"/>
      <c r="Q280" s="38"/>
      <c r="R280" s="38"/>
      <c r="S280" s="38"/>
      <c r="T280" s="38"/>
      <c r="U280" s="38"/>
      <c r="V280" s="38"/>
      <c r="W280" s="38"/>
      <c r="X280" s="38"/>
      <c r="Y280" s="38"/>
      <c r="Z280" s="38"/>
    </row>
    <row r="281" spans="6:26" ht="15" thickBot="1">
      <c r="F281" s="38"/>
      <c r="G281" s="38"/>
      <c r="H281" s="38"/>
      <c r="I281" s="38"/>
      <c r="J281" s="38"/>
      <c r="K281" s="38"/>
      <c r="L281" s="38"/>
      <c r="M281" s="38"/>
      <c r="N281" s="38"/>
      <c r="O281" s="38"/>
      <c r="P281" s="38"/>
      <c r="Q281" s="38"/>
      <c r="R281" s="38"/>
      <c r="S281" s="38"/>
      <c r="T281" s="38"/>
      <c r="U281" s="38"/>
      <c r="V281" s="38"/>
      <c r="W281" s="38"/>
      <c r="X281" s="38"/>
      <c r="Y281" s="38"/>
      <c r="Z281" s="38"/>
    </row>
    <row r="282" spans="6:26" ht="15" thickBot="1">
      <c r="F282" s="38"/>
      <c r="G282" s="38"/>
      <c r="H282" s="38"/>
      <c r="I282" s="38"/>
      <c r="J282" s="38"/>
      <c r="K282" s="38"/>
      <c r="L282" s="38"/>
      <c r="M282" s="38"/>
      <c r="N282" s="38"/>
      <c r="O282" s="38"/>
      <c r="P282" s="38"/>
      <c r="Q282" s="38"/>
      <c r="R282" s="38"/>
      <c r="S282" s="38"/>
      <c r="T282" s="38"/>
      <c r="U282" s="38"/>
      <c r="V282" s="38"/>
      <c r="W282" s="38"/>
      <c r="X282" s="38"/>
      <c r="Y282" s="38"/>
      <c r="Z282" s="38"/>
    </row>
    <row r="283" spans="6:26" ht="15" thickBot="1">
      <c r="F283" s="38"/>
      <c r="G283" s="38"/>
      <c r="H283" s="38"/>
      <c r="I283" s="38"/>
      <c r="J283" s="38"/>
      <c r="K283" s="38"/>
      <c r="L283" s="38"/>
      <c r="M283" s="38"/>
      <c r="N283" s="38"/>
      <c r="O283" s="38"/>
      <c r="P283" s="38"/>
      <c r="Q283" s="38"/>
      <c r="R283" s="38"/>
      <c r="S283" s="38"/>
      <c r="T283" s="38"/>
      <c r="U283" s="38"/>
      <c r="V283" s="38"/>
      <c r="W283" s="38"/>
      <c r="X283" s="38"/>
      <c r="Y283" s="38"/>
      <c r="Z283" s="38"/>
    </row>
    <row r="284" spans="6:26" ht="15" thickBot="1">
      <c r="F284" s="38"/>
      <c r="G284" s="38"/>
      <c r="H284" s="38"/>
      <c r="I284" s="38"/>
      <c r="J284" s="38"/>
      <c r="K284" s="38"/>
      <c r="L284" s="38"/>
      <c r="M284" s="38"/>
      <c r="N284" s="38"/>
      <c r="O284" s="38"/>
      <c r="P284" s="38"/>
      <c r="Q284" s="38"/>
      <c r="R284" s="38"/>
      <c r="S284" s="38"/>
      <c r="T284" s="38"/>
      <c r="U284" s="38"/>
      <c r="V284" s="38"/>
      <c r="W284" s="38"/>
      <c r="X284" s="38"/>
      <c r="Y284" s="38"/>
      <c r="Z284" s="38"/>
    </row>
    <row r="285" spans="6:26" ht="15" thickBot="1">
      <c r="F285" s="38"/>
      <c r="G285" s="38"/>
      <c r="H285" s="38"/>
      <c r="I285" s="38"/>
      <c r="J285" s="38"/>
      <c r="K285" s="38"/>
      <c r="L285" s="38"/>
      <c r="M285" s="38"/>
      <c r="N285" s="38"/>
      <c r="O285" s="38"/>
      <c r="P285" s="38"/>
      <c r="Q285" s="38"/>
      <c r="R285" s="38"/>
      <c r="S285" s="38"/>
      <c r="T285" s="38"/>
      <c r="U285" s="38"/>
      <c r="V285" s="38"/>
      <c r="W285" s="38"/>
      <c r="X285" s="38"/>
      <c r="Y285" s="38"/>
      <c r="Z285" s="38"/>
    </row>
    <row r="286" spans="6:26" ht="15" thickBot="1">
      <c r="F286" s="38"/>
      <c r="G286" s="38"/>
      <c r="H286" s="38"/>
      <c r="I286" s="38"/>
      <c r="J286" s="38"/>
      <c r="K286" s="38"/>
      <c r="L286" s="38"/>
      <c r="M286" s="38"/>
      <c r="N286" s="38"/>
      <c r="O286" s="38"/>
      <c r="P286" s="38"/>
      <c r="Q286" s="38"/>
      <c r="R286" s="38"/>
      <c r="S286" s="38"/>
      <c r="T286" s="38"/>
      <c r="U286" s="38"/>
      <c r="V286" s="38"/>
      <c r="W286" s="38"/>
      <c r="X286" s="38"/>
      <c r="Y286" s="38"/>
      <c r="Z286" s="38"/>
    </row>
    <row r="287" spans="6:26" ht="15" thickBot="1">
      <c r="F287" s="38"/>
      <c r="G287" s="38"/>
      <c r="H287" s="38"/>
      <c r="I287" s="38"/>
      <c r="J287" s="38"/>
      <c r="K287" s="38"/>
      <c r="L287" s="38"/>
      <c r="M287" s="38"/>
      <c r="N287" s="38"/>
      <c r="O287" s="38"/>
      <c r="P287" s="38"/>
      <c r="Q287" s="38"/>
      <c r="R287" s="38"/>
      <c r="S287" s="38"/>
      <c r="T287" s="38"/>
      <c r="U287" s="38"/>
      <c r="V287" s="38"/>
      <c r="W287" s="38"/>
      <c r="X287" s="38"/>
      <c r="Y287" s="38"/>
      <c r="Z287" s="38"/>
    </row>
    <row r="288" spans="6:26" ht="15" thickBot="1">
      <c r="F288" s="38"/>
      <c r="G288" s="38"/>
      <c r="H288" s="38"/>
      <c r="I288" s="38"/>
      <c r="J288" s="38"/>
      <c r="K288" s="38"/>
      <c r="L288" s="38"/>
      <c r="M288" s="38"/>
      <c r="N288" s="38"/>
      <c r="O288" s="38"/>
      <c r="P288" s="38"/>
      <c r="Q288" s="38"/>
      <c r="R288" s="38"/>
      <c r="S288" s="38"/>
      <c r="T288" s="38"/>
      <c r="U288" s="38"/>
      <c r="V288" s="38"/>
      <c r="W288" s="38"/>
      <c r="X288" s="38"/>
      <c r="Y288" s="38"/>
      <c r="Z288" s="38"/>
    </row>
    <row r="289" spans="6:26" ht="15" thickBot="1">
      <c r="F289" s="38"/>
      <c r="G289" s="38"/>
      <c r="H289" s="38"/>
      <c r="I289" s="38"/>
      <c r="J289" s="38"/>
      <c r="K289" s="38"/>
      <c r="L289" s="38"/>
      <c r="M289" s="38"/>
      <c r="N289" s="38"/>
      <c r="O289" s="38"/>
      <c r="P289" s="38"/>
      <c r="Q289" s="38"/>
      <c r="R289" s="38"/>
      <c r="S289" s="38"/>
      <c r="T289" s="38"/>
      <c r="U289" s="38"/>
      <c r="V289" s="38"/>
      <c r="W289" s="38"/>
      <c r="X289" s="38"/>
      <c r="Y289" s="38"/>
      <c r="Z289" s="38"/>
    </row>
    <row r="290" spans="6:26" ht="15" thickBot="1">
      <c r="F290" s="38"/>
      <c r="G290" s="38"/>
      <c r="H290" s="38"/>
      <c r="I290" s="38"/>
      <c r="J290" s="38"/>
      <c r="K290" s="38"/>
      <c r="L290" s="38"/>
      <c r="M290" s="38"/>
      <c r="N290" s="38"/>
      <c r="O290" s="38"/>
      <c r="P290" s="38"/>
      <c r="Q290" s="38"/>
      <c r="R290" s="38"/>
      <c r="S290" s="38"/>
      <c r="T290" s="38"/>
      <c r="U290" s="38"/>
      <c r="V290" s="38"/>
      <c r="W290" s="38"/>
      <c r="X290" s="38"/>
      <c r="Y290" s="38"/>
      <c r="Z290" s="38"/>
    </row>
    <row r="291" spans="6:26" ht="15" thickBot="1">
      <c r="F291" s="38"/>
      <c r="G291" s="38"/>
      <c r="H291" s="38"/>
      <c r="I291" s="38"/>
      <c r="J291" s="38"/>
      <c r="K291" s="38"/>
      <c r="L291" s="38"/>
      <c r="M291" s="38"/>
      <c r="N291" s="38"/>
      <c r="O291" s="38"/>
      <c r="P291" s="38"/>
      <c r="Q291" s="38"/>
      <c r="R291" s="38"/>
      <c r="S291" s="38"/>
      <c r="T291" s="38"/>
      <c r="U291" s="38"/>
      <c r="V291" s="38"/>
      <c r="W291" s="38"/>
      <c r="X291" s="38"/>
      <c r="Y291" s="38"/>
      <c r="Z291" s="38"/>
    </row>
    <row r="292" spans="6:26" ht="15" thickBot="1">
      <c r="F292" s="38"/>
      <c r="G292" s="38"/>
      <c r="H292" s="38"/>
      <c r="I292" s="38"/>
      <c r="J292" s="38"/>
      <c r="K292" s="38"/>
      <c r="L292" s="38"/>
      <c r="M292" s="38"/>
      <c r="N292" s="38"/>
      <c r="O292" s="38"/>
      <c r="P292" s="38"/>
      <c r="Q292" s="38"/>
      <c r="R292" s="38"/>
      <c r="S292" s="38"/>
      <c r="T292" s="38"/>
      <c r="U292" s="38"/>
      <c r="V292" s="38"/>
      <c r="W292" s="38"/>
      <c r="X292" s="38"/>
      <c r="Y292" s="38"/>
      <c r="Z292" s="38"/>
    </row>
    <row r="293" spans="6:26" ht="15" thickBot="1">
      <c r="F293" s="38"/>
      <c r="G293" s="38"/>
      <c r="H293" s="38"/>
      <c r="I293" s="38"/>
      <c r="J293" s="38"/>
      <c r="K293" s="38"/>
      <c r="L293" s="38"/>
      <c r="M293" s="38"/>
      <c r="N293" s="38"/>
      <c r="O293" s="38"/>
      <c r="P293" s="38"/>
      <c r="Q293" s="38"/>
      <c r="R293" s="38"/>
      <c r="S293" s="38"/>
      <c r="T293" s="38"/>
      <c r="U293" s="38"/>
      <c r="V293" s="38"/>
      <c r="W293" s="38"/>
      <c r="X293" s="38"/>
      <c r="Y293" s="38"/>
      <c r="Z293" s="38"/>
    </row>
    <row r="294" spans="6:26" ht="15" thickBot="1">
      <c r="F294" s="38"/>
      <c r="G294" s="38"/>
      <c r="H294" s="38"/>
      <c r="I294" s="38"/>
      <c r="J294" s="38"/>
      <c r="K294" s="38"/>
      <c r="L294" s="38"/>
      <c r="M294" s="38"/>
      <c r="N294" s="38"/>
      <c r="O294" s="38"/>
      <c r="P294" s="38"/>
      <c r="Q294" s="38"/>
      <c r="R294" s="38"/>
      <c r="S294" s="38"/>
      <c r="T294" s="38"/>
      <c r="U294" s="38"/>
      <c r="V294" s="38"/>
      <c r="W294" s="38"/>
      <c r="X294" s="38"/>
      <c r="Y294" s="38"/>
      <c r="Z294" s="38"/>
    </row>
    <row r="295" spans="6:26" ht="15" thickBot="1">
      <c r="F295" s="38"/>
      <c r="G295" s="38"/>
      <c r="H295" s="38"/>
      <c r="I295" s="38"/>
      <c r="J295" s="38"/>
      <c r="K295" s="38"/>
      <c r="L295" s="38"/>
      <c r="M295" s="38"/>
      <c r="N295" s="38"/>
      <c r="O295" s="38"/>
      <c r="P295" s="38"/>
      <c r="Q295" s="38"/>
      <c r="R295" s="38"/>
      <c r="S295" s="38"/>
      <c r="T295" s="38"/>
      <c r="U295" s="38"/>
      <c r="V295" s="38"/>
      <c r="W295" s="38"/>
      <c r="X295" s="38"/>
      <c r="Y295" s="38"/>
      <c r="Z295" s="38"/>
    </row>
    <row r="296" spans="6:26" ht="15" thickBot="1">
      <c r="F296" s="38"/>
      <c r="G296" s="38"/>
      <c r="H296" s="38"/>
      <c r="I296" s="38"/>
      <c r="J296" s="38"/>
      <c r="K296" s="38"/>
      <c r="L296" s="38"/>
      <c r="M296" s="38"/>
      <c r="N296" s="38"/>
      <c r="O296" s="38"/>
      <c r="P296" s="38"/>
      <c r="Q296" s="38"/>
      <c r="R296" s="38"/>
      <c r="S296" s="38"/>
      <c r="T296" s="38"/>
      <c r="U296" s="38"/>
      <c r="V296" s="38"/>
      <c r="W296" s="38"/>
      <c r="X296" s="38"/>
      <c r="Y296" s="38"/>
      <c r="Z296" s="38"/>
    </row>
    <row r="297" spans="6:26" ht="15" thickBot="1">
      <c r="F297" s="38"/>
      <c r="G297" s="38"/>
      <c r="H297" s="38"/>
      <c r="I297" s="38"/>
      <c r="J297" s="38"/>
      <c r="K297" s="38"/>
      <c r="L297" s="38"/>
      <c r="M297" s="38"/>
      <c r="N297" s="38"/>
      <c r="O297" s="38"/>
      <c r="P297" s="38"/>
      <c r="Q297" s="38"/>
      <c r="R297" s="38"/>
      <c r="S297" s="38"/>
      <c r="T297" s="38"/>
      <c r="U297" s="38"/>
      <c r="V297" s="38"/>
      <c r="W297" s="38"/>
      <c r="X297" s="38"/>
      <c r="Y297" s="38"/>
      <c r="Z297" s="38"/>
    </row>
    <row r="298" spans="6:26" ht="15" thickBot="1">
      <c r="F298" s="38"/>
      <c r="G298" s="38"/>
      <c r="H298" s="38"/>
      <c r="I298" s="38"/>
      <c r="J298" s="38"/>
      <c r="K298" s="38"/>
      <c r="L298" s="38"/>
      <c r="M298" s="38"/>
      <c r="N298" s="38"/>
      <c r="O298" s="38"/>
      <c r="P298" s="38"/>
      <c r="Q298" s="38"/>
      <c r="R298" s="38"/>
      <c r="S298" s="38"/>
      <c r="T298" s="38"/>
      <c r="U298" s="38"/>
      <c r="V298" s="38"/>
      <c r="W298" s="38"/>
      <c r="X298" s="38"/>
      <c r="Y298" s="38"/>
      <c r="Z298" s="38"/>
    </row>
    <row r="299" spans="6:26" ht="15" thickBot="1">
      <c r="F299" s="38"/>
      <c r="G299" s="38"/>
      <c r="H299" s="38"/>
      <c r="I299" s="38"/>
      <c r="J299" s="38"/>
      <c r="K299" s="38"/>
      <c r="L299" s="38"/>
      <c r="M299" s="38"/>
      <c r="N299" s="38"/>
      <c r="O299" s="38"/>
      <c r="P299" s="38"/>
      <c r="Q299" s="38"/>
      <c r="R299" s="38"/>
      <c r="S299" s="38"/>
      <c r="T299" s="38"/>
      <c r="U299" s="38"/>
      <c r="V299" s="38"/>
      <c r="W299" s="38"/>
      <c r="X299" s="38"/>
      <c r="Y299" s="38"/>
      <c r="Z299" s="38"/>
    </row>
    <row r="300" spans="6:26" ht="15" thickBot="1">
      <c r="F300" s="38"/>
      <c r="G300" s="38"/>
      <c r="H300" s="38"/>
      <c r="I300" s="38"/>
      <c r="J300" s="38"/>
      <c r="K300" s="38"/>
      <c r="L300" s="38"/>
      <c r="M300" s="38"/>
      <c r="N300" s="38"/>
      <c r="O300" s="38"/>
      <c r="P300" s="38"/>
      <c r="Q300" s="38"/>
      <c r="R300" s="38"/>
      <c r="S300" s="38"/>
      <c r="T300" s="38"/>
      <c r="U300" s="38"/>
      <c r="V300" s="38"/>
      <c r="W300" s="38"/>
      <c r="X300" s="38"/>
      <c r="Y300" s="38"/>
      <c r="Z300" s="38"/>
    </row>
    <row r="301" spans="6:26" ht="15" thickBot="1">
      <c r="F301" s="38"/>
      <c r="G301" s="38"/>
      <c r="H301" s="38"/>
      <c r="I301" s="38"/>
      <c r="J301" s="38"/>
      <c r="K301" s="38"/>
      <c r="L301" s="38"/>
      <c r="M301" s="38"/>
      <c r="N301" s="38"/>
      <c r="O301" s="38"/>
      <c r="P301" s="38"/>
      <c r="Q301" s="38"/>
      <c r="R301" s="38"/>
      <c r="S301" s="38"/>
      <c r="T301" s="38"/>
      <c r="U301" s="38"/>
      <c r="V301" s="38"/>
      <c r="W301" s="38"/>
      <c r="X301" s="38"/>
      <c r="Y301" s="38"/>
      <c r="Z301" s="38"/>
    </row>
    <row r="302" spans="6:26" ht="15" thickBot="1">
      <c r="F302" s="38"/>
      <c r="G302" s="38"/>
      <c r="H302" s="38"/>
      <c r="I302" s="38"/>
      <c r="J302" s="38"/>
      <c r="K302" s="38"/>
      <c r="L302" s="38"/>
      <c r="M302" s="38"/>
      <c r="N302" s="38"/>
      <c r="O302" s="38"/>
      <c r="P302" s="38"/>
      <c r="Q302" s="38"/>
      <c r="R302" s="38"/>
      <c r="S302" s="38"/>
      <c r="T302" s="38"/>
      <c r="U302" s="38"/>
      <c r="V302" s="38"/>
      <c r="W302" s="38"/>
      <c r="X302" s="38"/>
      <c r="Y302" s="38"/>
      <c r="Z302" s="38"/>
    </row>
    <row r="303" spans="6:26" ht="15" thickBot="1">
      <c r="F303" s="38"/>
      <c r="G303" s="38"/>
      <c r="H303" s="38"/>
      <c r="I303" s="38"/>
      <c r="J303" s="38"/>
      <c r="K303" s="38"/>
      <c r="L303" s="38"/>
      <c r="M303" s="38"/>
      <c r="N303" s="38"/>
      <c r="O303" s="38"/>
      <c r="P303" s="38"/>
      <c r="Q303" s="38"/>
      <c r="R303" s="38"/>
      <c r="S303" s="38"/>
      <c r="T303" s="38"/>
      <c r="U303" s="38"/>
      <c r="V303" s="38"/>
      <c r="W303" s="38"/>
      <c r="X303" s="38"/>
      <c r="Y303" s="38"/>
      <c r="Z303" s="38"/>
    </row>
    <row r="304" spans="6:26" ht="15" thickBot="1">
      <c r="F304" s="38"/>
      <c r="G304" s="38"/>
      <c r="H304" s="38"/>
      <c r="I304" s="38"/>
      <c r="J304" s="38"/>
      <c r="K304" s="38"/>
      <c r="L304" s="38"/>
      <c r="M304" s="38"/>
      <c r="N304" s="38"/>
      <c r="O304" s="38"/>
      <c r="P304" s="38"/>
      <c r="Q304" s="38"/>
      <c r="R304" s="38"/>
      <c r="S304" s="38"/>
      <c r="T304" s="38"/>
      <c r="U304" s="38"/>
      <c r="V304" s="38"/>
      <c r="W304" s="38"/>
      <c r="X304" s="38"/>
      <c r="Y304" s="38"/>
      <c r="Z304" s="38"/>
    </row>
    <row r="305" spans="6:26" ht="15" thickBot="1">
      <c r="F305" s="38"/>
      <c r="G305" s="38"/>
      <c r="H305" s="38"/>
      <c r="I305" s="38"/>
      <c r="J305" s="38"/>
      <c r="K305" s="38"/>
      <c r="L305" s="38"/>
      <c r="M305" s="38"/>
      <c r="N305" s="38"/>
      <c r="O305" s="38"/>
      <c r="P305" s="38"/>
      <c r="Q305" s="38"/>
      <c r="R305" s="38"/>
      <c r="S305" s="38"/>
      <c r="T305" s="38"/>
      <c r="U305" s="38"/>
      <c r="V305" s="38"/>
      <c r="W305" s="38"/>
      <c r="X305" s="38"/>
      <c r="Y305" s="38"/>
      <c r="Z305" s="38"/>
    </row>
    <row r="306" spans="6:26" ht="15" thickBot="1">
      <c r="F306" s="38"/>
      <c r="G306" s="38"/>
      <c r="H306" s="38"/>
      <c r="I306" s="38"/>
      <c r="J306" s="38"/>
      <c r="K306" s="38"/>
      <c r="L306" s="38"/>
      <c r="M306" s="38"/>
      <c r="N306" s="38"/>
      <c r="O306" s="38"/>
      <c r="P306" s="38"/>
      <c r="Q306" s="38"/>
      <c r="R306" s="38"/>
      <c r="S306" s="38"/>
      <c r="T306" s="38"/>
      <c r="U306" s="38"/>
      <c r="V306" s="38"/>
      <c r="W306" s="38"/>
      <c r="X306" s="38"/>
      <c r="Y306" s="38"/>
      <c r="Z306" s="38"/>
    </row>
    <row r="307" spans="6:26" ht="15" thickBot="1">
      <c r="F307" s="38"/>
      <c r="G307" s="38"/>
      <c r="H307" s="38"/>
      <c r="I307" s="38"/>
      <c r="J307" s="38"/>
      <c r="K307" s="38"/>
      <c r="L307" s="38"/>
      <c r="M307" s="38"/>
      <c r="N307" s="38"/>
      <c r="O307" s="38"/>
      <c r="P307" s="38"/>
      <c r="Q307" s="38"/>
      <c r="R307" s="38"/>
      <c r="S307" s="38"/>
      <c r="T307" s="38"/>
      <c r="U307" s="38"/>
      <c r="V307" s="38"/>
      <c r="W307" s="38"/>
      <c r="X307" s="38"/>
      <c r="Y307" s="38"/>
      <c r="Z307" s="38"/>
    </row>
    <row r="308" spans="6:26" ht="15" thickBot="1">
      <c r="F308" s="38"/>
      <c r="G308" s="38"/>
      <c r="H308" s="38"/>
      <c r="I308" s="38"/>
      <c r="J308" s="38"/>
      <c r="K308" s="38"/>
      <c r="L308" s="38"/>
      <c r="M308" s="38"/>
      <c r="N308" s="38"/>
      <c r="O308" s="38"/>
      <c r="P308" s="38"/>
      <c r="Q308" s="38"/>
      <c r="R308" s="38"/>
      <c r="S308" s="38"/>
      <c r="T308" s="38"/>
      <c r="U308" s="38"/>
      <c r="V308" s="38"/>
      <c r="W308" s="38"/>
      <c r="X308" s="38"/>
      <c r="Y308" s="38"/>
      <c r="Z308" s="38"/>
    </row>
    <row r="309" spans="6:26" ht="15" thickBot="1">
      <c r="F309" s="38"/>
      <c r="G309" s="38"/>
      <c r="H309" s="38"/>
      <c r="I309" s="38"/>
      <c r="J309" s="38"/>
      <c r="K309" s="38"/>
      <c r="L309" s="38"/>
      <c r="M309" s="38"/>
      <c r="N309" s="38"/>
      <c r="O309" s="38"/>
      <c r="P309" s="38"/>
      <c r="Q309" s="38"/>
      <c r="R309" s="38"/>
      <c r="S309" s="38"/>
      <c r="T309" s="38"/>
      <c r="U309" s="38"/>
      <c r="V309" s="38"/>
      <c r="W309" s="38"/>
      <c r="X309" s="38"/>
      <c r="Y309" s="38"/>
      <c r="Z309" s="38"/>
    </row>
    <row r="310" spans="6:26" ht="15" thickBot="1">
      <c r="F310" s="38"/>
      <c r="G310" s="38"/>
      <c r="H310" s="38"/>
      <c r="I310" s="38"/>
      <c r="J310" s="38"/>
      <c r="K310" s="38"/>
      <c r="L310" s="38"/>
      <c r="M310" s="38"/>
      <c r="N310" s="38"/>
      <c r="O310" s="38"/>
      <c r="P310" s="38"/>
      <c r="Q310" s="38"/>
      <c r="R310" s="38"/>
      <c r="S310" s="38"/>
      <c r="T310" s="38"/>
      <c r="U310" s="38"/>
      <c r="V310" s="38"/>
      <c r="W310" s="38"/>
      <c r="X310" s="38"/>
      <c r="Y310" s="38"/>
      <c r="Z310" s="38"/>
    </row>
    <row r="311" spans="6:26" ht="15" thickBot="1">
      <c r="F311" s="38"/>
      <c r="G311" s="38"/>
      <c r="H311" s="38"/>
      <c r="I311" s="38"/>
      <c r="J311" s="38"/>
      <c r="K311" s="38"/>
      <c r="L311" s="38"/>
      <c r="M311" s="38"/>
      <c r="N311" s="38"/>
      <c r="O311" s="38"/>
      <c r="P311" s="38"/>
      <c r="Q311" s="38"/>
      <c r="R311" s="38"/>
      <c r="S311" s="38"/>
      <c r="T311" s="38"/>
      <c r="U311" s="38"/>
      <c r="V311" s="38"/>
      <c r="W311" s="38"/>
      <c r="X311" s="38"/>
      <c r="Y311" s="38"/>
      <c r="Z311" s="38"/>
    </row>
    <row r="312" spans="6:26" ht="15" thickBot="1">
      <c r="F312" s="38"/>
      <c r="G312" s="38"/>
      <c r="H312" s="38"/>
      <c r="I312" s="38"/>
      <c r="J312" s="38"/>
      <c r="K312" s="38"/>
      <c r="L312" s="38"/>
      <c r="M312" s="38"/>
      <c r="N312" s="38"/>
      <c r="O312" s="38"/>
      <c r="P312" s="38"/>
      <c r="Q312" s="38"/>
      <c r="R312" s="38"/>
      <c r="S312" s="38"/>
      <c r="T312" s="38"/>
      <c r="U312" s="38"/>
      <c r="V312" s="38"/>
      <c r="W312" s="38"/>
      <c r="X312" s="38"/>
      <c r="Y312" s="38"/>
      <c r="Z312" s="38"/>
    </row>
    <row r="313" spans="6:26" ht="15" thickBot="1">
      <c r="F313" s="38"/>
      <c r="G313" s="38"/>
      <c r="H313" s="38"/>
      <c r="I313" s="38"/>
      <c r="J313" s="38"/>
      <c r="K313" s="38"/>
      <c r="L313" s="38"/>
      <c r="M313" s="38"/>
      <c r="N313" s="38"/>
      <c r="O313" s="38"/>
      <c r="P313" s="38"/>
      <c r="Q313" s="38"/>
      <c r="R313" s="38"/>
      <c r="S313" s="38"/>
      <c r="T313" s="38"/>
      <c r="U313" s="38"/>
      <c r="V313" s="38"/>
      <c r="W313" s="38"/>
      <c r="X313" s="38"/>
      <c r="Y313" s="38"/>
      <c r="Z313" s="38"/>
    </row>
    <row r="314" spans="6:26" ht="15" thickBot="1">
      <c r="F314" s="38"/>
      <c r="G314" s="38"/>
      <c r="H314" s="38"/>
      <c r="I314" s="38"/>
      <c r="J314" s="38"/>
      <c r="K314" s="38"/>
      <c r="L314" s="38"/>
      <c r="M314" s="38"/>
      <c r="N314" s="38"/>
      <c r="O314" s="38"/>
      <c r="P314" s="38"/>
      <c r="Q314" s="38"/>
      <c r="R314" s="38"/>
      <c r="S314" s="38"/>
      <c r="T314" s="38"/>
      <c r="U314" s="38"/>
      <c r="V314" s="38"/>
      <c r="W314" s="38"/>
      <c r="X314" s="38"/>
      <c r="Y314" s="38"/>
      <c r="Z314" s="38"/>
    </row>
    <row r="315" spans="6:26" ht="15" thickBot="1">
      <c r="F315" s="38"/>
      <c r="G315" s="38"/>
      <c r="H315" s="38"/>
      <c r="I315" s="38"/>
      <c r="J315" s="38"/>
      <c r="K315" s="38"/>
      <c r="L315" s="38"/>
      <c r="M315" s="38"/>
      <c r="N315" s="38"/>
      <c r="O315" s="38"/>
      <c r="P315" s="38"/>
      <c r="Q315" s="38"/>
      <c r="R315" s="38"/>
      <c r="S315" s="38"/>
      <c r="T315" s="38"/>
      <c r="U315" s="38"/>
      <c r="V315" s="38"/>
      <c r="W315" s="38"/>
      <c r="X315" s="38"/>
      <c r="Y315" s="38"/>
      <c r="Z315" s="38"/>
    </row>
    <row r="316" spans="6:26" ht="15" thickBot="1">
      <c r="F316" s="38"/>
      <c r="G316" s="38"/>
      <c r="H316" s="38"/>
      <c r="I316" s="38"/>
      <c r="J316" s="38"/>
      <c r="K316" s="38"/>
      <c r="L316" s="38"/>
      <c r="M316" s="38"/>
      <c r="N316" s="38"/>
      <c r="O316" s="38"/>
      <c r="P316" s="38"/>
      <c r="Q316" s="38"/>
      <c r="R316" s="38"/>
      <c r="S316" s="38"/>
      <c r="T316" s="38"/>
      <c r="U316" s="38"/>
      <c r="V316" s="38"/>
      <c r="W316" s="38"/>
      <c r="X316" s="38"/>
      <c r="Y316" s="38"/>
      <c r="Z316" s="38"/>
    </row>
    <row r="317" spans="6:26" ht="15" thickBot="1">
      <c r="F317" s="38"/>
      <c r="G317" s="38"/>
      <c r="H317" s="38"/>
      <c r="I317" s="38"/>
      <c r="J317" s="38"/>
      <c r="K317" s="38"/>
      <c r="L317" s="38"/>
      <c r="M317" s="38"/>
      <c r="N317" s="38"/>
      <c r="O317" s="38"/>
      <c r="P317" s="38"/>
      <c r="Q317" s="38"/>
      <c r="R317" s="38"/>
      <c r="S317" s="38"/>
      <c r="T317" s="38"/>
      <c r="U317" s="38"/>
      <c r="V317" s="38"/>
      <c r="W317" s="38"/>
      <c r="X317" s="38"/>
      <c r="Y317" s="38"/>
      <c r="Z317" s="38"/>
    </row>
    <row r="318" spans="6:26" ht="15" thickBot="1">
      <c r="F318" s="38"/>
      <c r="G318" s="38"/>
      <c r="H318" s="38"/>
      <c r="I318" s="38"/>
      <c r="J318" s="38"/>
      <c r="K318" s="38"/>
      <c r="L318" s="38"/>
      <c r="M318" s="38"/>
      <c r="N318" s="38"/>
      <c r="O318" s="38"/>
      <c r="P318" s="38"/>
      <c r="Q318" s="38"/>
      <c r="R318" s="38"/>
      <c r="S318" s="38"/>
      <c r="T318" s="38"/>
      <c r="U318" s="38"/>
      <c r="V318" s="38"/>
      <c r="W318" s="38"/>
      <c r="X318" s="38"/>
      <c r="Y318" s="38"/>
      <c r="Z318" s="38"/>
    </row>
    <row r="319" spans="6:26" ht="15" thickBot="1">
      <c r="F319" s="38"/>
      <c r="G319" s="38"/>
      <c r="H319" s="38"/>
      <c r="I319" s="38"/>
      <c r="J319" s="38"/>
      <c r="K319" s="38"/>
      <c r="L319" s="38"/>
      <c r="M319" s="38"/>
      <c r="N319" s="38"/>
      <c r="O319" s="38"/>
      <c r="P319" s="38"/>
      <c r="Q319" s="38"/>
      <c r="R319" s="38"/>
      <c r="S319" s="38"/>
      <c r="T319" s="38"/>
      <c r="U319" s="38"/>
      <c r="V319" s="38"/>
      <c r="W319" s="38"/>
      <c r="X319" s="38"/>
      <c r="Y319" s="38"/>
      <c r="Z319" s="38"/>
    </row>
    <row r="320" spans="6:26" ht="15" thickBot="1">
      <c r="F320" s="38"/>
      <c r="G320" s="38"/>
      <c r="H320" s="38"/>
      <c r="I320" s="38"/>
      <c r="J320" s="38"/>
      <c r="K320" s="38"/>
      <c r="L320" s="38"/>
      <c r="M320" s="38"/>
      <c r="N320" s="38"/>
      <c r="O320" s="38"/>
      <c r="P320" s="38"/>
      <c r="Q320" s="38"/>
      <c r="R320" s="38"/>
      <c r="S320" s="38"/>
      <c r="T320" s="38"/>
      <c r="U320" s="38"/>
      <c r="V320" s="38"/>
      <c r="W320" s="38"/>
      <c r="X320" s="38"/>
      <c r="Y320" s="38"/>
      <c r="Z320" s="38"/>
    </row>
    <row r="321" spans="6:26" ht="15" thickBot="1">
      <c r="F321" s="38"/>
      <c r="G321" s="38"/>
      <c r="H321" s="38"/>
      <c r="I321" s="38"/>
      <c r="J321" s="38"/>
      <c r="K321" s="38"/>
      <c r="L321" s="38"/>
      <c r="M321" s="38"/>
      <c r="N321" s="38"/>
      <c r="O321" s="38"/>
      <c r="P321" s="38"/>
      <c r="Q321" s="38"/>
      <c r="R321" s="38"/>
      <c r="S321" s="38"/>
      <c r="T321" s="38"/>
      <c r="U321" s="38"/>
      <c r="V321" s="38"/>
      <c r="W321" s="38"/>
      <c r="X321" s="38"/>
      <c r="Y321" s="38"/>
      <c r="Z321" s="38"/>
    </row>
    <row r="322" spans="6:26" ht="15" thickBot="1">
      <c r="F322" s="38"/>
      <c r="G322" s="38"/>
      <c r="H322" s="38"/>
      <c r="I322" s="38"/>
      <c r="J322" s="38"/>
      <c r="K322" s="38"/>
      <c r="L322" s="38"/>
      <c r="M322" s="38"/>
      <c r="N322" s="38"/>
      <c r="O322" s="38"/>
      <c r="P322" s="38"/>
      <c r="Q322" s="38"/>
      <c r="R322" s="38"/>
      <c r="S322" s="38"/>
      <c r="T322" s="38"/>
      <c r="U322" s="38"/>
      <c r="V322" s="38"/>
      <c r="W322" s="38"/>
      <c r="X322" s="38"/>
      <c r="Y322" s="38"/>
      <c r="Z322" s="38"/>
    </row>
    <row r="323" spans="6:26" ht="15" thickBot="1">
      <c r="F323" s="38"/>
      <c r="G323" s="38"/>
      <c r="H323" s="38"/>
      <c r="I323" s="38"/>
      <c r="J323" s="38"/>
      <c r="K323" s="38"/>
      <c r="L323" s="38"/>
      <c r="M323" s="38"/>
      <c r="N323" s="38"/>
      <c r="O323" s="38"/>
      <c r="P323" s="38"/>
      <c r="Q323" s="38"/>
      <c r="R323" s="38"/>
      <c r="S323" s="38"/>
      <c r="T323" s="38"/>
      <c r="U323" s="38"/>
      <c r="V323" s="38"/>
      <c r="W323" s="38"/>
      <c r="X323" s="38"/>
      <c r="Y323" s="38"/>
      <c r="Z323" s="38"/>
    </row>
    <row r="324" spans="6:26" ht="15" thickBot="1">
      <c r="F324" s="38"/>
      <c r="G324" s="38"/>
      <c r="H324" s="38"/>
      <c r="I324" s="38"/>
      <c r="J324" s="38"/>
      <c r="K324" s="38"/>
      <c r="L324" s="38"/>
      <c r="M324" s="38"/>
      <c r="N324" s="38"/>
      <c r="O324" s="38"/>
      <c r="P324" s="38"/>
      <c r="Q324" s="38"/>
      <c r="R324" s="38"/>
      <c r="S324" s="38"/>
      <c r="T324" s="38"/>
      <c r="U324" s="38"/>
      <c r="V324" s="38"/>
      <c r="W324" s="38"/>
      <c r="X324" s="38"/>
      <c r="Y324" s="38"/>
      <c r="Z324" s="38"/>
    </row>
    <row r="325" spans="6:26" ht="15" thickBot="1">
      <c r="F325" s="38"/>
      <c r="G325" s="38"/>
      <c r="H325" s="38"/>
      <c r="I325" s="38"/>
      <c r="J325" s="38"/>
      <c r="K325" s="38"/>
      <c r="L325" s="38"/>
      <c r="M325" s="38"/>
      <c r="N325" s="38"/>
      <c r="O325" s="38"/>
      <c r="P325" s="38"/>
      <c r="Q325" s="38"/>
      <c r="R325" s="38"/>
      <c r="S325" s="38"/>
      <c r="T325" s="38"/>
      <c r="U325" s="38"/>
      <c r="V325" s="38"/>
      <c r="W325" s="38"/>
      <c r="X325" s="38"/>
      <c r="Y325" s="38"/>
      <c r="Z325" s="38"/>
    </row>
    <row r="326" spans="6:26" ht="15" thickBot="1">
      <c r="F326" s="38"/>
      <c r="G326" s="38"/>
      <c r="H326" s="38"/>
      <c r="I326" s="38"/>
      <c r="J326" s="38"/>
      <c r="K326" s="38"/>
      <c r="L326" s="38"/>
      <c r="M326" s="38"/>
      <c r="N326" s="38"/>
      <c r="O326" s="38"/>
      <c r="P326" s="38"/>
      <c r="Q326" s="38"/>
      <c r="R326" s="38"/>
      <c r="S326" s="38"/>
      <c r="T326" s="38"/>
      <c r="U326" s="38"/>
      <c r="V326" s="38"/>
      <c r="W326" s="38"/>
      <c r="X326" s="38"/>
      <c r="Y326" s="38"/>
      <c r="Z326" s="38"/>
    </row>
    <row r="327" spans="6:26" ht="15" thickBot="1">
      <c r="F327" s="38"/>
      <c r="G327" s="38"/>
      <c r="H327" s="38"/>
      <c r="I327" s="38"/>
      <c r="J327" s="38"/>
      <c r="K327" s="38"/>
      <c r="L327" s="38"/>
      <c r="M327" s="38"/>
      <c r="N327" s="38"/>
      <c r="O327" s="38"/>
      <c r="P327" s="38"/>
      <c r="Q327" s="38"/>
      <c r="R327" s="38"/>
      <c r="S327" s="38"/>
      <c r="T327" s="38"/>
      <c r="U327" s="38"/>
      <c r="V327" s="38"/>
      <c r="W327" s="38"/>
      <c r="X327" s="38"/>
      <c r="Y327" s="38"/>
      <c r="Z327" s="38"/>
    </row>
    <row r="328" spans="6:26" ht="15" thickBot="1">
      <c r="F328" s="38"/>
      <c r="G328" s="38"/>
      <c r="H328" s="38"/>
      <c r="I328" s="38"/>
      <c r="J328" s="38"/>
      <c r="K328" s="38"/>
      <c r="L328" s="38"/>
      <c r="M328" s="38"/>
      <c r="N328" s="38"/>
      <c r="O328" s="38"/>
      <c r="P328" s="38"/>
      <c r="Q328" s="38"/>
      <c r="R328" s="38"/>
      <c r="S328" s="38"/>
      <c r="T328" s="38"/>
      <c r="U328" s="38"/>
      <c r="V328" s="38"/>
      <c r="W328" s="38"/>
      <c r="X328" s="38"/>
      <c r="Y328" s="38"/>
      <c r="Z328" s="38"/>
    </row>
    <row r="329" spans="6:26" ht="15" thickBot="1">
      <c r="F329" s="38"/>
      <c r="G329" s="38"/>
      <c r="H329" s="38"/>
      <c r="I329" s="38"/>
      <c r="J329" s="38"/>
      <c r="K329" s="38"/>
      <c r="L329" s="38"/>
      <c r="M329" s="38"/>
      <c r="N329" s="38"/>
      <c r="O329" s="38"/>
      <c r="P329" s="38"/>
      <c r="Q329" s="38"/>
      <c r="R329" s="38"/>
      <c r="S329" s="38"/>
      <c r="T329" s="38"/>
      <c r="U329" s="38"/>
      <c r="V329" s="38"/>
      <c r="W329" s="38"/>
      <c r="X329" s="38"/>
      <c r="Y329" s="38"/>
      <c r="Z329" s="38"/>
    </row>
    <row r="330" spans="6:26" ht="15" thickBot="1">
      <c r="F330" s="38"/>
      <c r="G330" s="38"/>
      <c r="H330" s="38"/>
      <c r="I330" s="38"/>
      <c r="J330" s="38"/>
      <c r="K330" s="38"/>
      <c r="L330" s="38"/>
      <c r="M330" s="38"/>
      <c r="N330" s="38"/>
      <c r="O330" s="38"/>
      <c r="P330" s="38"/>
      <c r="Q330" s="38"/>
      <c r="R330" s="38"/>
      <c r="S330" s="38"/>
      <c r="T330" s="38"/>
      <c r="U330" s="38"/>
      <c r="V330" s="38"/>
      <c r="W330" s="38"/>
      <c r="X330" s="38"/>
      <c r="Y330" s="38"/>
      <c r="Z330" s="38"/>
    </row>
    <row r="331" spans="6:26" ht="15" thickBot="1">
      <c r="F331" s="38"/>
      <c r="G331" s="38"/>
      <c r="H331" s="38"/>
      <c r="I331" s="38"/>
      <c r="J331" s="38"/>
      <c r="K331" s="38"/>
      <c r="L331" s="38"/>
      <c r="M331" s="38"/>
      <c r="N331" s="38"/>
      <c r="O331" s="38"/>
      <c r="P331" s="38"/>
      <c r="Q331" s="38"/>
      <c r="R331" s="38"/>
      <c r="S331" s="38"/>
      <c r="T331" s="38"/>
      <c r="U331" s="38"/>
      <c r="V331" s="38"/>
      <c r="W331" s="38"/>
      <c r="X331" s="38"/>
      <c r="Y331" s="38"/>
      <c r="Z331" s="38"/>
    </row>
    <row r="332" spans="6:26" ht="15" thickBot="1">
      <c r="F332" s="38"/>
      <c r="G332" s="38"/>
      <c r="H332" s="38"/>
      <c r="I332" s="38"/>
      <c r="J332" s="38"/>
      <c r="K332" s="38"/>
      <c r="L332" s="38"/>
      <c r="M332" s="38"/>
      <c r="N332" s="38"/>
      <c r="O332" s="38"/>
      <c r="P332" s="38"/>
      <c r="Q332" s="38"/>
      <c r="R332" s="38"/>
      <c r="S332" s="38"/>
      <c r="T332" s="38"/>
      <c r="U332" s="38"/>
      <c r="V332" s="38"/>
      <c r="W332" s="38"/>
      <c r="X332" s="38"/>
      <c r="Y332" s="38"/>
      <c r="Z332" s="38"/>
    </row>
    <row r="333" spans="6:26" ht="15" thickBot="1">
      <c r="F333" s="38"/>
      <c r="G333" s="38"/>
      <c r="H333" s="38"/>
      <c r="I333" s="38"/>
      <c r="J333" s="38"/>
      <c r="K333" s="38"/>
      <c r="L333" s="38"/>
      <c r="M333" s="38"/>
      <c r="N333" s="38"/>
      <c r="O333" s="38"/>
      <c r="P333" s="38"/>
      <c r="Q333" s="38"/>
      <c r="R333" s="38"/>
      <c r="S333" s="38"/>
      <c r="T333" s="38"/>
      <c r="U333" s="38"/>
      <c r="V333" s="38"/>
      <c r="W333" s="38"/>
      <c r="X333" s="38"/>
      <c r="Y333" s="38"/>
      <c r="Z333" s="38"/>
    </row>
    <row r="334" spans="6:26" ht="15" thickBot="1">
      <c r="F334" s="38"/>
      <c r="G334" s="38"/>
      <c r="H334" s="38"/>
      <c r="I334" s="38"/>
      <c r="J334" s="38"/>
      <c r="K334" s="38"/>
      <c r="L334" s="38"/>
      <c r="M334" s="38"/>
      <c r="N334" s="38"/>
      <c r="O334" s="38"/>
      <c r="P334" s="38"/>
      <c r="Q334" s="38"/>
      <c r="R334" s="38"/>
      <c r="S334" s="38"/>
      <c r="T334" s="38"/>
      <c r="U334" s="38"/>
      <c r="V334" s="38"/>
      <c r="W334" s="38"/>
      <c r="X334" s="38"/>
      <c r="Y334" s="38"/>
      <c r="Z334" s="38"/>
    </row>
    <row r="335" spans="6:26" ht="15" thickBot="1">
      <c r="F335" s="38"/>
      <c r="G335" s="38"/>
      <c r="H335" s="38"/>
      <c r="I335" s="38"/>
      <c r="J335" s="38"/>
      <c r="K335" s="38"/>
      <c r="L335" s="38"/>
      <c r="M335" s="38"/>
      <c r="N335" s="38"/>
      <c r="O335" s="38"/>
      <c r="P335" s="38"/>
      <c r="Q335" s="38"/>
      <c r="R335" s="38"/>
      <c r="S335" s="38"/>
      <c r="T335" s="38"/>
      <c r="U335" s="38"/>
      <c r="V335" s="38"/>
      <c r="W335" s="38"/>
      <c r="X335" s="38"/>
      <c r="Y335" s="38"/>
      <c r="Z335" s="38"/>
    </row>
    <row r="336" spans="6:26" ht="15" thickBot="1">
      <c r="F336" s="38"/>
      <c r="G336" s="38"/>
      <c r="H336" s="38"/>
      <c r="I336" s="38"/>
      <c r="J336" s="38"/>
      <c r="K336" s="38"/>
      <c r="L336" s="38"/>
      <c r="M336" s="38"/>
      <c r="N336" s="38"/>
      <c r="O336" s="38"/>
      <c r="P336" s="38"/>
      <c r="Q336" s="38"/>
      <c r="R336" s="38"/>
      <c r="S336" s="38"/>
      <c r="T336" s="38"/>
      <c r="U336" s="38"/>
      <c r="V336" s="38"/>
      <c r="W336" s="38"/>
      <c r="X336" s="38"/>
      <c r="Y336" s="38"/>
      <c r="Z336" s="38"/>
    </row>
    <row r="337" spans="6:26" ht="15" thickBot="1">
      <c r="F337" s="38"/>
      <c r="G337" s="38"/>
      <c r="H337" s="38"/>
      <c r="I337" s="38"/>
      <c r="J337" s="38"/>
      <c r="K337" s="38"/>
      <c r="L337" s="38"/>
      <c r="M337" s="38"/>
      <c r="N337" s="38"/>
      <c r="O337" s="38"/>
      <c r="P337" s="38"/>
      <c r="Q337" s="38"/>
      <c r="R337" s="38"/>
      <c r="S337" s="38"/>
      <c r="T337" s="38"/>
      <c r="U337" s="38"/>
      <c r="V337" s="38"/>
      <c r="W337" s="38"/>
      <c r="X337" s="38"/>
      <c r="Y337" s="38"/>
      <c r="Z337" s="38"/>
    </row>
    <row r="338" spans="6:26" ht="15" thickBot="1">
      <c r="F338" s="38"/>
      <c r="G338" s="38"/>
      <c r="H338" s="38"/>
      <c r="I338" s="38"/>
      <c r="J338" s="38"/>
      <c r="K338" s="38"/>
      <c r="L338" s="38"/>
      <c r="M338" s="38"/>
      <c r="N338" s="38"/>
      <c r="O338" s="38"/>
      <c r="P338" s="38"/>
      <c r="Q338" s="38"/>
      <c r="R338" s="38"/>
      <c r="S338" s="38"/>
      <c r="T338" s="38"/>
      <c r="U338" s="38"/>
      <c r="V338" s="38"/>
      <c r="W338" s="38"/>
      <c r="X338" s="38"/>
      <c r="Y338" s="38"/>
      <c r="Z338" s="38"/>
    </row>
    <row r="339" spans="6:26" ht="15" thickBot="1">
      <c r="F339" s="38"/>
      <c r="G339" s="38"/>
      <c r="H339" s="38"/>
      <c r="I339" s="38"/>
      <c r="J339" s="38"/>
      <c r="K339" s="38"/>
      <c r="L339" s="38"/>
      <c r="M339" s="38"/>
      <c r="N339" s="38"/>
      <c r="O339" s="38"/>
      <c r="P339" s="38"/>
      <c r="Q339" s="38"/>
      <c r="R339" s="38"/>
      <c r="S339" s="38"/>
      <c r="T339" s="38"/>
      <c r="U339" s="38"/>
      <c r="V339" s="38"/>
      <c r="W339" s="38"/>
      <c r="X339" s="38"/>
      <c r="Y339" s="38"/>
      <c r="Z339" s="38"/>
    </row>
    <row r="340" spans="6:26" ht="15" thickBot="1">
      <c r="F340" s="38"/>
      <c r="G340" s="38"/>
      <c r="H340" s="38"/>
      <c r="I340" s="38"/>
      <c r="J340" s="38"/>
      <c r="K340" s="38"/>
      <c r="L340" s="38"/>
      <c r="M340" s="38"/>
      <c r="N340" s="38"/>
      <c r="O340" s="38"/>
      <c r="P340" s="38"/>
      <c r="Q340" s="38"/>
      <c r="R340" s="38"/>
      <c r="S340" s="38"/>
      <c r="T340" s="38"/>
      <c r="U340" s="38"/>
      <c r="V340" s="38"/>
      <c r="W340" s="38"/>
      <c r="X340" s="38"/>
      <c r="Y340" s="38"/>
      <c r="Z340" s="38"/>
    </row>
    <row r="341" spans="6:26" ht="15" thickBot="1">
      <c r="F341" s="38"/>
      <c r="G341" s="38"/>
      <c r="H341" s="38"/>
      <c r="I341" s="38"/>
      <c r="J341" s="38"/>
      <c r="K341" s="38"/>
      <c r="L341" s="38"/>
      <c r="M341" s="38"/>
      <c r="N341" s="38"/>
      <c r="O341" s="38"/>
      <c r="P341" s="38"/>
      <c r="Q341" s="38"/>
      <c r="R341" s="38"/>
      <c r="S341" s="38"/>
      <c r="T341" s="38"/>
      <c r="U341" s="38"/>
      <c r="V341" s="38"/>
      <c r="W341" s="38"/>
      <c r="X341" s="38"/>
      <c r="Y341" s="38"/>
      <c r="Z341" s="38"/>
    </row>
    <row r="342" spans="6:26" ht="15" thickBot="1">
      <c r="F342" s="38"/>
      <c r="G342" s="38"/>
      <c r="H342" s="38"/>
      <c r="I342" s="38"/>
      <c r="J342" s="38"/>
      <c r="K342" s="38"/>
      <c r="L342" s="38"/>
      <c r="M342" s="38"/>
      <c r="N342" s="38"/>
      <c r="O342" s="38"/>
      <c r="P342" s="38"/>
      <c r="Q342" s="38"/>
      <c r="R342" s="38"/>
      <c r="S342" s="38"/>
      <c r="T342" s="38"/>
      <c r="U342" s="38"/>
      <c r="V342" s="38"/>
      <c r="W342" s="38"/>
      <c r="X342" s="38"/>
      <c r="Y342" s="38"/>
      <c r="Z342" s="38"/>
    </row>
    <row r="343" spans="6:26" ht="15" thickBot="1">
      <c r="F343" s="38"/>
      <c r="G343" s="38"/>
      <c r="H343" s="38"/>
      <c r="I343" s="38"/>
      <c r="J343" s="38"/>
      <c r="K343" s="38"/>
      <c r="L343" s="38"/>
      <c r="M343" s="38"/>
      <c r="N343" s="38"/>
      <c r="O343" s="38"/>
      <c r="P343" s="38"/>
      <c r="Q343" s="38"/>
      <c r="R343" s="38"/>
      <c r="S343" s="38"/>
      <c r="T343" s="38"/>
      <c r="U343" s="38"/>
      <c r="V343" s="38"/>
      <c r="W343" s="38"/>
      <c r="X343" s="38"/>
      <c r="Y343" s="38"/>
      <c r="Z343" s="38"/>
    </row>
    <row r="344" spans="6:26" ht="15" thickBot="1">
      <c r="F344" s="38"/>
      <c r="G344" s="38"/>
      <c r="H344" s="38"/>
      <c r="I344" s="38"/>
      <c r="J344" s="38"/>
      <c r="K344" s="38"/>
      <c r="L344" s="38"/>
      <c r="M344" s="38"/>
      <c r="N344" s="38"/>
      <c r="O344" s="38"/>
      <c r="P344" s="38"/>
      <c r="Q344" s="38"/>
      <c r="R344" s="38"/>
      <c r="S344" s="38"/>
      <c r="T344" s="38"/>
      <c r="U344" s="38"/>
      <c r="V344" s="38"/>
      <c r="W344" s="38"/>
      <c r="X344" s="38"/>
      <c r="Y344" s="38"/>
      <c r="Z344" s="38"/>
    </row>
    <row r="345" spans="6:26" ht="15" thickBot="1">
      <c r="F345" s="38"/>
      <c r="G345" s="38"/>
      <c r="H345" s="38"/>
      <c r="I345" s="38"/>
      <c r="J345" s="38"/>
      <c r="K345" s="38"/>
      <c r="L345" s="38"/>
      <c r="M345" s="38"/>
      <c r="N345" s="38"/>
      <c r="O345" s="38"/>
      <c r="P345" s="38"/>
      <c r="Q345" s="38"/>
      <c r="R345" s="38"/>
      <c r="S345" s="38"/>
      <c r="T345" s="38"/>
      <c r="U345" s="38"/>
      <c r="V345" s="38"/>
      <c r="W345" s="38"/>
      <c r="X345" s="38"/>
      <c r="Y345" s="38"/>
      <c r="Z345" s="38"/>
    </row>
    <row r="346" spans="6:26" ht="15" thickBot="1">
      <c r="F346" s="38"/>
      <c r="G346" s="38"/>
      <c r="H346" s="38"/>
      <c r="I346" s="38"/>
      <c r="J346" s="38"/>
      <c r="K346" s="38"/>
      <c r="L346" s="38"/>
      <c r="M346" s="38"/>
      <c r="N346" s="38"/>
      <c r="O346" s="38"/>
      <c r="P346" s="38"/>
      <c r="Q346" s="38"/>
      <c r="R346" s="38"/>
      <c r="S346" s="38"/>
      <c r="T346" s="38"/>
      <c r="U346" s="38"/>
      <c r="V346" s="38"/>
      <c r="W346" s="38"/>
      <c r="X346" s="38"/>
      <c r="Y346" s="38"/>
      <c r="Z346" s="38"/>
    </row>
    <row r="347" spans="6:26" ht="15" thickBot="1">
      <c r="F347" s="38"/>
      <c r="G347" s="38"/>
      <c r="H347" s="38"/>
      <c r="I347" s="38"/>
      <c r="J347" s="38"/>
      <c r="K347" s="38"/>
      <c r="L347" s="38"/>
      <c r="M347" s="38"/>
      <c r="N347" s="38"/>
      <c r="O347" s="38"/>
      <c r="P347" s="38"/>
      <c r="Q347" s="38"/>
      <c r="R347" s="38"/>
      <c r="S347" s="38"/>
      <c r="T347" s="38"/>
      <c r="U347" s="38"/>
      <c r="V347" s="38"/>
      <c r="W347" s="38"/>
      <c r="X347" s="38"/>
      <c r="Y347" s="38"/>
      <c r="Z347" s="38"/>
    </row>
    <row r="348" spans="6:26" ht="15" thickBot="1">
      <c r="F348" s="38"/>
      <c r="G348" s="38"/>
      <c r="H348" s="38"/>
      <c r="I348" s="38"/>
      <c r="J348" s="38"/>
      <c r="K348" s="38"/>
      <c r="L348" s="38"/>
      <c r="M348" s="38"/>
      <c r="N348" s="38"/>
      <c r="O348" s="38"/>
      <c r="P348" s="38"/>
      <c r="Q348" s="38"/>
      <c r="R348" s="38"/>
      <c r="S348" s="38"/>
      <c r="T348" s="38"/>
      <c r="U348" s="38"/>
      <c r="V348" s="38"/>
      <c r="W348" s="38"/>
      <c r="X348" s="38"/>
      <c r="Y348" s="38"/>
      <c r="Z348" s="38"/>
    </row>
    <row r="349" spans="6:26" ht="15" thickBot="1">
      <c r="F349" s="38"/>
      <c r="G349" s="38"/>
      <c r="H349" s="38"/>
      <c r="I349" s="38"/>
      <c r="J349" s="38"/>
      <c r="K349" s="38"/>
      <c r="L349" s="38"/>
      <c r="M349" s="38"/>
      <c r="N349" s="38"/>
      <c r="O349" s="38"/>
      <c r="P349" s="38"/>
      <c r="Q349" s="38"/>
      <c r="R349" s="38"/>
      <c r="S349" s="38"/>
      <c r="T349" s="38"/>
      <c r="U349" s="38"/>
      <c r="V349" s="38"/>
      <c r="W349" s="38"/>
      <c r="X349" s="38"/>
      <c r="Y349" s="38"/>
      <c r="Z349" s="38"/>
    </row>
    <row r="350" spans="6:26" ht="15" thickBot="1">
      <c r="F350" s="38"/>
      <c r="G350" s="38"/>
      <c r="H350" s="38"/>
      <c r="I350" s="38"/>
      <c r="J350" s="38"/>
      <c r="K350" s="38"/>
      <c r="L350" s="38"/>
      <c r="M350" s="38"/>
      <c r="N350" s="38"/>
      <c r="O350" s="38"/>
      <c r="P350" s="38"/>
      <c r="Q350" s="38"/>
      <c r="R350" s="38"/>
      <c r="S350" s="38"/>
      <c r="T350" s="38"/>
      <c r="U350" s="38"/>
      <c r="V350" s="38"/>
      <c r="W350" s="38"/>
      <c r="X350" s="38"/>
      <c r="Y350" s="38"/>
      <c r="Z350" s="38"/>
    </row>
    <row r="351" spans="6:26" ht="15" thickBot="1">
      <c r="F351" s="38"/>
      <c r="G351" s="38"/>
      <c r="H351" s="38"/>
      <c r="I351" s="38"/>
      <c r="J351" s="38"/>
      <c r="K351" s="38"/>
      <c r="L351" s="38"/>
      <c r="M351" s="38"/>
      <c r="N351" s="38"/>
      <c r="O351" s="38"/>
      <c r="P351" s="38"/>
      <c r="Q351" s="38"/>
      <c r="R351" s="38"/>
      <c r="S351" s="38"/>
      <c r="T351" s="38"/>
      <c r="U351" s="38"/>
      <c r="V351" s="38"/>
      <c r="W351" s="38"/>
      <c r="X351" s="38"/>
      <c r="Y351" s="38"/>
      <c r="Z351" s="38"/>
    </row>
    <row r="352" spans="6:26" ht="15" thickBot="1">
      <c r="F352" s="38"/>
      <c r="G352" s="38"/>
      <c r="H352" s="38"/>
      <c r="I352" s="38"/>
      <c r="J352" s="38"/>
      <c r="K352" s="38"/>
      <c r="L352" s="38"/>
      <c r="M352" s="38"/>
      <c r="N352" s="38"/>
      <c r="O352" s="38"/>
      <c r="P352" s="38"/>
      <c r="Q352" s="38"/>
      <c r="R352" s="38"/>
      <c r="S352" s="38"/>
      <c r="T352" s="38"/>
      <c r="U352" s="38"/>
      <c r="V352" s="38"/>
      <c r="W352" s="38"/>
      <c r="X352" s="38"/>
      <c r="Y352" s="38"/>
      <c r="Z352" s="38"/>
    </row>
    <row r="353" spans="6:26" ht="15" thickBot="1">
      <c r="F353" s="38"/>
      <c r="G353" s="38"/>
      <c r="H353" s="38"/>
      <c r="I353" s="38"/>
      <c r="J353" s="38"/>
      <c r="K353" s="38"/>
      <c r="L353" s="38"/>
      <c r="M353" s="38"/>
      <c r="N353" s="38"/>
      <c r="O353" s="38"/>
      <c r="P353" s="38"/>
      <c r="Q353" s="38"/>
      <c r="R353" s="38"/>
      <c r="S353" s="38"/>
      <c r="T353" s="38"/>
      <c r="U353" s="38"/>
      <c r="V353" s="38"/>
      <c r="W353" s="38"/>
      <c r="X353" s="38"/>
      <c r="Y353" s="38"/>
      <c r="Z353" s="38"/>
    </row>
    <row r="354" spans="6:26" ht="15" thickBot="1">
      <c r="F354" s="38"/>
      <c r="G354" s="38"/>
      <c r="H354" s="38"/>
      <c r="I354" s="38"/>
      <c r="J354" s="38"/>
      <c r="K354" s="38"/>
      <c r="L354" s="38"/>
      <c r="M354" s="38"/>
      <c r="N354" s="38"/>
      <c r="O354" s="38"/>
      <c r="P354" s="38"/>
      <c r="Q354" s="38"/>
      <c r="R354" s="38"/>
      <c r="S354" s="38"/>
      <c r="T354" s="38"/>
      <c r="U354" s="38"/>
      <c r="V354" s="38"/>
      <c r="W354" s="38"/>
      <c r="X354" s="38"/>
      <c r="Y354" s="38"/>
      <c r="Z354" s="38"/>
    </row>
    <row r="355" spans="6:26" ht="15" thickBot="1">
      <c r="F355" s="38"/>
      <c r="G355" s="38"/>
      <c r="H355" s="38"/>
      <c r="I355" s="38"/>
      <c r="J355" s="38"/>
      <c r="K355" s="38"/>
      <c r="L355" s="38"/>
      <c r="M355" s="38"/>
      <c r="N355" s="38"/>
      <c r="O355" s="38"/>
      <c r="P355" s="38"/>
      <c r="Q355" s="38"/>
      <c r="R355" s="38"/>
      <c r="S355" s="38"/>
      <c r="T355" s="38"/>
      <c r="U355" s="38"/>
      <c r="V355" s="38"/>
      <c r="W355" s="38"/>
      <c r="X355" s="38"/>
      <c r="Y355" s="38"/>
      <c r="Z355" s="38"/>
    </row>
    <row r="356" spans="6:26" ht="15" thickBot="1">
      <c r="F356" s="38"/>
      <c r="G356" s="38"/>
      <c r="H356" s="38"/>
      <c r="I356" s="38"/>
      <c r="J356" s="38"/>
      <c r="K356" s="38"/>
      <c r="L356" s="38"/>
      <c r="M356" s="38"/>
      <c r="N356" s="38"/>
      <c r="O356" s="38"/>
      <c r="P356" s="38"/>
      <c r="Q356" s="38"/>
      <c r="R356" s="38"/>
      <c r="S356" s="38"/>
      <c r="T356" s="38"/>
      <c r="U356" s="38"/>
      <c r="V356" s="38"/>
      <c r="W356" s="38"/>
      <c r="X356" s="38"/>
      <c r="Y356" s="38"/>
      <c r="Z356" s="38"/>
    </row>
    <row r="357" spans="6:26" ht="15" thickBot="1">
      <c r="F357" s="38"/>
      <c r="G357" s="38"/>
      <c r="H357" s="38"/>
      <c r="I357" s="38"/>
      <c r="J357" s="38"/>
      <c r="K357" s="38"/>
      <c r="L357" s="38"/>
      <c r="M357" s="38"/>
      <c r="N357" s="38"/>
      <c r="O357" s="38"/>
      <c r="P357" s="38"/>
      <c r="Q357" s="38"/>
      <c r="R357" s="38"/>
      <c r="S357" s="38"/>
      <c r="T357" s="38"/>
      <c r="U357" s="38"/>
      <c r="V357" s="38"/>
      <c r="W357" s="38"/>
      <c r="X357" s="38"/>
      <c r="Y357" s="38"/>
      <c r="Z357" s="38"/>
    </row>
    <row r="358" spans="6:26" ht="15" thickBot="1">
      <c r="F358" s="38"/>
      <c r="G358" s="38"/>
      <c r="H358" s="38"/>
      <c r="I358" s="38"/>
      <c r="J358" s="38"/>
      <c r="K358" s="38"/>
      <c r="L358" s="38"/>
      <c r="M358" s="38"/>
      <c r="N358" s="38"/>
      <c r="O358" s="38"/>
      <c r="P358" s="38"/>
      <c r="Q358" s="38"/>
      <c r="R358" s="38"/>
      <c r="S358" s="38"/>
      <c r="T358" s="38"/>
      <c r="U358" s="38"/>
      <c r="V358" s="38"/>
      <c r="W358" s="38"/>
      <c r="X358" s="38"/>
      <c r="Y358" s="38"/>
      <c r="Z358" s="38"/>
    </row>
    <row r="359" spans="6:26" ht="15" thickBot="1">
      <c r="F359" s="38"/>
      <c r="G359" s="38"/>
      <c r="H359" s="38"/>
      <c r="I359" s="38"/>
      <c r="J359" s="38"/>
      <c r="K359" s="38"/>
      <c r="L359" s="38"/>
      <c r="M359" s="38"/>
      <c r="N359" s="38"/>
      <c r="O359" s="38"/>
      <c r="P359" s="38"/>
      <c r="Q359" s="38"/>
      <c r="R359" s="38"/>
      <c r="S359" s="38"/>
      <c r="T359" s="38"/>
      <c r="U359" s="38"/>
      <c r="V359" s="38"/>
      <c r="W359" s="38"/>
      <c r="X359" s="38"/>
      <c r="Y359" s="38"/>
      <c r="Z359" s="38"/>
    </row>
    <row r="360" spans="6:26" ht="15" thickBot="1">
      <c r="F360" s="38"/>
      <c r="G360" s="38"/>
      <c r="H360" s="38"/>
      <c r="I360" s="38"/>
      <c r="J360" s="38"/>
      <c r="K360" s="38"/>
      <c r="L360" s="38"/>
      <c r="M360" s="38"/>
      <c r="N360" s="38"/>
      <c r="O360" s="38"/>
      <c r="P360" s="38"/>
      <c r="Q360" s="38"/>
      <c r="R360" s="38"/>
      <c r="S360" s="38"/>
      <c r="T360" s="38"/>
      <c r="U360" s="38"/>
      <c r="V360" s="38"/>
      <c r="W360" s="38"/>
      <c r="X360" s="38"/>
      <c r="Y360" s="38"/>
      <c r="Z360" s="38"/>
    </row>
    <row r="361" spans="6:26" ht="15" thickBot="1">
      <c r="F361" s="38"/>
      <c r="G361" s="38"/>
      <c r="H361" s="38"/>
      <c r="I361" s="38"/>
      <c r="J361" s="38"/>
      <c r="K361" s="38"/>
      <c r="L361" s="38"/>
      <c r="M361" s="38"/>
      <c r="N361" s="38"/>
      <c r="O361" s="38"/>
      <c r="P361" s="38"/>
      <c r="Q361" s="38"/>
      <c r="R361" s="38"/>
      <c r="S361" s="38"/>
      <c r="T361" s="38"/>
      <c r="U361" s="38"/>
      <c r="V361" s="38"/>
      <c r="W361" s="38"/>
      <c r="X361" s="38"/>
      <c r="Y361" s="38"/>
      <c r="Z361" s="38"/>
    </row>
    <row r="362" spans="6:26" ht="15" thickBot="1">
      <c r="F362" s="38"/>
      <c r="G362" s="38"/>
      <c r="H362" s="38"/>
      <c r="I362" s="38"/>
      <c r="J362" s="38"/>
      <c r="K362" s="38"/>
      <c r="L362" s="38"/>
      <c r="M362" s="38"/>
      <c r="N362" s="38"/>
      <c r="O362" s="38"/>
      <c r="P362" s="38"/>
      <c r="Q362" s="38"/>
      <c r="R362" s="38"/>
      <c r="S362" s="38"/>
      <c r="T362" s="38"/>
      <c r="U362" s="38"/>
      <c r="V362" s="38"/>
      <c r="W362" s="38"/>
      <c r="X362" s="38"/>
      <c r="Y362" s="38"/>
      <c r="Z362" s="38"/>
    </row>
    <row r="363" spans="6:26" ht="15" thickBot="1">
      <c r="F363" s="38"/>
      <c r="G363" s="38"/>
      <c r="H363" s="38"/>
      <c r="I363" s="38"/>
      <c r="J363" s="38"/>
      <c r="K363" s="38"/>
      <c r="L363" s="38"/>
      <c r="M363" s="38"/>
      <c r="N363" s="38"/>
      <c r="O363" s="38"/>
      <c r="P363" s="38"/>
      <c r="Q363" s="38"/>
      <c r="R363" s="38"/>
      <c r="S363" s="38"/>
      <c r="T363" s="38"/>
      <c r="U363" s="38"/>
      <c r="V363" s="38"/>
      <c r="W363" s="38"/>
      <c r="X363" s="38"/>
      <c r="Y363" s="38"/>
      <c r="Z363" s="38"/>
    </row>
    <row r="364" spans="6:26" ht="15" thickBot="1">
      <c r="F364" s="38"/>
      <c r="G364" s="38"/>
      <c r="H364" s="38"/>
      <c r="I364" s="38"/>
      <c r="J364" s="38"/>
      <c r="K364" s="38"/>
      <c r="L364" s="38"/>
      <c r="M364" s="38"/>
      <c r="N364" s="38"/>
      <c r="O364" s="38"/>
      <c r="P364" s="38"/>
      <c r="Q364" s="38"/>
      <c r="R364" s="38"/>
      <c r="S364" s="38"/>
      <c r="T364" s="38"/>
      <c r="U364" s="38"/>
      <c r="V364" s="38"/>
      <c r="W364" s="38"/>
      <c r="X364" s="38"/>
      <c r="Y364" s="38"/>
      <c r="Z364" s="38"/>
    </row>
    <row r="365" spans="6:26" ht="15" thickBot="1">
      <c r="F365" s="38"/>
      <c r="G365" s="38"/>
      <c r="H365" s="38"/>
      <c r="I365" s="38"/>
      <c r="J365" s="38"/>
      <c r="K365" s="38"/>
      <c r="L365" s="38"/>
      <c r="M365" s="38"/>
      <c r="N365" s="38"/>
      <c r="O365" s="38"/>
      <c r="P365" s="38"/>
      <c r="Q365" s="38"/>
      <c r="R365" s="38"/>
      <c r="S365" s="38"/>
      <c r="T365" s="38"/>
      <c r="U365" s="38"/>
      <c r="V365" s="38"/>
      <c r="W365" s="38"/>
      <c r="X365" s="38"/>
      <c r="Y365" s="38"/>
      <c r="Z365" s="38"/>
    </row>
    <row r="366" spans="6:26" ht="15" thickBot="1">
      <c r="F366" s="38"/>
      <c r="G366" s="38"/>
      <c r="H366" s="38"/>
      <c r="I366" s="38"/>
      <c r="J366" s="38"/>
      <c r="K366" s="38"/>
      <c r="L366" s="38"/>
      <c r="M366" s="38"/>
      <c r="N366" s="38"/>
      <c r="O366" s="38"/>
      <c r="P366" s="38"/>
      <c r="Q366" s="38"/>
      <c r="R366" s="38"/>
      <c r="S366" s="38"/>
      <c r="T366" s="38"/>
      <c r="U366" s="38"/>
      <c r="V366" s="38"/>
      <c r="W366" s="38"/>
      <c r="X366" s="38"/>
      <c r="Y366" s="38"/>
      <c r="Z366" s="38"/>
    </row>
    <row r="367" spans="6:26" ht="15" thickBot="1">
      <c r="F367" s="38"/>
      <c r="G367" s="38"/>
      <c r="H367" s="38"/>
      <c r="I367" s="38"/>
      <c r="J367" s="38"/>
      <c r="K367" s="38"/>
      <c r="L367" s="38"/>
      <c r="M367" s="38"/>
      <c r="N367" s="38"/>
      <c r="O367" s="38"/>
      <c r="P367" s="38"/>
      <c r="Q367" s="38"/>
      <c r="R367" s="38"/>
      <c r="S367" s="38"/>
      <c r="T367" s="38"/>
      <c r="U367" s="38"/>
      <c r="V367" s="38"/>
      <c r="W367" s="38"/>
      <c r="X367" s="38"/>
      <c r="Y367" s="38"/>
      <c r="Z367" s="38"/>
    </row>
    <row r="368" spans="6:26" ht="15" thickBot="1">
      <c r="F368" s="38"/>
      <c r="G368" s="38"/>
      <c r="H368" s="38"/>
      <c r="I368" s="38"/>
      <c r="J368" s="38"/>
      <c r="K368" s="38"/>
      <c r="L368" s="38"/>
      <c r="M368" s="38"/>
      <c r="N368" s="38"/>
      <c r="O368" s="38"/>
      <c r="P368" s="38"/>
      <c r="Q368" s="38"/>
      <c r="R368" s="38"/>
      <c r="S368" s="38"/>
      <c r="T368" s="38"/>
      <c r="U368" s="38"/>
      <c r="V368" s="38"/>
      <c r="W368" s="38"/>
      <c r="X368" s="38"/>
      <c r="Y368" s="38"/>
      <c r="Z368" s="38"/>
    </row>
    <row r="369" spans="6:26" ht="15" thickBot="1">
      <c r="F369" s="38"/>
      <c r="G369" s="38"/>
      <c r="H369" s="38"/>
      <c r="I369" s="38"/>
      <c r="J369" s="38"/>
      <c r="K369" s="38"/>
      <c r="L369" s="38"/>
      <c r="M369" s="38"/>
      <c r="N369" s="38"/>
      <c r="O369" s="38"/>
      <c r="P369" s="38"/>
      <c r="Q369" s="38"/>
      <c r="R369" s="38"/>
      <c r="S369" s="38"/>
      <c r="T369" s="38"/>
      <c r="U369" s="38"/>
      <c r="V369" s="38"/>
      <c r="W369" s="38"/>
      <c r="X369" s="38"/>
      <c r="Y369" s="38"/>
      <c r="Z369" s="38"/>
    </row>
    <row r="370" spans="6:26" ht="15" thickBot="1">
      <c r="F370" s="38"/>
      <c r="G370" s="38"/>
      <c r="H370" s="38"/>
      <c r="I370" s="38"/>
      <c r="J370" s="38"/>
      <c r="K370" s="38"/>
      <c r="L370" s="38"/>
      <c r="M370" s="38"/>
      <c r="N370" s="38"/>
      <c r="O370" s="38"/>
      <c r="P370" s="38"/>
      <c r="Q370" s="38"/>
      <c r="R370" s="38"/>
      <c r="S370" s="38"/>
      <c r="T370" s="38"/>
      <c r="U370" s="38"/>
      <c r="V370" s="38"/>
      <c r="W370" s="38"/>
      <c r="X370" s="38"/>
      <c r="Y370" s="38"/>
      <c r="Z370" s="38"/>
    </row>
    <row r="371" spans="6:26" ht="15" thickBot="1">
      <c r="F371" s="38"/>
      <c r="G371" s="38"/>
      <c r="H371" s="38"/>
      <c r="I371" s="38"/>
      <c r="J371" s="38"/>
      <c r="K371" s="38"/>
      <c r="L371" s="38"/>
      <c r="M371" s="38"/>
      <c r="N371" s="38"/>
      <c r="O371" s="38"/>
      <c r="P371" s="38"/>
      <c r="Q371" s="38"/>
      <c r="R371" s="38"/>
      <c r="S371" s="38"/>
      <c r="T371" s="38"/>
      <c r="U371" s="38"/>
      <c r="V371" s="38"/>
      <c r="W371" s="38"/>
      <c r="X371" s="38"/>
      <c r="Y371" s="38"/>
      <c r="Z371" s="38"/>
    </row>
    <row r="372" spans="6:26" ht="15" thickBot="1">
      <c r="F372" s="38"/>
      <c r="G372" s="38"/>
      <c r="H372" s="38"/>
      <c r="I372" s="38"/>
      <c r="J372" s="38"/>
      <c r="K372" s="38"/>
      <c r="L372" s="38"/>
      <c r="M372" s="38"/>
      <c r="N372" s="38"/>
      <c r="O372" s="38"/>
      <c r="P372" s="38"/>
      <c r="Q372" s="38"/>
      <c r="R372" s="38"/>
      <c r="S372" s="38"/>
      <c r="T372" s="38"/>
      <c r="U372" s="38"/>
      <c r="V372" s="38"/>
      <c r="W372" s="38"/>
      <c r="X372" s="38"/>
      <c r="Y372" s="38"/>
      <c r="Z372" s="38"/>
    </row>
    <row r="373" spans="6:26" ht="15" thickBot="1">
      <c r="F373" s="38"/>
      <c r="G373" s="38"/>
      <c r="H373" s="38"/>
      <c r="I373" s="38"/>
      <c r="J373" s="38"/>
      <c r="K373" s="38"/>
      <c r="L373" s="38"/>
      <c r="M373" s="38"/>
      <c r="N373" s="38"/>
      <c r="O373" s="38"/>
      <c r="P373" s="38"/>
      <c r="Q373" s="38"/>
      <c r="R373" s="38"/>
      <c r="S373" s="38"/>
      <c r="T373" s="38"/>
      <c r="U373" s="38"/>
      <c r="V373" s="38"/>
      <c r="W373" s="38"/>
      <c r="X373" s="38"/>
      <c r="Y373" s="38"/>
      <c r="Z373" s="38"/>
    </row>
    <row r="374" spans="6:26" ht="15" thickBot="1">
      <c r="F374" s="38"/>
      <c r="G374" s="38"/>
      <c r="H374" s="38"/>
      <c r="I374" s="38"/>
      <c r="J374" s="38"/>
      <c r="K374" s="38"/>
      <c r="L374" s="38"/>
      <c r="M374" s="38"/>
      <c r="N374" s="38"/>
      <c r="O374" s="38"/>
      <c r="P374" s="38"/>
      <c r="Q374" s="38"/>
      <c r="R374" s="38"/>
      <c r="S374" s="38"/>
      <c r="T374" s="38"/>
      <c r="U374" s="38"/>
      <c r="V374" s="38"/>
      <c r="W374" s="38"/>
      <c r="X374" s="38"/>
      <c r="Y374" s="38"/>
      <c r="Z374" s="38"/>
    </row>
    <row r="375" spans="6:26" ht="15" thickBot="1">
      <c r="F375" s="38"/>
      <c r="G375" s="38"/>
      <c r="H375" s="38"/>
      <c r="I375" s="38"/>
      <c r="J375" s="38"/>
      <c r="K375" s="38"/>
      <c r="L375" s="38"/>
      <c r="M375" s="38"/>
      <c r="N375" s="38"/>
      <c r="O375" s="38"/>
      <c r="P375" s="38"/>
      <c r="Q375" s="38"/>
      <c r="R375" s="38"/>
      <c r="S375" s="38"/>
      <c r="T375" s="38"/>
      <c r="U375" s="38"/>
      <c r="V375" s="38"/>
      <c r="W375" s="38"/>
      <c r="X375" s="38"/>
      <c r="Y375" s="38"/>
      <c r="Z375" s="38"/>
    </row>
    <row r="376" spans="6:26" ht="15" thickBot="1">
      <c r="F376" s="38"/>
      <c r="G376" s="38"/>
      <c r="H376" s="38"/>
      <c r="I376" s="38"/>
      <c r="J376" s="38"/>
      <c r="K376" s="38"/>
      <c r="L376" s="38"/>
      <c r="M376" s="38"/>
      <c r="N376" s="38"/>
      <c r="O376" s="38"/>
      <c r="P376" s="38"/>
      <c r="Q376" s="38"/>
      <c r="R376" s="38"/>
      <c r="S376" s="38"/>
      <c r="T376" s="38"/>
      <c r="U376" s="38"/>
      <c r="V376" s="38"/>
      <c r="W376" s="38"/>
      <c r="X376" s="38"/>
      <c r="Y376" s="38"/>
      <c r="Z376" s="38"/>
    </row>
    <row r="377" spans="6:26" ht="15" thickBot="1">
      <c r="F377" s="38"/>
      <c r="G377" s="38"/>
      <c r="H377" s="38"/>
      <c r="I377" s="38"/>
      <c r="J377" s="38"/>
      <c r="K377" s="38"/>
      <c r="L377" s="38"/>
      <c r="M377" s="38"/>
      <c r="N377" s="38"/>
      <c r="O377" s="38"/>
      <c r="P377" s="38"/>
      <c r="Q377" s="38"/>
      <c r="R377" s="38"/>
      <c r="S377" s="38"/>
      <c r="T377" s="38"/>
      <c r="U377" s="38"/>
      <c r="V377" s="38"/>
      <c r="W377" s="38"/>
      <c r="X377" s="38"/>
      <c r="Y377" s="38"/>
      <c r="Z377" s="38"/>
    </row>
    <row r="378" spans="6:26" ht="15" thickBot="1">
      <c r="F378" s="38"/>
      <c r="G378" s="38"/>
      <c r="H378" s="38"/>
      <c r="I378" s="38"/>
      <c r="J378" s="38"/>
      <c r="K378" s="38"/>
      <c r="L378" s="38"/>
      <c r="M378" s="38"/>
      <c r="N378" s="38"/>
      <c r="O378" s="38"/>
      <c r="P378" s="38"/>
      <c r="Q378" s="38"/>
      <c r="R378" s="38"/>
      <c r="S378" s="38"/>
      <c r="T378" s="38"/>
      <c r="U378" s="38"/>
      <c r="V378" s="38"/>
      <c r="W378" s="38"/>
      <c r="X378" s="38"/>
      <c r="Y378" s="38"/>
      <c r="Z378" s="38"/>
    </row>
    <row r="379" spans="6:26" ht="15" thickBot="1">
      <c r="F379" s="38"/>
      <c r="G379" s="38"/>
      <c r="H379" s="38"/>
      <c r="I379" s="38"/>
      <c r="J379" s="38"/>
      <c r="K379" s="38"/>
      <c r="L379" s="38"/>
      <c r="M379" s="38"/>
      <c r="N379" s="38"/>
      <c r="O379" s="38"/>
      <c r="P379" s="38"/>
      <c r="Q379" s="38"/>
      <c r="R379" s="38"/>
      <c r="S379" s="38"/>
      <c r="T379" s="38"/>
      <c r="U379" s="38"/>
      <c r="V379" s="38"/>
      <c r="W379" s="38"/>
      <c r="X379" s="38"/>
      <c r="Y379" s="38"/>
      <c r="Z379" s="38"/>
    </row>
    <row r="380" spans="6:26" ht="15" thickBot="1">
      <c r="F380" s="38"/>
      <c r="G380" s="38"/>
      <c r="H380" s="38"/>
      <c r="I380" s="38"/>
      <c r="J380" s="38"/>
      <c r="K380" s="38"/>
      <c r="L380" s="38"/>
      <c r="M380" s="38"/>
      <c r="N380" s="38"/>
      <c r="O380" s="38"/>
      <c r="P380" s="38"/>
      <c r="Q380" s="38"/>
      <c r="R380" s="38"/>
      <c r="S380" s="38"/>
      <c r="T380" s="38"/>
      <c r="U380" s="38"/>
      <c r="V380" s="38"/>
      <c r="W380" s="38"/>
      <c r="X380" s="38"/>
      <c r="Y380" s="38"/>
      <c r="Z380" s="38"/>
    </row>
    <row r="381" spans="6:26" ht="15" thickBot="1">
      <c r="F381" s="38"/>
      <c r="G381" s="38"/>
      <c r="H381" s="38"/>
      <c r="I381" s="38"/>
      <c r="J381" s="38"/>
      <c r="K381" s="38"/>
      <c r="L381" s="38"/>
      <c r="M381" s="38"/>
      <c r="N381" s="38"/>
      <c r="O381" s="38"/>
      <c r="P381" s="38"/>
      <c r="Q381" s="38"/>
      <c r="R381" s="38"/>
      <c r="S381" s="38"/>
      <c r="T381" s="38"/>
      <c r="U381" s="38"/>
      <c r="V381" s="38"/>
      <c r="W381" s="38"/>
      <c r="X381" s="38"/>
      <c r="Y381" s="38"/>
      <c r="Z381" s="38"/>
    </row>
    <row r="382" spans="6:26" ht="15" thickBot="1">
      <c r="F382" s="38"/>
      <c r="G382" s="38"/>
      <c r="H382" s="38"/>
      <c r="I382" s="38"/>
      <c r="J382" s="38"/>
      <c r="K382" s="38"/>
      <c r="L382" s="38"/>
      <c r="M382" s="38"/>
      <c r="N382" s="38"/>
      <c r="O382" s="38"/>
      <c r="P382" s="38"/>
      <c r="Q382" s="38"/>
      <c r="R382" s="38"/>
      <c r="S382" s="38"/>
      <c r="T382" s="38"/>
      <c r="U382" s="38"/>
      <c r="V382" s="38"/>
      <c r="W382" s="38"/>
      <c r="X382" s="38"/>
      <c r="Y382" s="38"/>
      <c r="Z382" s="38"/>
    </row>
    <row r="383" spans="6:26" ht="15" thickBot="1">
      <c r="F383" s="38"/>
      <c r="G383" s="38"/>
      <c r="H383" s="38"/>
      <c r="I383" s="38"/>
      <c r="J383" s="38"/>
      <c r="K383" s="38"/>
      <c r="L383" s="38"/>
      <c r="M383" s="38"/>
      <c r="N383" s="38"/>
      <c r="O383" s="38"/>
      <c r="P383" s="38"/>
      <c r="Q383" s="38"/>
      <c r="R383" s="38"/>
      <c r="S383" s="38"/>
      <c r="T383" s="38"/>
      <c r="U383" s="38"/>
      <c r="V383" s="38"/>
      <c r="W383" s="38"/>
      <c r="X383" s="38"/>
      <c r="Y383" s="38"/>
      <c r="Z383" s="38"/>
    </row>
    <row r="384" spans="6:26" ht="15" thickBot="1">
      <c r="F384" s="38"/>
      <c r="G384" s="38"/>
      <c r="H384" s="38"/>
      <c r="I384" s="38"/>
      <c r="J384" s="38"/>
      <c r="K384" s="38"/>
      <c r="L384" s="38"/>
      <c r="M384" s="38"/>
      <c r="N384" s="38"/>
      <c r="O384" s="38"/>
      <c r="P384" s="38"/>
      <c r="Q384" s="38"/>
      <c r="R384" s="38"/>
      <c r="S384" s="38"/>
      <c r="T384" s="38"/>
      <c r="U384" s="38"/>
      <c r="V384" s="38"/>
      <c r="W384" s="38"/>
      <c r="X384" s="38"/>
      <c r="Y384" s="38"/>
      <c r="Z384" s="38"/>
    </row>
    <row r="385" spans="6:26" ht="15" thickBot="1">
      <c r="F385" s="38"/>
      <c r="G385" s="38"/>
      <c r="H385" s="38"/>
      <c r="I385" s="38"/>
      <c r="J385" s="38"/>
      <c r="K385" s="38"/>
      <c r="L385" s="38"/>
      <c r="M385" s="38"/>
      <c r="N385" s="38"/>
      <c r="O385" s="38"/>
      <c r="P385" s="38"/>
      <c r="Q385" s="38"/>
      <c r="R385" s="38"/>
      <c r="S385" s="38"/>
      <c r="T385" s="38"/>
      <c r="U385" s="38"/>
      <c r="V385" s="38"/>
      <c r="W385" s="38"/>
      <c r="X385" s="38"/>
      <c r="Y385" s="38"/>
      <c r="Z385" s="38"/>
    </row>
    <row r="386" spans="6:26" ht="15" thickBot="1">
      <c r="F386" s="38"/>
      <c r="G386" s="38"/>
      <c r="H386" s="38"/>
      <c r="I386" s="38"/>
      <c r="J386" s="38"/>
      <c r="K386" s="38"/>
      <c r="L386" s="38"/>
      <c r="M386" s="38"/>
      <c r="N386" s="38"/>
      <c r="O386" s="38"/>
      <c r="P386" s="38"/>
      <c r="Q386" s="38"/>
      <c r="R386" s="38"/>
      <c r="S386" s="38"/>
      <c r="T386" s="38"/>
      <c r="U386" s="38"/>
      <c r="V386" s="38"/>
      <c r="W386" s="38"/>
      <c r="X386" s="38"/>
      <c r="Y386" s="38"/>
      <c r="Z386" s="38"/>
    </row>
    <row r="387" spans="6:26" ht="15" thickBot="1">
      <c r="F387" s="38"/>
      <c r="G387" s="38"/>
      <c r="H387" s="38"/>
      <c r="I387" s="38"/>
      <c r="J387" s="38"/>
      <c r="K387" s="38"/>
      <c r="L387" s="38"/>
      <c r="M387" s="38"/>
      <c r="N387" s="38"/>
      <c r="O387" s="38"/>
      <c r="P387" s="38"/>
      <c r="Q387" s="38"/>
      <c r="R387" s="38"/>
      <c r="S387" s="38"/>
      <c r="T387" s="38"/>
      <c r="U387" s="38"/>
      <c r="V387" s="38"/>
      <c r="W387" s="38"/>
      <c r="X387" s="38"/>
      <c r="Y387" s="38"/>
      <c r="Z387" s="38"/>
    </row>
    <row r="388" spans="6:26" ht="15" thickBot="1">
      <c r="F388" s="38"/>
      <c r="G388" s="38"/>
      <c r="H388" s="38"/>
      <c r="I388" s="38"/>
      <c r="J388" s="38"/>
      <c r="K388" s="38"/>
      <c r="L388" s="38"/>
      <c r="M388" s="38"/>
      <c r="N388" s="38"/>
      <c r="O388" s="38"/>
      <c r="P388" s="38"/>
      <c r="Q388" s="38"/>
      <c r="R388" s="38"/>
      <c r="S388" s="38"/>
      <c r="T388" s="38"/>
      <c r="U388" s="38"/>
      <c r="V388" s="38"/>
      <c r="W388" s="38"/>
      <c r="X388" s="38"/>
      <c r="Y388" s="38"/>
      <c r="Z388" s="38"/>
    </row>
    <row r="389" spans="6:26" ht="15" thickBot="1">
      <c r="F389" s="38"/>
      <c r="G389" s="38"/>
      <c r="H389" s="38"/>
      <c r="I389" s="38"/>
      <c r="J389" s="38"/>
      <c r="K389" s="38"/>
      <c r="L389" s="38"/>
      <c r="M389" s="38"/>
      <c r="N389" s="38"/>
      <c r="O389" s="38"/>
      <c r="P389" s="38"/>
      <c r="Q389" s="38"/>
      <c r="R389" s="38"/>
      <c r="S389" s="38"/>
      <c r="T389" s="38"/>
      <c r="U389" s="38"/>
      <c r="V389" s="38"/>
      <c r="W389" s="38"/>
      <c r="X389" s="38"/>
      <c r="Y389" s="38"/>
      <c r="Z389" s="38"/>
    </row>
    <row r="390" spans="6:26" ht="15" thickBot="1">
      <c r="F390" s="38"/>
      <c r="G390" s="38"/>
      <c r="H390" s="38"/>
      <c r="I390" s="38"/>
      <c r="J390" s="38"/>
      <c r="K390" s="38"/>
      <c r="L390" s="38"/>
      <c r="M390" s="38"/>
      <c r="N390" s="38"/>
      <c r="O390" s="38"/>
      <c r="P390" s="38"/>
      <c r="Q390" s="38"/>
      <c r="R390" s="38"/>
      <c r="S390" s="38"/>
      <c r="T390" s="38"/>
      <c r="U390" s="38"/>
      <c r="V390" s="38"/>
      <c r="W390" s="38"/>
      <c r="X390" s="38"/>
      <c r="Y390" s="38"/>
      <c r="Z390" s="38"/>
    </row>
    <row r="391" spans="6:26" ht="15" thickBot="1">
      <c r="F391" s="38"/>
      <c r="G391" s="38"/>
      <c r="H391" s="38"/>
      <c r="I391" s="38"/>
      <c r="J391" s="38"/>
      <c r="K391" s="38"/>
      <c r="L391" s="38"/>
      <c r="M391" s="38"/>
      <c r="N391" s="38"/>
      <c r="O391" s="38"/>
      <c r="P391" s="38"/>
      <c r="Q391" s="38"/>
      <c r="R391" s="38"/>
      <c r="S391" s="38"/>
      <c r="T391" s="38"/>
      <c r="U391" s="38"/>
      <c r="V391" s="38"/>
      <c r="W391" s="38"/>
      <c r="X391" s="38"/>
      <c r="Y391" s="38"/>
      <c r="Z391" s="38"/>
    </row>
    <row r="392" spans="6:26" ht="15" thickBot="1">
      <c r="F392" s="38"/>
      <c r="G392" s="38"/>
      <c r="H392" s="38"/>
      <c r="I392" s="38"/>
      <c r="J392" s="38"/>
      <c r="K392" s="38"/>
      <c r="L392" s="38"/>
      <c r="M392" s="38"/>
      <c r="N392" s="38"/>
      <c r="O392" s="38"/>
      <c r="P392" s="38"/>
      <c r="Q392" s="38"/>
      <c r="R392" s="38"/>
      <c r="S392" s="38"/>
      <c r="T392" s="38"/>
      <c r="U392" s="38"/>
      <c r="V392" s="38"/>
      <c r="W392" s="38"/>
      <c r="X392" s="38"/>
      <c r="Y392" s="38"/>
      <c r="Z392" s="38"/>
    </row>
    <row r="393" spans="6:26" ht="15" thickBot="1">
      <c r="F393" s="38"/>
      <c r="G393" s="38"/>
      <c r="H393" s="38"/>
      <c r="I393" s="38"/>
      <c r="J393" s="38"/>
      <c r="K393" s="38"/>
      <c r="L393" s="38"/>
      <c r="M393" s="38"/>
      <c r="N393" s="38"/>
      <c r="O393" s="38"/>
      <c r="P393" s="38"/>
      <c r="Q393" s="38"/>
      <c r="R393" s="38"/>
      <c r="S393" s="38"/>
      <c r="T393" s="38"/>
      <c r="U393" s="38"/>
      <c r="V393" s="38"/>
      <c r="W393" s="38"/>
      <c r="X393" s="38"/>
      <c r="Y393" s="38"/>
      <c r="Z393" s="38"/>
    </row>
    <row r="394" spans="6:26" ht="15" thickBot="1">
      <c r="F394" s="38"/>
      <c r="G394" s="38"/>
      <c r="H394" s="38"/>
      <c r="I394" s="38"/>
      <c r="J394" s="38"/>
      <c r="K394" s="38"/>
      <c r="L394" s="38"/>
      <c r="M394" s="38"/>
      <c r="N394" s="38"/>
      <c r="O394" s="38"/>
      <c r="P394" s="38"/>
      <c r="Q394" s="38"/>
      <c r="R394" s="38"/>
      <c r="S394" s="38"/>
      <c r="T394" s="38"/>
      <c r="U394" s="38"/>
      <c r="V394" s="38"/>
      <c r="W394" s="38"/>
      <c r="X394" s="38"/>
      <c r="Y394" s="38"/>
      <c r="Z394" s="38"/>
    </row>
    <row r="395" spans="6:26" ht="15" thickBot="1">
      <c r="F395" s="38"/>
      <c r="G395" s="38"/>
      <c r="H395" s="38"/>
      <c r="I395" s="38"/>
      <c r="J395" s="38"/>
      <c r="K395" s="38"/>
      <c r="L395" s="38"/>
      <c r="M395" s="38"/>
      <c r="N395" s="38"/>
      <c r="O395" s="38"/>
      <c r="P395" s="38"/>
      <c r="Q395" s="38"/>
      <c r="R395" s="38"/>
      <c r="S395" s="38"/>
      <c r="T395" s="38"/>
      <c r="U395" s="38"/>
      <c r="V395" s="38"/>
      <c r="W395" s="38"/>
      <c r="X395" s="38"/>
      <c r="Y395" s="38"/>
      <c r="Z395" s="38"/>
    </row>
    <row r="396" spans="6:26" ht="15" thickBot="1">
      <c r="F396" s="38"/>
      <c r="G396" s="38"/>
      <c r="H396" s="38"/>
      <c r="I396" s="38"/>
      <c r="J396" s="38"/>
      <c r="K396" s="38"/>
      <c r="L396" s="38"/>
      <c r="M396" s="38"/>
      <c r="N396" s="38"/>
      <c r="O396" s="38"/>
      <c r="P396" s="38"/>
      <c r="Q396" s="38"/>
      <c r="R396" s="38"/>
      <c r="S396" s="38"/>
      <c r="T396" s="38"/>
      <c r="U396" s="38"/>
      <c r="V396" s="38"/>
      <c r="W396" s="38"/>
      <c r="X396" s="38"/>
      <c r="Y396" s="38"/>
      <c r="Z396" s="38"/>
    </row>
    <row r="397" spans="6:26" ht="15" thickBot="1">
      <c r="F397" s="38"/>
      <c r="G397" s="38"/>
      <c r="H397" s="38"/>
      <c r="I397" s="38"/>
      <c r="J397" s="38"/>
      <c r="K397" s="38"/>
      <c r="L397" s="38"/>
      <c r="M397" s="38"/>
      <c r="N397" s="38"/>
      <c r="O397" s="38"/>
      <c r="P397" s="38"/>
      <c r="Q397" s="38"/>
      <c r="R397" s="38"/>
      <c r="S397" s="38"/>
      <c r="T397" s="38"/>
      <c r="U397" s="38"/>
      <c r="V397" s="38"/>
      <c r="W397" s="38"/>
      <c r="X397" s="38"/>
      <c r="Y397" s="38"/>
      <c r="Z397" s="38"/>
    </row>
    <row r="398" spans="6:26" ht="15" thickBot="1">
      <c r="F398" s="38"/>
      <c r="G398" s="38"/>
      <c r="H398" s="38"/>
      <c r="I398" s="38"/>
      <c r="J398" s="38"/>
      <c r="K398" s="38"/>
      <c r="L398" s="38"/>
      <c r="M398" s="38"/>
      <c r="N398" s="38"/>
      <c r="O398" s="38"/>
      <c r="P398" s="38"/>
      <c r="Q398" s="38"/>
      <c r="R398" s="38"/>
      <c r="S398" s="38"/>
      <c r="T398" s="38"/>
      <c r="U398" s="38"/>
      <c r="V398" s="38"/>
      <c r="W398" s="38"/>
      <c r="X398" s="38"/>
      <c r="Y398" s="38"/>
      <c r="Z398" s="38"/>
    </row>
    <row r="399" spans="6:26" ht="15" thickBot="1">
      <c r="F399" s="38"/>
      <c r="G399" s="38"/>
      <c r="H399" s="38"/>
      <c r="I399" s="38"/>
      <c r="J399" s="38"/>
      <c r="K399" s="38"/>
      <c r="L399" s="38"/>
      <c r="M399" s="38"/>
      <c r="N399" s="38"/>
      <c r="O399" s="38"/>
      <c r="P399" s="38"/>
      <c r="Q399" s="38"/>
      <c r="R399" s="38"/>
      <c r="S399" s="38"/>
      <c r="T399" s="38"/>
      <c r="U399" s="38"/>
      <c r="V399" s="38"/>
      <c r="W399" s="38"/>
      <c r="X399" s="38"/>
      <c r="Y399" s="38"/>
      <c r="Z399" s="38"/>
    </row>
    <row r="400" spans="6:26" ht="15" thickBot="1">
      <c r="F400" s="38"/>
      <c r="G400" s="38"/>
      <c r="H400" s="38"/>
      <c r="I400" s="38"/>
      <c r="J400" s="38"/>
      <c r="K400" s="38"/>
      <c r="L400" s="38"/>
      <c r="M400" s="38"/>
      <c r="N400" s="38"/>
      <c r="O400" s="38"/>
      <c r="P400" s="38"/>
      <c r="Q400" s="38"/>
      <c r="R400" s="38"/>
      <c r="S400" s="38"/>
      <c r="T400" s="38"/>
      <c r="U400" s="38"/>
      <c r="V400" s="38"/>
      <c r="W400" s="38"/>
      <c r="X400" s="38"/>
      <c r="Y400" s="38"/>
      <c r="Z400" s="38"/>
    </row>
    <row r="401" spans="6:26" ht="15" thickBot="1">
      <c r="F401" s="38"/>
      <c r="G401" s="38"/>
      <c r="H401" s="38"/>
      <c r="I401" s="38"/>
      <c r="J401" s="38"/>
      <c r="K401" s="38"/>
      <c r="L401" s="38"/>
      <c r="M401" s="38"/>
      <c r="N401" s="38"/>
      <c r="O401" s="38"/>
      <c r="P401" s="38"/>
      <c r="Q401" s="38"/>
      <c r="R401" s="38"/>
      <c r="S401" s="38"/>
      <c r="T401" s="38"/>
      <c r="U401" s="38"/>
      <c r="V401" s="38"/>
      <c r="W401" s="38"/>
      <c r="X401" s="38"/>
      <c r="Y401" s="38"/>
      <c r="Z401" s="38"/>
    </row>
    <row r="402" spans="6:26" ht="15" thickBot="1">
      <c r="F402" s="38"/>
      <c r="G402" s="38"/>
      <c r="H402" s="38"/>
      <c r="I402" s="38"/>
      <c r="J402" s="38"/>
      <c r="K402" s="38"/>
      <c r="L402" s="38"/>
      <c r="M402" s="38"/>
      <c r="N402" s="38"/>
      <c r="O402" s="38"/>
      <c r="P402" s="38"/>
      <c r="Q402" s="38"/>
      <c r="R402" s="38"/>
      <c r="S402" s="38"/>
      <c r="T402" s="38"/>
      <c r="U402" s="38"/>
      <c r="V402" s="38"/>
      <c r="W402" s="38"/>
      <c r="X402" s="38"/>
      <c r="Y402" s="38"/>
      <c r="Z402" s="38"/>
    </row>
    <row r="403" spans="6:26" ht="15" thickBot="1">
      <c r="F403" s="38"/>
      <c r="G403" s="38"/>
      <c r="H403" s="38"/>
      <c r="I403" s="38"/>
      <c r="J403" s="38"/>
      <c r="K403" s="38"/>
      <c r="L403" s="38"/>
      <c r="M403" s="38"/>
      <c r="N403" s="38"/>
      <c r="O403" s="38"/>
      <c r="P403" s="38"/>
      <c r="Q403" s="38"/>
      <c r="R403" s="38"/>
      <c r="S403" s="38"/>
      <c r="T403" s="38"/>
      <c r="U403" s="38"/>
      <c r="V403" s="38"/>
      <c r="W403" s="38"/>
      <c r="X403" s="38"/>
      <c r="Y403" s="38"/>
      <c r="Z403" s="38"/>
    </row>
    <row r="404" spans="6:26" ht="15" thickBot="1">
      <c r="F404" s="38"/>
      <c r="G404" s="38"/>
      <c r="H404" s="38"/>
      <c r="I404" s="38"/>
      <c r="J404" s="38"/>
      <c r="K404" s="38"/>
      <c r="L404" s="38"/>
      <c r="M404" s="38"/>
      <c r="N404" s="38"/>
      <c r="O404" s="38"/>
      <c r="P404" s="38"/>
      <c r="Q404" s="38"/>
      <c r="R404" s="38"/>
      <c r="S404" s="38"/>
      <c r="T404" s="38"/>
      <c r="U404" s="38"/>
      <c r="V404" s="38"/>
      <c r="W404" s="38"/>
      <c r="X404" s="38"/>
      <c r="Y404" s="38"/>
      <c r="Z404" s="38"/>
    </row>
    <row r="405" spans="6:26" ht="15" thickBot="1">
      <c r="F405" s="38"/>
      <c r="G405" s="38"/>
      <c r="H405" s="38"/>
      <c r="I405" s="38"/>
      <c r="J405" s="38"/>
      <c r="K405" s="38"/>
      <c r="L405" s="38"/>
      <c r="M405" s="38"/>
      <c r="N405" s="38"/>
      <c r="O405" s="38"/>
      <c r="P405" s="38"/>
      <c r="Q405" s="38"/>
      <c r="R405" s="38"/>
      <c r="S405" s="38"/>
      <c r="T405" s="38"/>
      <c r="U405" s="38"/>
      <c r="V405" s="38"/>
      <c r="W405" s="38"/>
      <c r="X405" s="38"/>
      <c r="Y405" s="38"/>
      <c r="Z405" s="38"/>
    </row>
    <row r="406" spans="6:26" ht="15" thickBot="1">
      <c r="F406" s="38"/>
      <c r="G406" s="38"/>
      <c r="H406" s="38"/>
      <c r="I406" s="38"/>
      <c r="J406" s="38"/>
      <c r="K406" s="38"/>
      <c r="L406" s="38"/>
      <c r="M406" s="38"/>
      <c r="N406" s="38"/>
      <c r="O406" s="38"/>
      <c r="P406" s="38"/>
      <c r="Q406" s="38"/>
      <c r="R406" s="38"/>
      <c r="S406" s="38"/>
      <c r="T406" s="38"/>
      <c r="U406" s="38"/>
      <c r="V406" s="38"/>
      <c r="W406" s="38"/>
      <c r="X406" s="38"/>
      <c r="Y406" s="38"/>
      <c r="Z406" s="38"/>
    </row>
    <row r="407" spans="6:26" ht="15" thickBot="1">
      <c r="F407" s="38"/>
      <c r="G407" s="38"/>
      <c r="H407" s="38"/>
      <c r="I407" s="38"/>
      <c r="J407" s="38"/>
      <c r="K407" s="38"/>
      <c r="L407" s="38"/>
      <c r="M407" s="38"/>
      <c r="N407" s="38"/>
      <c r="O407" s="38"/>
      <c r="P407" s="38"/>
      <c r="Q407" s="38"/>
      <c r="R407" s="38"/>
      <c r="S407" s="38"/>
      <c r="T407" s="38"/>
      <c r="U407" s="38"/>
      <c r="V407" s="38"/>
      <c r="W407" s="38"/>
      <c r="X407" s="38"/>
      <c r="Y407" s="38"/>
      <c r="Z407" s="38"/>
    </row>
    <row r="408" spans="6:26" ht="15" thickBot="1">
      <c r="F408" s="38"/>
      <c r="G408" s="38"/>
      <c r="H408" s="38"/>
      <c r="I408" s="38"/>
      <c r="J408" s="38"/>
      <c r="K408" s="38"/>
      <c r="L408" s="38"/>
      <c r="M408" s="38"/>
      <c r="N408" s="38"/>
      <c r="O408" s="38"/>
      <c r="P408" s="38"/>
      <c r="Q408" s="38"/>
      <c r="R408" s="38"/>
      <c r="S408" s="38"/>
      <c r="T408" s="38"/>
      <c r="U408" s="38"/>
      <c r="V408" s="38"/>
      <c r="W408" s="38"/>
      <c r="X408" s="38"/>
      <c r="Y408" s="38"/>
      <c r="Z408" s="38"/>
    </row>
    <row r="409" spans="6:26" ht="15" thickBot="1">
      <c r="F409" s="38"/>
      <c r="G409" s="38"/>
      <c r="H409" s="38"/>
      <c r="I409" s="38"/>
      <c r="J409" s="38"/>
      <c r="K409" s="38"/>
      <c r="L409" s="38"/>
      <c r="M409" s="38"/>
      <c r="N409" s="38"/>
      <c r="O409" s="38"/>
      <c r="P409" s="38"/>
      <c r="Q409" s="38"/>
      <c r="R409" s="38"/>
      <c r="S409" s="38"/>
      <c r="T409" s="38"/>
      <c r="U409" s="38"/>
      <c r="V409" s="38"/>
      <c r="W409" s="38"/>
      <c r="X409" s="38"/>
      <c r="Y409" s="38"/>
      <c r="Z409" s="38"/>
    </row>
    <row r="410" spans="6:26" ht="15" thickBot="1">
      <c r="F410" s="38"/>
      <c r="G410" s="38"/>
      <c r="H410" s="38"/>
      <c r="I410" s="38"/>
      <c r="J410" s="38"/>
      <c r="K410" s="38"/>
      <c r="L410" s="38"/>
      <c r="M410" s="38"/>
      <c r="N410" s="38"/>
      <c r="O410" s="38"/>
      <c r="P410" s="38"/>
      <c r="Q410" s="38"/>
      <c r="R410" s="38"/>
      <c r="S410" s="38"/>
      <c r="T410" s="38"/>
      <c r="U410" s="38"/>
      <c r="V410" s="38"/>
      <c r="W410" s="38"/>
      <c r="X410" s="38"/>
      <c r="Y410" s="38"/>
      <c r="Z410" s="38"/>
    </row>
    <row r="411" spans="6:26" ht="15" thickBot="1">
      <c r="F411" s="38"/>
      <c r="G411" s="38"/>
      <c r="H411" s="38"/>
      <c r="I411" s="38"/>
      <c r="J411" s="38"/>
      <c r="K411" s="38"/>
      <c r="L411" s="38"/>
      <c r="M411" s="38"/>
      <c r="N411" s="38"/>
      <c r="O411" s="38"/>
      <c r="P411" s="38"/>
      <c r="Q411" s="38"/>
      <c r="R411" s="38"/>
      <c r="S411" s="38"/>
      <c r="T411" s="38"/>
      <c r="U411" s="38"/>
      <c r="V411" s="38"/>
      <c r="W411" s="38"/>
      <c r="X411" s="38"/>
      <c r="Y411" s="38"/>
      <c r="Z411" s="38"/>
    </row>
    <row r="412" spans="6:26" ht="15" thickBot="1">
      <c r="F412" s="38"/>
      <c r="G412" s="38"/>
      <c r="H412" s="38"/>
      <c r="I412" s="38"/>
      <c r="J412" s="38"/>
      <c r="K412" s="38"/>
      <c r="L412" s="38"/>
      <c r="M412" s="38"/>
      <c r="N412" s="38"/>
      <c r="O412" s="38"/>
      <c r="P412" s="38"/>
      <c r="Q412" s="38"/>
      <c r="R412" s="38"/>
      <c r="S412" s="38"/>
      <c r="T412" s="38"/>
      <c r="U412" s="38"/>
      <c r="V412" s="38"/>
      <c r="W412" s="38"/>
      <c r="X412" s="38"/>
      <c r="Y412" s="38"/>
      <c r="Z412" s="38"/>
    </row>
    <row r="413" spans="6:26" ht="15" thickBot="1">
      <c r="F413" s="38"/>
      <c r="G413" s="38"/>
      <c r="H413" s="38"/>
      <c r="I413" s="38"/>
      <c r="J413" s="38"/>
      <c r="K413" s="38"/>
      <c r="L413" s="38"/>
      <c r="M413" s="38"/>
      <c r="N413" s="38"/>
      <c r="O413" s="38"/>
      <c r="P413" s="38"/>
      <c r="Q413" s="38"/>
      <c r="R413" s="38"/>
      <c r="S413" s="38"/>
      <c r="T413" s="38"/>
      <c r="U413" s="38"/>
      <c r="V413" s="38"/>
      <c r="W413" s="38"/>
      <c r="X413" s="38"/>
      <c r="Y413" s="38"/>
      <c r="Z413" s="38"/>
    </row>
    <row r="414" spans="6:26" ht="15" thickBot="1">
      <c r="F414" s="38"/>
      <c r="G414" s="38"/>
      <c r="H414" s="38"/>
      <c r="I414" s="38"/>
      <c r="J414" s="38"/>
      <c r="K414" s="38"/>
      <c r="L414" s="38"/>
      <c r="M414" s="38"/>
      <c r="N414" s="38"/>
      <c r="O414" s="38"/>
      <c r="P414" s="38"/>
      <c r="Q414" s="38"/>
      <c r="R414" s="38"/>
      <c r="S414" s="38"/>
      <c r="T414" s="38"/>
      <c r="U414" s="38"/>
      <c r="V414" s="38"/>
      <c r="W414" s="38"/>
      <c r="X414" s="38"/>
      <c r="Y414" s="38"/>
      <c r="Z414" s="38"/>
    </row>
    <row r="415" spans="6:26" ht="15" thickBot="1">
      <c r="F415" s="38"/>
      <c r="G415" s="38"/>
      <c r="H415" s="38"/>
      <c r="I415" s="38"/>
      <c r="J415" s="38"/>
      <c r="K415" s="38"/>
      <c r="L415" s="38"/>
      <c r="M415" s="38"/>
      <c r="N415" s="38"/>
      <c r="O415" s="38"/>
      <c r="P415" s="38"/>
      <c r="Q415" s="38"/>
      <c r="R415" s="38"/>
      <c r="S415" s="38"/>
      <c r="T415" s="38"/>
      <c r="U415" s="38"/>
      <c r="V415" s="38"/>
      <c r="W415" s="38"/>
      <c r="X415" s="38"/>
      <c r="Y415" s="38"/>
      <c r="Z415" s="38"/>
    </row>
    <row r="416" spans="6:26" ht="15" thickBot="1">
      <c r="F416" s="38"/>
      <c r="G416" s="38"/>
      <c r="H416" s="38"/>
      <c r="I416" s="38"/>
      <c r="J416" s="38"/>
      <c r="K416" s="38"/>
      <c r="L416" s="38"/>
      <c r="M416" s="38"/>
      <c r="N416" s="38"/>
      <c r="O416" s="38"/>
      <c r="P416" s="38"/>
      <c r="Q416" s="38"/>
      <c r="R416" s="38"/>
      <c r="S416" s="38"/>
      <c r="T416" s="38"/>
      <c r="U416" s="38"/>
      <c r="V416" s="38"/>
      <c r="W416" s="38"/>
      <c r="X416" s="38"/>
      <c r="Y416" s="38"/>
      <c r="Z416" s="38"/>
    </row>
    <row r="417" spans="6:26" ht="15" thickBot="1">
      <c r="F417" s="38"/>
      <c r="G417" s="38"/>
      <c r="H417" s="38"/>
      <c r="I417" s="38"/>
      <c r="J417" s="38"/>
      <c r="K417" s="38"/>
      <c r="L417" s="38"/>
      <c r="M417" s="38"/>
      <c r="N417" s="38"/>
      <c r="O417" s="38"/>
      <c r="P417" s="38"/>
      <c r="Q417" s="38"/>
      <c r="R417" s="38"/>
      <c r="S417" s="38"/>
      <c r="T417" s="38"/>
      <c r="U417" s="38"/>
      <c r="V417" s="38"/>
      <c r="W417" s="38"/>
      <c r="X417" s="38"/>
      <c r="Y417" s="38"/>
      <c r="Z417" s="38"/>
    </row>
    <row r="418" spans="6:26" ht="15" thickBot="1">
      <c r="F418" s="38"/>
      <c r="G418" s="38"/>
      <c r="H418" s="38"/>
      <c r="I418" s="38"/>
      <c r="J418" s="38"/>
      <c r="K418" s="38"/>
      <c r="L418" s="38"/>
      <c r="M418" s="38"/>
      <c r="N418" s="38"/>
      <c r="O418" s="38"/>
      <c r="P418" s="38"/>
      <c r="Q418" s="38"/>
      <c r="R418" s="38"/>
      <c r="S418" s="38"/>
      <c r="T418" s="38"/>
      <c r="U418" s="38"/>
      <c r="V418" s="38"/>
      <c r="W418" s="38"/>
      <c r="X418" s="38"/>
      <c r="Y418" s="38"/>
      <c r="Z418" s="38"/>
    </row>
    <row r="419" spans="6:26" ht="15" thickBot="1">
      <c r="F419" s="38"/>
      <c r="G419" s="38"/>
      <c r="H419" s="38"/>
      <c r="I419" s="38"/>
      <c r="J419" s="38"/>
      <c r="K419" s="38"/>
      <c r="L419" s="38"/>
      <c r="M419" s="38"/>
      <c r="N419" s="38"/>
      <c r="O419" s="38"/>
      <c r="P419" s="38"/>
      <c r="Q419" s="38"/>
      <c r="R419" s="38"/>
      <c r="S419" s="38"/>
      <c r="T419" s="38"/>
      <c r="U419" s="38"/>
      <c r="V419" s="38"/>
      <c r="W419" s="38"/>
      <c r="X419" s="38"/>
      <c r="Y419" s="38"/>
      <c r="Z419" s="38"/>
    </row>
    <row r="420" spans="6:26" ht="15" thickBot="1">
      <c r="F420" s="38"/>
      <c r="G420" s="38"/>
      <c r="H420" s="38"/>
      <c r="I420" s="38"/>
      <c r="J420" s="38"/>
      <c r="K420" s="38"/>
      <c r="L420" s="38"/>
      <c r="M420" s="38"/>
      <c r="N420" s="38"/>
      <c r="O420" s="38"/>
      <c r="P420" s="38"/>
      <c r="Q420" s="38"/>
      <c r="R420" s="38"/>
      <c r="S420" s="38"/>
      <c r="T420" s="38"/>
      <c r="U420" s="38"/>
      <c r="V420" s="38"/>
      <c r="W420" s="38"/>
      <c r="X420" s="38"/>
      <c r="Y420" s="38"/>
      <c r="Z420" s="38"/>
    </row>
    <row r="421" spans="6:26" ht="15" thickBot="1">
      <c r="F421" s="38"/>
      <c r="G421" s="38"/>
      <c r="H421" s="38"/>
      <c r="I421" s="38"/>
      <c r="J421" s="38"/>
      <c r="K421" s="38"/>
      <c r="L421" s="38"/>
      <c r="M421" s="38"/>
      <c r="N421" s="38"/>
      <c r="O421" s="38"/>
      <c r="P421" s="38"/>
      <c r="Q421" s="38"/>
      <c r="R421" s="38"/>
      <c r="S421" s="38"/>
      <c r="T421" s="38"/>
      <c r="U421" s="38"/>
      <c r="V421" s="38"/>
      <c r="W421" s="38"/>
      <c r="X421" s="38"/>
      <c r="Y421" s="38"/>
      <c r="Z421" s="38"/>
    </row>
    <row r="422" spans="6:26" ht="15" thickBot="1">
      <c r="F422" s="38"/>
      <c r="G422" s="38"/>
      <c r="H422" s="38"/>
      <c r="I422" s="38"/>
      <c r="J422" s="38"/>
      <c r="K422" s="38"/>
      <c r="L422" s="38"/>
      <c r="M422" s="38"/>
      <c r="N422" s="38"/>
      <c r="O422" s="38"/>
      <c r="P422" s="38"/>
      <c r="Q422" s="38"/>
      <c r="R422" s="38"/>
      <c r="S422" s="38"/>
      <c r="T422" s="38"/>
      <c r="U422" s="38"/>
      <c r="V422" s="38"/>
      <c r="W422" s="38"/>
      <c r="X422" s="38"/>
      <c r="Y422" s="38"/>
      <c r="Z422" s="38"/>
    </row>
    <row r="423" spans="6:26" ht="15" thickBot="1">
      <c r="F423" s="38"/>
      <c r="G423" s="38"/>
      <c r="H423" s="38"/>
      <c r="I423" s="38"/>
      <c r="J423" s="38"/>
      <c r="K423" s="38"/>
      <c r="L423" s="38"/>
      <c r="M423" s="38"/>
      <c r="N423" s="38"/>
      <c r="O423" s="38"/>
      <c r="P423" s="38"/>
      <c r="Q423" s="38"/>
      <c r="R423" s="38"/>
      <c r="S423" s="38"/>
      <c r="T423" s="38"/>
      <c r="U423" s="38"/>
      <c r="V423" s="38"/>
      <c r="W423" s="38"/>
      <c r="X423" s="38"/>
      <c r="Y423" s="38"/>
      <c r="Z423" s="38"/>
    </row>
    <row r="424" spans="6:26" ht="15" thickBot="1">
      <c r="F424" s="38"/>
      <c r="G424" s="38"/>
      <c r="H424" s="38"/>
      <c r="I424" s="38"/>
      <c r="J424" s="38"/>
      <c r="K424" s="38"/>
      <c r="L424" s="38"/>
      <c r="M424" s="38"/>
      <c r="N424" s="38"/>
      <c r="O424" s="38"/>
      <c r="P424" s="38"/>
      <c r="Q424" s="38"/>
      <c r="R424" s="38"/>
      <c r="S424" s="38"/>
      <c r="T424" s="38"/>
      <c r="U424" s="38"/>
      <c r="V424" s="38"/>
      <c r="W424" s="38"/>
      <c r="X424" s="38"/>
      <c r="Y424" s="38"/>
      <c r="Z424" s="38"/>
    </row>
    <row r="425" spans="6:26" ht="15" thickBot="1">
      <c r="F425" s="38"/>
      <c r="G425" s="38"/>
      <c r="H425" s="38"/>
      <c r="I425" s="38"/>
      <c r="J425" s="38"/>
      <c r="K425" s="38"/>
      <c r="L425" s="38"/>
      <c r="M425" s="38"/>
      <c r="N425" s="38"/>
      <c r="O425" s="38"/>
      <c r="P425" s="38"/>
      <c r="Q425" s="38"/>
      <c r="R425" s="38"/>
      <c r="S425" s="38"/>
      <c r="T425" s="38"/>
      <c r="U425" s="38"/>
      <c r="V425" s="38"/>
      <c r="W425" s="38"/>
      <c r="X425" s="38"/>
      <c r="Y425" s="38"/>
      <c r="Z425" s="38"/>
    </row>
    <row r="426" spans="6:26" ht="15" thickBot="1">
      <c r="F426" s="38"/>
      <c r="G426" s="38"/>
      <c r="H426" s="38"/>
      <c r="I426" s="38"/>
      <c r="J426" s="38"/>
      <c r="K426" s="38"/>
      <c r="L426" s="38"/>
      <c r="M426" s="38"/>
      <c r="N426" s="38"/>
      <c r="O426" s="38"/>
      <c r="P426" s="38"/>
      <c r="Q426" s="38"/>
      <c r="R426" s="38"/>
      <c r="S426" s="38"/>
      <c r="T426" s="38"/>
      <c r="U426" s="38"/>
      <c r="V426" s="38"/>
      <c r="W426" s="38"/>
      <c r="X426" s="38"/>
      <c r="Y426" s="38"/>
      <c r="Z426" s="38"/>
    </row>
    <row r="427" spans="6:26" ht="15" thickBot="1">
      <c r="F427" s="38"/>
      <c r="G427" s="38"/>
      <c r="H427" s="38"/>
      <c r="I427" s="38"/>
      <c r="J427" s="38"/>
      <c r="K427" s="38"/>
      <c r="L427" s="38"/>
      <c r="M427" s="38"/>
      <c r="N427" s="38"/>
      <c r="O427" s="38"/>
      <c r="P427" s="38"/>
      <c r="Q427" s="38"/>
      <c r="R427" s="38"/>
      <c r="S427" s="38"/>
      <c r="T427" s="38"/>
      <c r="U427" s="38"/>
      <c r="V427" s="38"/>
      <c r="W427" s="38"/>
      <c r="X427" s="38"/>
      <c r="Y427" s="38"/>
      <c r="Z427" s="38"/>
    </row>
    <row r="428" spans="6:26" ht="15" thickBot="1">
      <c r="F428" s="38"/>
      <c r="G428" s="38"/>
      <c r="H428" s="38"/>
      <c r="I428" s="38"/>
      <c r="J428" s="38"/>
      <c r="K428" s="38"/>
      <c r="L428" s="38"/>
      <c r="M428" s="38"/>
      <c r="N428" s="38"/>
      <c r="O428" s="38"/>
      <c r="P428" s="38"/>
      <c r="Q428" s="38"/>
      <c r="R428" s="38"/>
      <c r="S428" s="38"/>
      <c r="T428" s="38"/>
      <c r="U428" s="38"/>
      <c r="V428" s="38"/>
      <c r="W428" s="38"/>
      <c r="X428" s="38"/>
      <c r="Y428" s="38"/>
      <c r="Z428" s="38"/>
    </row>
    <row r="429" spans="6:26" ht="15" thickBot="1">
      <c r="F429" s="38"/>
      <c r="G429" s="38"/>
      <c r="H429" s="38"/>
      <c r="I429" s="38"/>
      <c r="J429" s="38"/>
      <c r="K429" s="38"/>
      <c r="L429" s="38"/>
      <c r="M429" s="38"/>
      <c r="N429" s="38"/>
      <c r="O429" s="38"/>
      <c r="P429" s="38"/>
      <c r="Q429" s="38"/>
      <c r="R429" s="38"/>
      <c r="S429" s="38"/>
      <c r="T429" s="38"/>
      <c r="U429" s="38"/>
      <c r="V429" s="38"/>
      <c r="W429" s="38"/>
      <c r="X429" s="38"/>
      <c r="Y429" s="38"/>
      <c r="Z429" s="38"/>
    </row>
    <row r="430" spans="6:26" ht="15" thickBot="1">
      <c r="F430" s="38"/>
      <c r="G430" s="38"/>
      <c r="H430" s="38"/>
      <c r="I430" s="38"/>
      <c r="J430" s="38"/>
      <c r="K430" s="38"/>
      <c r="L430" s="38"/>
      <c r="M430" s="38"/>
      <c r="N430" s="38"/>
      <c r="O430" s="38"/>
      <c r="P430" s="38"/>
      <c r="Q430" s="38"/>
      <c r="R430" s="38"/>
      <c r="S430" s="38"/>
      <c r="T430" s="38"/>
      <c r="U430" s="38"/>
      <c r="V430" s="38"/>
      <c r="W430" s="38"/>
      <c r="X430" s="38"/>
      <c r="Y430" s="38"/>
      <c r="Z430" s="38"/>
    </row>
    <row r="431" spans="6:26" ht="15" thickBot="1">
      <c r="F431" s="38"/>
      <c r="G431" s="38"/>
      <c r="H431" s="38"/>
      <c r="I431" s="38"/>
      <c r="J431" s="38"/>
      <c r="K431" s="38"/>
      <c r="L431" s="38"/>
      <c r="M431" s="38"/>
      <c r="N431" s="38"/>
      <c r="O431" s="38"/>
      <c r="P431" s="38"/>
      <c r="Q431" s="38"/>
      <c r="R431" s="38"/>
      <c r="S431" s="38"/>
      <c r="T431" s="38"/>
      <c r="U431" s="38"/>
      <c r="V431" s="38"/>
      <c r="W431" s="38"/>
      <c r="X431" s="38"/>
      <c r="Y431" s="38"/>
      <c r="Z431" s="38"/>
    </row>
    <row r="432" spans="6:26" ht="15" thickBot="1">
      <c r="F432" s="38"/>
      <c r="G432" s="38"/>
      <c r="H432" s="38"/>
      <c r="I432" s="38"/>
      <c r="J432" s="38"/>
      <c r="K432" s="38"/>
      <c r="L432" s="38"/>
      <c r="M432" s="38"/>
      <c r="N432" s="38"/>
      <c r="O432" s="38"/>
      <c r="P432" s="38"/>
      <c r="Q432" s="38"/>
      <c r="R432" s="38"/>
      <c r="S432" s="38"/>
      <c r="T432" s="38"/>
      <c r="U432" s="38"/>
      <c r="V432" s="38"/>
      <c r="W432" s="38"/>
      <c r="X432" s="38"/>
      <c r="Y432" s="38"/>
      <c r="Z432" s="38"/>
    </row>
    <row r="433" spans="6:26" ht="15" thickBot="1">
      <c r="F433" s="38"/>
      <c r="G433" s="38"/>
      <c r="H433" s="38"/>
      <c r="I433" s="38"/>
      <c r="J433" s="38"/>
      <c r="K433" s="38"/>
      <c r="L433" s="38"/>
      <c r="M433" s="38"/>
      <c r="N433" s="38"/>
      <c r="O433" s="38"/>
      <c r="P433" s="38"/>
      <c r="Q433" s="38"/>
      <c r="R433" s="38"/>
      <c r="S433" s="38"/>
      <c r="T433" s="38"/>
      <c r="U433" s="38"/>
      <c r="V433" s="38"/>
      <c r="W433" s="38"/>
      <c r="X433" s="38"/>
      <c r="Y433" s="38"/>
      <c r="Z433" s="38"/>
    </row>
    <row r="434" spans="6:26" ht="15" thickBot="1">
      <c r="F434" s="38"/>
      <c r="G434" s="38"/>
      <c r="H434" s="38"/>
      <c r="I434" s="38"/>
      <c r="J434" s="38"/>
      <c r="K434" s="38"/>
      <c r="L434" s="38"/>
      <c r="M434" s="38"/>
      <c r="N434" s="38"/>
      <c r="O434" s="38"/>
      <c r="P434" s="38"/>
      <c r="Q434" s="38"/>
      <c r="R434" s="38"/>
      <c r="S434" s="38"/>
      <c r="T434" s="38"/>
      <c r="U434" s="38"/>
      <c r="V434" s="38"/>
      <c r="W434" s="38"/>
      <c r="X434" s="38"/>
      <c r="Y434" s="38"/>
      <c r="Z434" s="38"/>
    </row>
    <row r="435" spans="6:26" ht="15" thickBot="1">
      <c r="F435" s="38"/>
      <c r="G435" s="38"/>
      <c r="H435" s="38"/>
      <c r="I435" s="38"/>
      <c r="J435" s="38"/>
      <c r="K435" s="38"/>
      <c r="L435" s="38"/>
      <c r="M435" s="38"/>
      <c r="N435" s="38"/>
      <c r="O435" s="38"/>
      <c r="P435" s="38"/>
      <c r="Q435" s="38"/>
      <c r="R435" s="38"/>
      <c r="S435" s="38"/>
      <c r="T435" s="38"/>
      <c r="U435" s="38"/>
      <c r="V435" s="38"/>
      <c r="W435" s="38"/>
      <c r="X435" s="38"/>
      <c r="Y435" s="38"/>
      <c r="Z435" s="38"/>
    </row>
    <row r="436" spans="6:26" ht="15" thickBot="1">
      <c r="F436" s="38"/>
      <c r="G436" s="38"/>
      <c r="H436" s="38"/>
      <c r="I436" s="38"/>
      <c r="J436" s="38"/>
      <c r="K436" s="38"/>
      <c r="L436" s="38"/>
      <c r="M436" s="38"/>
      <c r="N436" s="38"/>
      <c r="O436" s="38"/>
      <c r="P436" s="38"/>
      <c r="Q436" s="38"/>
      <c r="R436" s="38"/>
      <c r="S436" s="38"/>
      <c r="T436" s="38"/>
      <c r="U436" s="38"/>
      <c r="V436" s="38"/>
      <c r="W436" s="38"/>
      <c r="X436" s="38"/>
      <c r="Y436" s="38"/>
      <c r="Z436" s="38"/>
    </row>
    <row r="437" spans="6:26" ht="15" thickBot="1">
      <c r="F437" s="38"/>
      <c r="G437" s="38"/>
      <c r="H437" s="38"/>
      <c r="I437" s="38"/>
      <c r="J437" s="38"/>
      <c r="K437" s="38"/>
      <c r="L437" s="38"/>
      <c r="M437" s="38"/>
      <c r="N437" s="38"/>
      <c r="O437" s="38"/>
      <c r="P437" s="38"/>
      <c r="Q437" s="38"/>
      <c r="R437" s="38"/>
      <c r="S437" s="38"/>
      <c r="T437" s="38"/>
      <c r="U437" s="38"/>
      <c r="V437" s="38"/>
      <c r="W437" s="38"/>
      <c r="X437" s="38"/>
      <c r="Y437" s="38"/>
      <c r="Z437" s="38"/>
    </row>
    <row r="438" spans="6:26" ht="15" thickBot="1">
      <c r="F438" s="38"/>
      <c r="G438" s="38"/>
      <c r="H438" s="38"/>
      <c r="I438" s="38"/>
      <c r="J438" s="38"/>
      <c r="K438" s="38"/>
      <c r="L438" s="38"/>
      <c r="M438" s="38"/>
      <c r="N438" s="38"/>
      <c r="O438" s="38"/>
      <c r="P438" s="38"/>
      <c r="Q438" s="38"/>
      <c r="R438" s="38"/>
      <c r="S438" s="38"/>
      <c r="T438" s="38"/>
      <c r="U438" s="38"/>
      <c r="V438" s="38"/>
      <c r="W438" s="38"/>
      <c r="X438" s="38"/>
      <c r="Y438" s="38"/>
      <c r="Z438" s="38"/>
    </row>
    <row r="439" spans="6:26" ht="15" thickBot="1">
      <c r="F439" s="38"/>
      <c r="G439" s="38"/>
      <c r="H439" s="38"/>
      <c r="I439" s="38"/>
      <c r="J439" s="38"/>
      <c r="K439" s="38"/>
      <c r="L439" s="38"/>
      <c r="M439" s="38"/>
      <c r="N439" s="38"/>
      <c r="O439" s="38"/>
      <c r="P439" s="38"/>
      <c r="Q439" s="38"/>
      <c r="R439" s="38"/>
      <c r="S439" s="38"/>
      <c r="T439" s="38"/>
      <c r="U439" s="38"/>
      <c r="V439" s="38"/>
      <c r="W439" s="38"/>
      <c r="X439" s="38"/>
      <c r="Y439" s="38"/>
      <c r="Z439" s="38"/>
    </row>
    <row r="440" spans="6:26" ht="15" thickBot="1">
      <c r="F440" s="38"/>
      <c r="G440" s="38"/>
      <c r="H440" s="38"/>
      <c r="I440" s="38"/>
      <c r="J440" s="38"/>
      <c r="K440" s="38"/>
      <c r="L440" s="38"/>
      <c r="M440" s="38"/>
      <c r="N440" s="38"/>
      <c r="O440" s="38"/>
      <c r="P440" s="38"/>
      <c r="Q440" s="38"/>
      <c r="R440" s="38"/>
      <c r="S440" s="38"/>
      <c r="T440" s="38"/>
      <c r="U440" s="38"/>
      <c r="V440" s="38"/>
      <c r="W440" s="38"/>
      <c r="X440" s="38"/>
      <c r="Y440" s="38"/>
      <c r="Z440" s="38"/>
    </row>
    <row r="441" spans="6:26" ht="15" thickBot="1">
      <c r="F441" s="38"/>
      <c r="G441" s="38"/>
      <c r="H441" s="38"/>
      <c r="I441" s="38"/>
      <c r="J441" s="38"/>
      <c r="K441" s="38"/>
      <c r="L441" s="38"/>
      <c r="M441" s="38"/>
      <c r="N441" s="38"/>
      <c r="O441" s="38"/>
      <c r="P441" s="38"/>
      <c r="Q441" s="38"/>
      <c r="R441" s="38"/>
      <c r="S441" s="38"/>
      <c r="T441" s="38"/>
      <c r="U441" s="38"/>
      <c r="V441" s="38"/>
      <c r="W441" s="38"/>
      <c r="X441" s="38"/>
      <c r="Y441" s="38"/>
      <c r="Z441" s="38"/>
    </row>
    <row r="442" spans="6:26" ht="15" thickBot="1">
      <c r="F442" s="38"/>
      <c r="G442" s="38"/>
      <c r="H442" s="38"/>
      <c r="I442" s="38"/>
      <c r="J442" s="38"/>
      <c r="K442" s="38"/>
      <c r="L442" s="38"/>
      <c r="M442" s="38"/>
      <c r="N442" s="38"/>
      <c r="O442" s="38"/>
      <c r="P442" s="38"/>
      <c r="Q442" s="38"/>
      <c r="R442" s="38"/>
      <c r="S442" s="38"/>
      <c r="T442" s="38"/>
      <c r="U442" s="38"/>
      <c r="V442" s="38"/>
      <c r="W442" s="38"/>
      <c r="X442" s="38"/>
      <c r="Y442" s="38"/>
      <c r="Z442" s="38"/>
    </row>
    <row r="443" spans="6:26" ht="15" thickBot="1">
      <c r="F443" s="38"/>
      <c r="G443" s="38"/>
      <c r="H443" s="38"/>
      <c r="I443" s="38"/>
      <c r="J443" s="38"/>
      <c r="K443" s="38"/>
      <c r="L443" s="38"/>
      <c r="M443" s="38"/>
      <c r="N443" s="38"/>
      <c r="O443" s="38"/>
      <c r="P443" s="38"/>
      <c r="Q443" s="38"/>
      <c r="R443" s="38"/>
      <c r="S443" s="38"/>
      <c r="T443" s="38"/>
      <c r="U443" s="38"/>
      <c r="V443" s="38"/>
      <c r="W443" s="38"/>
      <c r="X443" s="38"/>
      <c r="Y443" s="38"/>
      <c r="Z443" s="38"/>
    </row>
    <row r="444" spans="6:26" ht="15" thickBot="1">
      <c r="F444" s="38"/>
      <c r="G444" s="38"/>
      <c r="H444" s="38"/>
      <c r="I444" s="38"/>
      <c r="J444" s="38"/>
      <c r="K444" s="38"/>
      <c r="L444" s="38"/>
      <c r="M444" s="38"/>
      <c r="N444" s="38"/>
      <c r="O444" s="38"/>
      <c r="P444" s="38"/>
      <c r="Q444" s="38"/>
      <c r="R444" s="38"/>
      <c r="S444" s="38"/>
      <c r="T444" s="38"/>
      <c r="U444" s="38"/>
      <c r="V444" s="38"/>
      <c r="W444" s="38"/>
      <c r="X444" s="38"/>
      <c r="Y444" s="38"/>
      <c r="Z444" s="38"/>
    </row>
    <row r="445" spans="6:26" ht="15" thickBot="1">
      <c r="F445" s="38"/>
      <c r="G445" s="38"/>
      <c r="H445" s="38"/>
      <c r="I445" s="38"/>
      <c r="J445" s="38"/>
      <c r="K445" s="38"/>
      <c r="L445" s="38"/>
      <c r="M445" s="38"/>
      <c r="N445" s="38"/>
      <c r="O445" s="38"/>
      <c r="P445" s="38"/>
      <c r="Q445" s="38"/>
      <c r="R445" s="38"/>
      <c r="S445" s="38"/>
      <c r="T445" s="38"/>
      <c r="U445" s="38"/>
      <c r="V445" s="38"/>
      <c r="W445" s="38"/>
      <c r="X445" s="38"/>
      <c r="Y445" s="38"/>
      <c r="Z445" s="38"/>
    </row>
    <row r="446" spans="6:26" ht="15" thickBot="1">
      <c r="F446" s="38"/>
      <c r="G446" s="38"/>
      <c r="H446" s="38"/>
      <c r="I446" s="38"/>
      <c r="J446" s="38"/>
      <c r="K446" s="38"/>
      <c r="L446" s="38"/>
      <c r="M446" s="38"/>
      <c r="N446" s="38"/>
      <c r="O446" s="38"/>
      <c r="P446" s="38"/>
      <c r="Q446" s="38"/>
      <c r="R446" s="38"/>
      <c r="S446" s="38"/>
      <c r="T446" s="38"/>
      <c r="U446" s="38"/>
      <c r="V446" s="38"/>
      <c r="W446" s="38"/>
      <c r="X446" s="38"/>
      <c r="Y446" s="38"/>
      <c r="Z446" s="38"/>
    </row>
    <row r="447" spans="6:26" ht="15" thickBot="1">
      <c r="F447" s="38"/>
      <c r="G447" s="38"/>
      <c r="H447" s="38"/>
      <c r="I447" s="38"/>
      <c r="J447" s="38"/>
      <c r="K447" s="38"/>
      <c r="L447" s="38"/>
      <c r="M447" s="38"/>
      <c r="N447" s="38"/>
      <c r="O447" s="38"/>
      <c r="P447" s="38"/>
      <c r="Q447" s="38"/>
      <c r="R447" s="38"/>
      <c r="S447" s="38"/>
      <c r="T447" s="38"/>
      <c r="U447" s="38"/>
      <c r="V447" s="38"/>
      <c r="W447" s="38"/>
      <c r="X447" s="38"/>
      <c r="Y447" s="38"/>
      <c r="Z447" s="38"/>
    </row>
    <row r="448" spans="6:26" ht="15" thickBot="1">
      <c r="F448" s="38"/>
      <c r="G448" s="38"/>
      <c r="H448" s="38"/>
      <c r="I448" s="38"/>
      <c r="J448" s="38"/>
      <c r="K448" s="38"/>
      <c r="L448" s="38"/>
      <c r="M448" s="38"/>
      <c r="N448" s="38"/>
      <c r="O448" s="38"/>
      <c r="P448" s="38"/>
      <c r="Q448" s="38"/>
      <c r="R448" s="38"/>
      <c r="S448" s="38"/>
      <c r="T448" s="38"/>
      <c r="U448" s="38"/>
      <c r="V448" s="38"/>
      <c r="W448" s="38"/>
      <c r="X448" s="38"/>
      <c r="Y448" s="38"/>
      <c r="Z448" s="38"/>
    </row>
    <row r="449" spans="6:26" ht="15" thickBot="1">
      <c r="F449" s="38"/>
      <c r="G449" s="38"/>
      <c r="H449" s="38"/>
      <c r="I449" s="38"/>
      <c r="J449" s="38"/>
      <c r="K449" s="38"/>
      <c r="L449" s="38"/>
      <c r="M449" s="38"/>
      <c r="N449" s="38"/>
      <c r="O449" s="38"/>
      <c r="P449" s="38"/>
      <c r="Q449" s="38"/>
      <c r="R449" s="38"/>
      <c r="S449" s="38"/>
      <c r="T449" s="38"/>
      <c r="U449" s="38"/>
      <c r="V449" s="38"/>
      <c r="W449" s="38"/>
      <c r="X449" s="38"/>
      <c r="Y449" s="38"/>
      <c r="Z449" s="38"/>
    </row>
    <row r="450" spans="6:26" ht="15" thickBot="1">
      <c r="F450" s="38"/>
      <c r="G450" s="38"/>
      <c r="H450" s="38"/>
      <c r="I450" s="38"/>
      <c r="J450" s="38"/>
      <c r="K450" s="38"/>
      <c r="L450" s="38"/>
      <c r="M450" s="38"/>
      <c r="N450" s="38"/>
      <c r="O450" s="38"/>
      <c r="P450" s="38"/>
      <c r="Q450" s="38"/>
      <c r="R450" s="38"/>
      <c r="S450" s="38"/>
      <c r="T450" s="38"/>
      <c r="U450" s="38"/>
      <c r="V450" s="38"/>
      <c r="W450" s="38"/>
      <c r="X450" s="38"/>
      <c r="Y450" s="38"/>
      <c r="Z450" s="38"/>
    </row>
    <row r="451" spans="6:26" ht="15" thickBot="1">
      <c r="F451" s="38"/>
      <c r="G451" s="38"/>
      <c r="H451" s="38"/>
      <c r="I451" s="38"/>
      <c r="J451" s="38"/>
      <c r="K451" s="38"/>
      <c r="L451" s="38"/>
      <c r="M451" s="38"/>
      <c r="N451" s="38"/>
      <c r="O451" s="38"/>
      <c r="P451" s="38"/>
      <c r="Q451" s="38"/>
      <c r="R451" s="38"/>
      <c r="S451" s="38"/>
      <c r="T451" s="38"/>
      <c r="U451" s="38"/>
      <c r="V451" s="38"/>
      <c r="W451" s="38"/>
      <c r="X451" s="38"/>
      <c r="Y451" s="38"/>
      <c r="Z451" s="38"/>
    </row>
    <row r="452" spans="6:26" ht="15" thickBot="1">
      <c r="F452" s="38"/>
      <c r="G452" s="38"/>
      <c r="H452" s="38"/>
      <c r="I452" s="38"/>
      <c r="J452" s="38"/>
      <c r="K452" s="38"/>
      <c r="L452" s="38"/>
      <c r="M452" s="38"/>
      <c r="N452" s="38"/>
      <c r="O452" s="38"/>
      <c r="P452" s="38"/>
      <c r="Q452" s="38"/>
      <c r="R452" s="38"/>
      <c r="S452" s="38"/>
      <c r="T452" s="38"/>
      <c r="U452" s="38"/>
      <c r="V452" s="38"/>
      <c r="W452" s="38"/>
      <c r="X452" s="38"/>
      <c r="Y452" s="38"/>
      <c r="Z452" s="38"/>
    </row>
    <row r="453" spans="6:26" ht="15" thickBot="1">
      <c r="F453" s="38"/>
      <c r="G453" s="38"/>
      <c r="H453" s="38"/>
      <c r="I453" s="38"/>
      <c r="J453" s="38"/>
      <c r="K453" s="38"/>
      <c r="L453" s="38"/>
      <c r="M453" s="38"/>
      <c r="N453" s="38"/>
      <c r="O453" s="38"/>
      <c r="P453" s="38"/>
      <c r="Q453" s="38"/>
      <c r="R453" s="38"/>
      <c r="S453" s="38"/>
      <c r="T453" s="38"/>
      <c r="U453" s="38"/>
      <c r="V453" s="38"/>
      <c r="W453" s="38"/>
      <c r="X453" s="38"/>
      <c r="Y453" s="38"/>
      <c r="Z453" s="38"/>
    </row>
    <row r="454" spans="6:26" ht="15" thickBot="1">
      <c r="F454" s="38"/>
      <c r="G454" s="38"/>
      <c r="H454" s="38"/>
      <c r="I454" s="38"/>
      <c r="J454" s="38"/>
      <c r="K454" s="38"/>
      <c r="L454" s="38"/>
      <c r="M454" s="38"/>
      <c r="N454" s="38"/>
      <c r="O454" s="38"/>
      <c r="P454" s="38"/>
      <c r="Q454" s="38"/>
      <c r="R454" s="38"/>
      <c r="S454" s="38"/>
      <c r="T454" s="38"/>
      <c r="U454" s="38"/>
      <c r="V454" s="38"/>
      <c r="W454" s="38"/>
      <c r="X454" s="38"/>
      <c r="Y454" s="38"/>
      <c r="Z454" s="38"/>
    </row>
    <row r="455" spans="6:26" ht="15" thickBot="1">
      <c r="F455" s="38"/>
      <c r="G455" s="38"/>
      <c r="H455" s="38"/>
      <c r="I455" s="38"/>
      <c r="J455" s="38"/>
      <c r="K455" s="38"/>
      <c r="L455" s="38"/>
      <c r="M455" s="38"/>
      <c r="N455" s="38"/>
      <c r="O455" s="38"/>
      <c r="P455" s="38"/>
      <c r="Q455" s="38"/>
      <c r="R455" s="38"/>
      <c r="S455" s="38"/>
      <c r="T455" s="38"/>
      <c r="U455" s="38"/>
      <c r="V455" s="38"/>
      <c r="W455" s="38"/>
      <c r="X455" s="38"/>
      <c r="Y455" s="38"/>
      <c r="Z455" s="38"/>
    </row>
    <row r="456" spans="6:26" ht="15" thickBot="1">
      <c r="F456" s="38"/>
      <c r="G456" s="38"/>
      <c r="H456" s="38"/>
      <c r="I456" s="38"/>
      <c r="J456" s="38"/>
      <c r="K456" s="38"/>
      <c r="L456" s="38"/>
      <c r="M456" s="38"/>
      <c r="N456" s="38"/>
      <c r="O456" s="38"/>
      <c r="P456" s="38"/>
      <c r="Q456" s="38"/>
      <c r="R456" s="38"/>
      <c r="S456" s="38"/>
      <c r="T456" s="38"/>
      <c r="U456" s="38"/>
      <c r="V456" s="38"/>
      <c r="W456" s="38"/>
      <c r="X456" s="38"/>
      <c r="Y456" s="38"/>
      <c r="Z456" s="38"/>
    </row>
    <row r="457" spans="6:26" ht="15" thickBot="1">
      <c r="F457" s="38"/>
      <c r="G457" s="38"/>
      <c r="H457" s="38"/>
      <c r="I457" s="38"/>
      <c r="J457" s="38"/>
      <c r="K457" s="38"/>
      <c r="L457" s="38"/>
      <c r="M457" s="38"/>
      <c r="N457" s="38"/>
      <c r="O457" s="38"/>
      <c r="P457" s="38"/>
      <c r="Q457" s="38"/>
      <c r="R457" s="38"/>
      <c r="S457" s="38"/>
      <c r="T457" s="38"/>
      <c r="U457" s="38"/>
      <c r="V457" s="38"/>
      <c r="W457" s="38"/>
      <c r="X457" s="38"/>
      <c r="Y457" s="38"/>
      <c r="Z457" s="38"/>
    </row>
    <row r="458" spans="6:26" ht="15" thickBot="1">
      <c r="F458" s="38"/>
      <c r="G458" s="38"/>
      <c r="H458" s="38"/>
      <c r="I458" s="38"/>
      <c r="J458" s="38"/>
      <c r="K458" s="38"/>
      <c r="L458" s="38"/>
      <c r="M458" s="38"/>
      <c r="N458" s="38"/>
      <c r="O458" s="38"/>
      <c r="P458" s="38"/>
      <c r="Q458" s="38"/>
      <c r="R458" s="38"/>
      <c r="S458" s="38"/>
      <c r="T458" s="38"/>
      <c r="U458" s="38"/>
      <c r="V458" s="38"/>
      <c r="W458" s="38"/>
      <c r="X458" s="38"/>
      <c r="Y458" s="38"/>
      <c r="Z458" s="38"/>
    </row>
    <row r="459" spans="6:26" ht="15" thickBot="1">
      <c r="F459" s="38"/>
      <c r="G459" s="38"/>
      <c r="H459" s="38"/>
      <c r="I459" s="38"/>
      <c r="J459" s="38"/>
      <c r="K459" s="38"/>
      <c r="L459" s="38"/>
      <c r="M459" s="38"/>
      <c r="N459" s="38"/>
      <c r="O459" s="38"/>
      <c r="P459" s="38"/>
      <c r="Q459" s="38"/>
      <c r="R459" s="38"/>
      <c r="S459" s="38"/>
      <c r="T459" s="38"/>
      <c r="U459" s="38"/>
      <c r="V459" s="38"/>
      <c r="W459" s="38"/>
      <c r="X459" s="38"/>
      <c r="Y459" s="38"/>
      <c r="Z459" s="38"/>
    </row>
    <row r="460" spans="6:26" ht="15" thickBot="1">
      <c r="F460" s="38"/>
      <c r="G460" s="38"/>
      <c r="H460" s="38"/>
      <c r="I460" s="38"/>
      <c r="J460" s="38"/>
      <c r="K460" s="38"/>
      <c r="L460" s="38"/>
      <c r="M460" s="38"/>
      <c r="N460" s="38"/>
      <c r="O460" s="38"/>
      <c r="P460" s="38"/>
      <c r="Q460" s="38"/>
      <c r="R460" s="38"/>
      <c r="S460" s="38"/>
      <c r="T460" s="38"/>
      <c r="U460" s="38"/>
      <c r="V460" s="38"/>
      <c r="W460" s="38"/>
      <c r="X460" s="38"/>
      <c r="Y460" s="38"/>
      <c r="Z460" s="38"/>
    </row>
    <row r="461" spans="6:26" ht="15" thickBot="1">
      <c r="F461" s="38"/>
      <c r="G461" s="38"/>
      <c r="H461" s="38"/>
      <c r="I461" s="38"/>
      <c r="J461" s="38"/>
      <c r="K461" s="38"/>
      <c r="L461" s="38"/>
      <c r="M461" s="38"/>
      <c r="N461" s="38"/>
      <c r="O461" s="38"/>
      <c r="P461" s="38"/>
      <c r="Q461" s="38"/>
      <c r="R461" s="38"/>
      <c r="S461" s="38"/>
      <c r="T461" s="38"/>
      <c r="U461" s="38"/>
      <c r="V461" s="38"/>
      <c r="W461" s="38"/>
      <c r="X461" s="38"/>
      <c r="Y461" s="38"/>
      <c r="Z461" s="38"/>
    </row>
    <row r="462" spans="6:26" ht="15" thickBot="1">
      <c r="F462" s="38"/>
      <c r="G462" s="38"/>
      <c r="H462" s="38"/>
      <c r="I462" s="38"/>
      <c r="J462" s="38"/>
      <c r="K462" s="38"/>
      <c r="L462" s="38"/>
      <c r="M462" s="38"/>
      <c r="N462" s="38"/>
      <c r="O462" s="38"/>
      <c r="P462" s="38"/>
      <c r="Q462" s="38"/>
      <c r="R462" s="38"/>
      <c r="S462" s="38"/>
      <c r="T462" s="38"/>
      <c r="U462" s="38"/>
      <c r="V462" s="38"/>
      <c r="W462" s="38"/>
      <c r="X462" s="38"/>
      <c r="Y462" s="38"/>
      <c r="Z462" s="38"/>
    </row>
    <row r="463" spans="6:26" ht="15" thickBot="1">
      <c r="F463" s="38"/>
      <c r="G463" s="38"/>
      <c r="H463" s="38"/>
      <c r="I463" s="38"/>
      <c r="J463" s="38"/>
      <c r="K463" s="38"/>
      <c r="L463" s="38"/>
      <c r="M463" s="38"/>
      <c r="N463" s="38"/>
      <c r="O463" s="38"/>
      <c r="P463" s="38"/>
      <c r="Q463" s="38"/>
      <c r="R463" s="38"/>
      <c r="S463" s="38"/>
      <c r="T463" s="38"/>
      <c r="U463" s="38"/>
      <c r="V463" s="38"/>
      <c r="W463" s="38"/>
      <c r="X463" s="38"/>
      <c r="Y463" s="38"/>
      <c r="Z463" s="38"/>
    </row>
    <row r="464" spans="6:26" ht="15" thickBot="1">
      <c r="F464" s="38"/>
      <c r="G464" s="38"/>
      <c r="H464" s="38"/>
      <c r="I464" s="38"/>
      <c r="J464" s="38"/>
      <c r="K464" s="38"/>
      <c r="L464" s="38"/>
      <c r="M464" s="38"/>
      <c r="N464" s="38"/>
      <c r="O464" s="38"/>
      <c r="P464" s="38"/>
      <c r="Q464" s="38"/>
      <c r="R464" s="38"/>
      <c r="S464" s="38"/>
      <c r="T464" s="38"/>
      <c r="U464" s="38"/>
      <c r="V464" s="38"/>
      <c r="W464" s="38"/>
      <c r="X464" s="38"/>
      <c r="Y464" s="38"/>
      <c r="Z464" s="38"/>
    </row>
    <row r="465" spans="6:26" ht="15" thickBot="1">
      <c r="F465" s="38"/>
      <c r="G465" s="38"/>
      <c r="H465" s="38"/>
      <c r="I465" s="38"/>
      <c r="J465" s="38"/>
      <c r="K465" s="38"/>
      <c r="L465" s="38"/>
      <c r="M465" s="38"/>
      <c r="N465" s="38"/>
      <c r="O465" s="38"/>
      <c r="P465" s="38"/>
      <c r="Q465" s="38"/>
      <c r="R465" s="38"/>
      <c r="S465" s="38"/>
      <c r="T465" s="38"/>
      <c r="U465" s="38"/>
      <c r="V465" s="38"/>
      <c r="W465" s="38"/>
      <c r="X465" s="38"/>
      <c r="Y465" s="38"/>
      <c r="Z465" s="38"/>
    </row>
    <row r="466" spans="6:26" ht="15" thickBot="1">
      <c r="F466" s="38"/>
      <c r="G466" s="38"/>
      <c r="H466" s="38"/>
      <c r="I466" s="38"/>
      <c r="J466" s="38"/>
      <c r="K466" s="38"/>
      <c r="L466" s="38"/>
      <c r="M466" s="38"/>
      <c r="N466" s="38"/>
      <c r="O466" s="38"/>
      <c r="P466" s="38"/>
      <c r="Q466" s="38"/>
      <c r="R466" s="38"/>
      <c r="S466" s="38"/>
      <c r="T466" s="38"/>
      <c r="U466" s="38"/>
      <c r="V466" s="38"/>
      <c r="W466" s="38"/>
      <c r="X466" s="38"/>
      <c r="Y466" s="38"/>
      <c r="Z466" s="38"/>
    </row>
    <row r="467" spans="6:26" ht="15" thickBot="1">
      <c r="F467" s="38"/>
      <c r="G467" s="38"/>
      <c r="H467" s="38"/>
      <c r="I467" s="38"/>
      <c r="J467" s="38"/>
      <c r="K467" s="38"/>
      <c r="L467" s="38"/>
      <c r="M467" s="38"/>
      <c r="N467" s="38"/>
      <c r="O467" s="38"/>
      <c r="P467" s="38"/>
      <c r="Q467" s="38"/>
      <c r="R467" s="38"/>
      <c r="S467" s="38"/>
      <c r="T467" s="38"/>
      <c r="U467" s="38"/>
      <c r="V467" s="38"/>
      <c r="W467" s="38"/>
      <c r="X467" s="38"/>
      <c r="Y467" s="38"/>
      <c r="Z467" s="38"/>
    </row>
    <row r="468" spans="6:26" ht="15" thickBot="1">
      <c r="F468" s="38"/>
      <c r="G468" s="38"/>
      <c r="H468" s="38"/>
      <c r="I468" s="38"/>
      <c r="J468" s="38"/>
      <c r="K468" s="38"/>
      <c r="L468" s="38"/>
      <c r="M468" s="38"/>
      <c r="N468" s="38"/>
      <c r="O468" s="38"/>
      <c r="P468" s="38"/>
      <c r="Q468" s="38"/>
      <c r="R468" s="38"/>
      <c r="S468" s="38"/>
      <c r="T468" s="38"/>
      <c r="U468" s="38"/>
      <c r="V468" s="38"/>
      <c r="W468" s="38"/>
      <c r="X468" s="38"/>
      <c r="Y468" s="38"/>
      <c r="Z468" s="38"/>
    </row>
    <row r="469" spans="6:26" ht="15" thickBot="1">
      <c r="F469" s="38"/>
      <c r="G469" s="38"/>
      <c r="H469" s="38"/>
      <c r="I469" s="38"/>
      <c r="J469" s="38"/>
      <c r="K469" s="38"/>
      <c r="L469" s="38"/>
      <c r="M469" s="38"/>
      <c r="N469" s="38"/>
      <c r="O469" s="38"/>
      <c r="P469" s="38"/>
      <c r="Q469" s="38"/>
      <c r="R469" s="38"/>
      <c r="S469" s="38"/>
      <c r="T469" s="38"/>
      <c r="U469" s="38"/>
      <c r="V469" s="38"/>
      <c r="W469" s="38"/>
      <c r="X469" s="38"/>
      <c r="Y469" s="38"/>
      <c r="Z469" s="38"/>
    </row>
    <row r="470" spans="6:26" ht="15" thickBot="1">
      <c r="F470" s="38"/>
      <c r="G470" s="38"/>
      <c r="H470" s="38"/>
      <c r="I470" s="38"/>
      <c r="J470" s="38"/>
      <c r="K470" s="38"/>
      <c r="L470" s="38"/>
      <c r="M470" s="38"/>
      <c r="N470" s="38"/>
      <c r="O470" s="38"/>
      <c r="P470" s="38"/>
      <c r="Q470" s="38"/>
      <c r="R470" s="38"/>
      <c r="S470" s="38"/>
      <c r="T470" s="38"/>
      <c r="U470" s="38"/>
      <c r="V470" s="38"/>
      <c r="W470" s="38"/>
      <c r="X470" s="38"/>
      <c r="Y470" s="38"/>
      <c r="Z470" s="38"/>
    </row>
    <row r="471" spans="6:26" ht="15" thickBot="1">
      <c r="F471" s="38"/>
      <c r="G471" s="38"/>
      <c r="H471" s="38"/>
      <c r="I471" s="38"/>
      <c r="J471" s="38"/>
      <c r="K471" s="38"/>
      <c r="L471" s="38"/>
      <c r="M471" s="38"/>
      <c r="N471" s="38"/>
      <c r="O471" s="38"/>
      <c r="P471" s="38"/>
      <c r="Q471" s="38"/>
      <c r="R471" s="38"/>
      <c r="S471" s="38"/>
      <c r="T471" s="38"/>
      <c r="U471" s="38"/>
      <c r="V471" s="38"/>
      <c r="W471" s="38"/>
      <c r="X471" s="38"/>
      <c r="Y471" s="38"/>
      <c r="Z471" s="38"/>
    </row>
    <row r="472" spans="6:26" ht="15" thickBot="1">
      <c r="F472" s="38"/>
      <c r="G472" s="38"/>
      <c r="H472" s="38"/>
      <c r="I472" s="38"/>
      <c r="J472" s="38"/>
      <c r="K472" s="38"/>
      <c r="L472" s="38"/>
      <c r="M472" s="38"/>
      <c r="N472" s="38"/>
      <c r="O472" s="38"/>
      <c r="P472" s="38"/>
      <c r="Q472" s="38"/>
      <c r="R472" s="38"/>
      <c r="S472" s="38"/>
      <c r="T472" s="38"/>
      <c r="U472" s="38"/>
      <c r="V472" s="38"/>
      <c r="W472" s="38"/>
      <c r="X472" s="38"/>
      <c r="Y472" s="38"/>
      <c r="Z472" s="38"/>
    </row>
    <row r="473" spans="6:26" ht="15" thickBot="1">
      <c r="F473" s="38"/>
      <c r="G473" s="38"/>
      <c r="H473" s="38"/>
      <c r="I473" s="38"/>
      <c r="J473" s="38"/>
      <c r="K473" s="38"/>
      <c r="L473" s="38"/>
      <c r="M473" s="38"/>
      <c r="N473" s="38"/>
      <c r="O473" s="38"/>
      <c r="P473" s="38"/>
      <c r="Q473" s="38"/>
      <c r="R473" s="38"/>
      <c r="S473" s="38"/>
      <c r="T473" s="38"/>
      <c r="U473" s="38"/>
      <c r="V473" s="38"/>
      <c r="W473" s="38"/>
      <c r="X473" s="38"/>
      <c r="Y473" s="38"/>
      <c r="Z473" s="38"/>
    </row>
    <row r="474" spans="6:26" ht="15" thickBot="1">
      <c r="F474" s="38"/>
      <c r="G474" s="38"/>
      <c r="H474" s="38"/>
      <c r="I474" s="38"/>
      <c r="J474" s="38"/>
      <c r="K474" s="38"/>
      <c r="L474" s="38"/>
      <c r="M474" s="38"/>
      <c r="N474" s="38"/>
      <c r="O474" s="38"/>
      <c r="P474" s="38"/>
      <c r="Q474" s="38"/>
      <c r="R474" s="38"/>
      <c r="S474" s="38"/>
      <c r="T474" s="38"/>
      <c r="U474" s="38"/>
      <c r="V474" s="38"/>
      <c r="W474" s="38"/>
      <c r="X474" s="38"/>
      <c r="Y474" s="38"/>
      <c r="Z474" s="38"/>
    </row>
    <row r="475" spans="6:26" ht="15" thickBot="1">
      <c r="F475" s="38"/>
      <c r="G475" s="38"/>
      <c r="H475" s="38"/>
      <c r="I475" s="38"/>
      <c r="J475" s="38"/>
      <c r="K475" s="38"/>
      <c r="L475" s="38"/>
      <c r="M475" s="38"/>
      <c r="N475" s="38"/>
      <c r="O475" s="38"/>
      <c r="P475" s="38"/>
      <c r="Q475" s="38"/>
      <c r="R475" s="38"/>
      <c r="S475" s="38"/>
      <c r="T475" s="38"/>
      <c r="U475" s="38"/>
      <c r="V475" s="38"/>
      <c r="W475" s="38"/>
      <c r="X475" s="38"/>
      <c r="Y475" s="38"/>
      <c r="Z475" s="38"/>
    </row>
    <row r="476" spans="6:26" ht="15" thickBot="1">
      <c r="F476" s="38"/>
      <c r="G476" s="38"/>
      <c r="H476" s="38"/>
      <c r="I476" s="38"/>
      <c r="J476" s="38"/>
      <c r="K476" s="38"/>
      <c r="L476" s="38"/>
      <c r="M476" s="38"/>
      <c r="N476" s="38"/>
      <c r="O476" s="38"/>
      <c r="P476" s="38"/>
      <c r="Q476" s="38"/>
      <c r="R476" s="38"/>
      <c r="S476" s="38"/>
      <c r="T476" s="38"/>
      <c r="U476" s="38"/>
      <c r="V476" s="38"/>
      <c r="W476" s="38"/>
      <c r="X476" s="38"/>
      <c r="Y476" s="38"/>
      <c r="Z476" s="38"/>
    </row>
    <row r="477" spans="6:26" ht="15" thickBot="1">
      <c r="F477" s="38"/>
      <c r="G477" s="38"/>
      <c r="H477" s="38"/>
      <c r="I477" s="38"/>
      <c r="J477" s="38"/>
      <c r="K477" s="38"/>
      <c r="L477" s="38"/>
      <c r="M477" s="38"/>
      <c r="N477" s="38"/>
      <c r="O477" s="38"/>
      <c r="P477" s="38"/>
      <c r="Q477" s="38"/>
      <c r="R477" s="38"/>
      <c r="S477" s="38"/>
      <c r="T477" s="38"/>
      <c r="U477" s="38"/>
      <c r="V477" s="38"/>
      <c r="W477" s="38"/>
      <c r="X477" s="38"/>
      <c r="Y477" s="38"/>
      <c r="Z477" s="38"/>
    </row>
    <row r="478" spans="6:26" ht="15" thickBot="1">
      <c r="F478" s="38"/>
      <c r="G478" s="38"/>
      <c r="H478" s="38"/>
      <c r="I478" s="38"/>
      <c r="J478" s="38"/>
      <c r="K478" s="38"/>
      <c r="L478" s="38"/>
      <c r="M478" s="38"/>
      <c r="N478" s="38"/>
      <c r="O478" s="38"/>
      <c r="P478" s="38"/>
      <c r="Q478" s="38"/>
      <c r="R478" s="38"/>
      <c r="S478" s="38"/>
      <c r="T478" s="38"/>
      <c r="U478" s="38"/>
      <c r="V478" s="38"/>
      <c r="W478" s="38"/>
      <c r="X478" s="38"/>
      <c r="Y478" s="38"/>
      <c r="Z478" s="38"/>
    </row>
    <row r="479" spans="6:26" ht="15" thickBot="1">
      <c r="F479" s="38"/>
      <c r="G479" s="38"/>
      <c r="H479" s="38"/>
      <c r="I479" s="38"/>
      <c r="J479" s="38"/>
      <c r="K479" s="38"/>
      <c r="L479" s="38"/>
      <c r="M479" s="38"/>
      <c r="N479" s="38"/>
      <c r="O479" s="38"/>
      <c r="P479" s="38"/>
      <c r="Q479" s="38"/>
      <c r="R479" s="38"/>
      <c r="S479" s="38"/>
      <c r="T479" s="38"/>
      <c r="U479" s="38"/>
      <c r="V479" s="38"/>
      <c r="W479" s="38"/>
      <c r="X479" s="38"/>
      <c r="Y479" s="38"/>
      <c r="Z479" s="38"/>
    </row>
    <row r="480" spans="6:26" ht="15" thickBot="1">
      <c r="F480" s="38"/>
      <c r="G480" s="38"/>
      <c r="H480" s="38"/>
      <c r="I480" s="38"/>
      <c r="J480" s="38"/>
      <c r="K480" s="38"/>
      <c r="L480" s="38"/>
      <c r="M480" s="38"/>
      <c r="N480" s="38"/>
      <c r="O480" s="38"/>
      <c r="P480" s="38"/>
      <c r="Q480" s="38"/>
      <c r="R480" s="38"/>
      <c r="S480" s="38"/>
      <c r="T480" s="38"/>
      <c r="U480" s="38"/>
      <c r="V480" s="38"/>
      <c r="W480" s="38"/>
      <c r="X480" s="38"/>
      <c r="Y480" s="38"/>
      <c r="Z480" s="38"/>
    </row>
    <row r="481" spans="6:26" ht="15" thickBot="1">
      <c r="F481" s="38"/>
      <c r="G481" s="38"/>
      <c r="H481" s="38"/>
      <c r="I481" s="38"/>
      <c r="J481" s="38"/>
      <c r="K481" s="38"/>
      <c r="L481" s="38"/>
      <c r="M481" s="38"/>
      <c r="N481" s="38"/>
      <c r="O481" s="38"/>
      <c r="P481" s="38"/>
      <c r="Q481" s="38"/>
      <c r="R481" s="38"/>
      <c r="S481" s="38"/>
      <c r="T481" s="38"/>
      <c r="U481" s="38"/>
      <c r="V481" s="38"/>
      <c r="W481" s="38"/>
      <c r="X481" s="38"/>
      <c r="Y481" s="38"/>
      <c r="Z481" s="38"/>
    </row>
    <row r="482" spans="6:26" ht="15" thickBot="1">
      <c r="F482" s="38"/>
      <c r="G482" s="38"/>
      <c r="H482" s="38"/>
      <c r="I482" s="38"/>
      <c r="J482" s="38"/>
      <c r="K482" s="38"/>
      <c r="L482" s="38"/>
      <c r="M482" s="38"/>
      <c r="N482" s="38"/>
      <c r="O482" s="38"/>
      <c r="P482" s="38"/>
      <c r="Q482" s="38"/>
      <c r="R482" s="38"/>
      <c r="S482" s="38"/>
      <c r="T482" s="38"/>
      <c r="U482" s="38"/>
      <c r="V482" s="38"/>
      <c r="W482" s="38"/>
      <c r="X482" s="38"/>
      <c r="Y482" s="38"/>
      <c r="Z482" s="38"/>
    </row>
    <row r="483" spans="6:26" ht="15" thickBot="1">
      <c r="F483" s="38"/>
      <c r="G483" s="38"/>
      <c r="H483" s="38"/>
      <c r="I483" s="38"/>
      <c r="J483" s="38"/>
      <c r="K483" s="38"/>
      <c r="L483" s="38"/>
      <c r="M483" s="38"/>
      <c r="N483" s="38"/>
      <c r="O483" s="38"/>
      <c r="P483" s="38"/>
      <c r="Q483" s="38"/>
      <c r="R483" s="38"/>
      <c r="S483" s="38"/>
      <c r="T483" s="38"/>
      <c r="U483" s="38"/>
      <c r="V483" s="38"/>
      <c r="W483" s="38"/>
      <c r="X483" s="38"/>
      <c r="Y483" s="38"/>
      <c r="Z483" s="38"/>
    </row>
    <row r="484" spans="6:26" ht="15" thickBot="1">
      <c r="F484" s="38"/>
      <c r="G484" s="38"/>
      <c r="H484" s="38"/>
      <c r="I484" s="38"/>
      <c r="J484" s="38"/>
      <c r="K484" s="38"/>
      <c r="L484" s="38"/>
      <c r="M484" s="38"/>
      <c r="N484" s="38"/>
      <c r="O484" s="38"/>
      <c r="P484" s="38"/>
      <c r="Q484" s="38"/>
      <c r="R484" s="38"/>
      <c r="S484" s="38"/>
      <c r="T484" s="38"/>
      <c r="U484" s="38"/>
      <c r="V484" s="38"/>
      <c r="W484" s="38"/>
      <c r="X484" s="38"/>
      <c r="Y484" s="38"/>
      <c r="Z484" s="38"/>
    </row>
    <row r="485" spans="6:26" ht="15" thickBot="1">
      <c r="F485" s="38"/>
      <c r="G485" s="38"/>
      <c r="H485" s="38"/>
      <c r="I485" s="38"/>
      <c r="J485" s="38"/>
      <c r="K485" s="38"/>
      <c r="L485" s="38"/>
      <c r="M485" s="38"/>
      <c r="N485" s="38"/>
      <c r="O485" s="38"/>
      <c r="P485" s="38"/>
      <c r="Q485" s="38"/>
      <c r="R485" s="38"/>
      <c r="S485" s="38"/>
      <c r="T485" s="38"/>
      <c r="U485" s="38"/>
      <c r="V485" s="38"/>
      <c r="W485" s="38"/>
      <c r="X485" s="38"/>
      <c r="Y485" s="38"/>
      <c r="Z485" s="38"/>
    </row>
    <row r="486" spans="6:26" ht="15" thickBot="1">
      <c r="F486" s="38"/>
      <c r="G486" s="38"/>
      <c r="H486" s="38"/>
      <c r="I486" s="38"/>
      <c r="J486" s="38"/>
      <c r="K486" s="38"/>
      <c r="L486" s="38"/>
      <c r="M486" s="38"/>
      <c r="N486" s="38"/>
      <c r="O486" s="38"/>
      <c r="P486" s="38"/>
      <c r="Q486" s="38"/>
      <c r="R486" s="38"/>
      <c r="S486" s="38"/>
      <c r="T486" s="38"/>
      <c r="U486" s="38"/>
      <c r="V486" s="38"/>
      <c r="W486" s="38"/>
      <c r="X486" s="38"/>
      <c r="Y486" s="38"/>
      <c r="Z486" s="38"/>
    </row>
    <row r="487" spans="6:26" ht="15" thickBot="1">
      <c r="F487" s="38"/>
      <c r="G487" s="38"/>
      <c r="H487" s="38"/>
      <c r="I487" s="38"/>
      <c r="J487" s="38"/>
      <c r="K487" s="38"/>
      <c r="L487" s="38"/>
      <c r="M487" s="38"/>
      <c r="N487" s="38"/>
      <c r="O487" s="38"/>
      <c r="P487" s="38"/>
      <c r="Q487" s="38"/>
      <c r="R487" s="38"/>
      <c r="S487" s="38"/>
      <c r="T487" s="38"/>
      <c r="U487" s="38"/>
      <c r="V487" s="38"/>
      <c r="W487" s="38"/>
      <c r="X487" s="38"/>
      <c r="Y487" s="38"/>
      <c r="Z487" s="38"/>
    </row>
    <row r="488" spans="6:26" ht="15" thickBot="1">
      <c r="F488" s="38"/>
      <c r="G488" s="38"/>
      <c r="H488" s="38"/>
      <c r="I488" s="38"/>
      <c r="J488" s="38"/>
      <c r="K488" s="38"/>
      <c r="L488" s="38"/>
      <c r="M488" s="38"/>
      <c r="N488" s="38"/>
      <c r="O488" s="38"/>
      <c r="P488" s="38"/>
      <c r="Q488" s="38"/>
      <c r="R488" s="38"/>
      <c r="S488" s="38"/>
      <c r="T488" s="38"/>
      <c r="U488" s="38"/>
      <c r="V488" s="38"/>
      <c r="W488" s="38"/>
      <c r="X488" s="38"/>
      <c r="Y488" s="38"/>
      <c r="Z488" s="38"/>
    </row>
    <row r="489" spans="6:26" ht="15" thickBot="1">
      <c r="F489" s="38"/>
      <c r="G489" s="38"/>
      <c r="H489" s="38"/>
      <c r="I489" s="38"/>
      <c r="J489" s="38"/>
      <c r="K489" s="38"/>
      <c r="L489" s="38"/>
      <c r="M489" s="38"/>
      <c r="N489" s="38"/>
      <c r="O489" s="38"/>
      <c r="P489" s="38"/>
      <c r="Q489" s="38"/>
      <c r="R489" s="38"/>
      <c r="S489" s="38"/>
      <c r="T489" s="38"/>
      <c r="U489" s="38"/>
      <c r="V489" s="38"/>
      <c r="W489" s="38"/>
      <c r="X489" s="38"/>
      <c r="Y489" s="38"/>
      <c r="Z489" s="38"/>
    </row>
    <row r="490" spans="6:26" ht="15" thickBot="1">
      <c r="F490" s="38"/>
      <c r="G490" s="38"/>
      <c r="H490" s="38"/>
      <c r="I490" s="38"/>
      <c r="J490" s="38"/>
      <c r="K490" s="38"/>
      <c r="L490" s="38"/>
      <c r="M490" s="38"/>
      <c r="N490" s="38"/>
      <c r="O490" s="38"/>
      <c r="P490" s="38"/>
      <c r="Q490" s="38"/>
      <c r="R490" s="38"/>
      <c r="S490" s="38"/>
      <c r="T490" s="38"/>
      <c r="U490" s="38"/>
      <c r="V490" s="38"/>
      <c r="W490" s="38"/>
      <c r="X490" s="38"/>
      <c r="Y490" s="38"/>
      <c r="Z490" s="38"/>
    </row>
    <row r="491" spans="6:26" ht="15" thickBot="1">
      <c r="F491" s="38"/>
      <c r="G491" s="38"/>
      <c r="H491" s="38"/>
      <c r="I491" s="38"/>
      <c r="J491" s="38"/>
      <c r="K491" s="38"/>
      <c r="L491" s="38"/>
      <c r="M491" s="38"/>
      <c r="N491" s="38"/>
      <c r="O491" s="38"/>
      <c r="P491" s="38"/>
      <c r="Q491" s="38"/>
      <c r="R491" s="38"/>
      <c r="S491" s="38"/>
      <c r="T491" s="38"/>
      <c r="U491" s="38"/>
      <c r="V491" s="38"/>
      <c r="W491" s="38"/>
      <c r="X491" s="38"/>
      <c r="Y491" s="38"/>
      <c r="Z491" s="38"/>
    </row>
    <row r="492" spans="6:26" ht="15" thickBot="1">
      <c r="F492" s="38"/>
      <c r="G492" s="38"/>
      <c r="H492" s="38"/>
      <c r="I492" s="38"/>
      <c r="J492" s="38"/>
      <c r="K492" s="38"/>
      <c r="L492" s="38"/>
      <c r="M492" s="38"/>
      <c r="N492" s="38"/>
      <c r="O492" s="38"/>
      <c r="P492" s="38"/>
      <c r="Q492" s="38"/>
      <c r="R492" s="38"/>
      <c r="S492" s="38"/>
      <c r="T492" s="38"/>
      <c r="U492" s="38"/>
      <c r="V492" s="38"/>
      <c r="W492" s="38"/>
      <c r="X492" s="38"/>
      <c r="Y492" s="38"/>
      <c r="Z492" s="38"/>
    </row>
    <row r="493" spans="6:26" ht="15" thickBot="1">
      <c r="F493" s="38"/>
      <c r="G493" s="38"/>
      <c r="H493" s="38"/>
      <c r="I493" s="38"/>
      <c r="J493" s="38"/>
      <c r="K493" s="38"/>
      <c r="L493" s="38"/>
      <c r="M493" s="38"/>
      <c r="N493" s="38"/>
      <c r="O493" s="38"/>
      <c r="P493" s="38"/>
      <c r="Q493" s="38"/>
      <c r="R493" s="38"/>
      <c r="S493" s="38"/>
      <c r="T493" s="38"/>
      <c r="U493" s="38"/>
      <c r="V493" s="38"/>
      <c r="W493" s="38"/>
      <c r="X493" s="38"/>
      <c r="Y493" s="38"/>
      <c r="Z493" s="38"/>
    </row>
    <row r="494" spans="6:26" ht="15" thickBot="1">
      <c r="F494" s="38"/>
      <c r="G494" s="38"/>
      <c r="H494" s="38"/>
      <c r="I494" s="38"/>
      <c r="J494" s="38"/>
      <c r="K494" s="38"/>
      <c r="L494" s="38"/>
      <c r="M494" s="38"/>
      <c r="N494" s="38"/>
      <c r="O494" s="38"/>
      <c r="P494" s="38"/>
      <c r="Q494" s="38"/>
      <c r="R494" s="38"/>
      <c r="S494" s="38"/>
      <c r="T494" s="38"/>
      <c r="U494" s="38"/>
      <c r="V494" s="38"/>
      <c r="W494" s="38"/>
      <c r="X494" s="38"/>
      <c r="Y494" s="38"/>
      <c r="Z494" s="38"/>
    </row>
    <row r="495" spans="6:26" ht="15" thickBot="1">
      <c r="F495" s="38"/>
      <c r="G495" s="38"/>
      <c r="H495" s="38"/>
      <c r="I495" s="38"/>
      <c r="J495" s="38"/>
      <c r="K495" s="38"/>
      <c r="L495" s="38"/>
      <c r="M495" s="38"/>
      <c r="N495" s="38"/>
      <c r="O495" s="38"/>
      <c r="P495" s="38"/>
      <c r="Q495" s="38"/>
      <c r="R495" s="38"/>
      <c r="S495" s="38"/>
      <c r="T495" s="38"/>
      <c r="U495" s="38"/>
      <c r="V495" s="38"/>
      <c r="W495" s="38"/>
      <c r="X495" s="38"/>
      <c r="Y495" s="38"/>
      <c r="Z495" s="38"/>
    </row>
    <row r="496" spans="6:26" ht="15" thickBot="1">
      <c r="F496" s="38"/>
      <c r="G496" s="38"/>
      <c r="H496" s="38"/>
      <c r="I496" s="38"/>
      <c r="J496" s="38"/>
      <c r="K496" s="38"/>
      <c r="L496" s="38"/>
      <c r="M496" s="38"/>
      <c r="N496" s="38"/>
      <c r="O496" s="38"/>
      <c r="P496" s="38"/>
      <c r="Q496" s="38"/>
      <c r="R496" s="38"/>
      <c r="S496" s="38"/>
      <c r="T496" s="38"/>
      <c r="U496" s="38"/>
      <c r="V496" s="38"/>
      <c r="W496" s="38"/>
      <c r="X496" s="38"/>
      <c r="Y496" s="38"/>
      <c r="Z496" s="38"/>
    </row>
    <row r="497" spans="6:26" ht="15" thickBot="1">
      <c r="F497" s="38"/>
      <c r="G497" s="38"/>
      <c r="H497" s="38"/>
      <c r="I497" s="38"/>
      <c r="J497" s="38"/>
      <c r="K497" s="38"/>
      <c r="L497" s="38"/>
      <c r="M497" s="38"/>
      <c r="N497" s="38"/>
      <c r="O497" s="38"/>
      <c r="P497" s="38"/>
      <c r="Q497" s="38"/>
      <c r="R497" s="38"/>
      <c r="S497" s="38"/>
      <c r="T497" s="38"/>
      <c r="U497" s="38"/>
      <c r="V497" s="38"/>
      <c r="W497" s="38"/>
      <c r="X497" s="38"/>
      <c r="Y497" s="38"/>
      <c r="Z497" s="38"/>
    </row>
    <row r="498" spans="6:26" ht="15" thickBot="1">
      <c r="F498" s="38"/>
      <c r="G498" s="38"/>
      <c r="H498" s="38"/>
      <c r="I498" s="38"/>
      <c r="J498" s="38"/>
      <c r="K498" s="38"/>
      <c r="L498" s="38"/>
      <c r="M498" s="38"/>
      <c r="N498" s="38"/>
      <c r="O498" s="38"/>
      <c r="P498" s="38"/>
      <c r="Q498" s="38"/>
      <c r="R498" s="38"/>
      <c r="S498" s="38"/>
      <c r="T498" s="38"/>
      <c r="U498" s="38"/>
      <c r="V498" s="38"/>
      <c r="W498" s="38"/>
      <c r="X498" s="38"/>
      <c r="Y498" s="38"/>
      <c r="Z498" s="38"/>
    </row>
    <row r="499" spans="6:26" ht="15" thickBot="1">
      <c r="F499" s="38"/>
      <c r="G499" s="38"/>
      <c r="H499" s="38"/>
      <c r="I499" s="38"/>
      <c r="J499" s="38"/>
      <c r="K499" s="38"/>
      <c r="L499" s="38"/>
      <c r="M499" s="38"/>
      <c r="N499" s="38"/>
      <c r="O499" s="38"/>
      <c r="P499" s="38"/>
      <c r="Q499" s="38"/>
      <c r="R499" s="38"/>
      <c r="S499" s="38"/>
      <c r="T499" s="38"/>
      <c r="U499" s="38"/>
      <c r="V499" s="38"/>
      <c r="W499" s="38"/>
      <c r="X499" s="38"/>
      <c r="Y499" s="38"/>
      <c r="Z499" s="38"/>
    </row>
    <row r="500" spans="6:26" ht="15" thickBot="1">
      <c r="F500" s="38"/>
      <c r="G500" s="38"/>
      <c r="H500" s="38"/>
      <c r="I500" s="38"/>
      <c r="J500" s="38"/>
      <c r="K500" s="38"/>
      <c r="L500" s="38"/>
      <c r="M500" s="38"/>
      <c r="N500" s="38"/>
      <c r="O500" s="38"/>
      <c r="P500" s="38"/>
      <c r="Q500" s="38"/>
      <c r="R500" s="38"/>
      <c r="S500" s="38"/>
      <c r="T500" s="38"/>
      <c r="U500" s="38"/>
      <c r="V500" s="38"/>
      <c r="W500" s="38"/>
      <c r="X500" s="38"/>
      <c r="Y500" s="38"/>
      <c r="Z500" s="38"/>
    </row>
    <row r="501" spans="6:26" ht="15" thickBot="1">
      <c r="F501" s="38"/>
      <c r="G501" s="38"/>
      <c r="H501" s="38"/>
      <c r="I501" s="38"/>
      <c r="J501" s="38"/>
      <c r="K501" s="38"/>
      <c r="L501" s="38"/>
      <c r="M501" s="38"/>
      <c r="N501" s="38"/>
      <c r="O501" s="38"/>
      <c r="P501" s="38"/>
      <c r="Q501" s="38"/>
      <c r="R501" s="38"/>
      <c r="S501" s="38"/>
      <c r="T501" s="38"/>
      <c r="U501" s="38"/>
      <c r="V501" s="38"/>
      <c r="W501" s="38"/>
      <c r="X501" s="38"/>
      <c r="Y501" s="38"/>
      <c r="Z501" s="38"/>
    </row>
    <row r="502" spans="6:26" ht="15" thickBot="1">
      <c r="F502" s="38"/>
      <c r="G502" s="38"/>
      <c r="H502" s="38"/>
      <c r="I502" s="38"/>
      <c r="J502" s="38"/>
      <c r="K502" s="38"/>
      <c r="L502" s="38"/>
      <c r="M502" s="38"/>
      <c r="N502" s="38"/>
      <c r="O502" s="38"/>
      <c r="P502" s="38"/>
      <c r="Q502" s="38"/>
      <c r="R502" s="38"/>
      <c r="S502" s="38"/>
      <c r="T502" s="38"/>
      <c r="U502" s="38"/>
      <c r="V502" s="38"/>
      <c r="W502" s="38"/>
      <c r="X502" s="38"/>
      <c r="Y502" s="38"/>
      <c r="Z502" s="38"/>
    </row>
    <row r="503" spans="6:26" ht="15" thickBot="1">
      <c r="F503" s="38"/>
      <c r="G503" s="38"/>
      <c r="H503" s="38"/>
      <c r="I503" s="38"/>
      <c r="J503" s="38"/>
      <c r="K503" s="38"/>
      <c r="L503" s="38"/>
      <c r="M503" s="38"/>
      <c r="N503" s="38"/>
      <c r="O503" s="38"/>
      <c r="P503" s="38"/>
      <c r="Q503" s="38"/>
      <c r="R503" s="38"/>
      <c r="S503" s="38"/>
      <c r="T503" s="38"/>
      <c r="U503" s="38"/>
      <c r="V503" s="38"/>
      <c r="W503" s="38"/>
      <c r="X503" s="38"/>
      <c r="Y503" s="38"/>
      <c r="Z503" s="38"/>
    </row>
    <row r="504" spans="6:26" ht="15" thickBot="1">
      <c r="F504" s="38"/>
      <c r="G504" s="38"/>
      <c r="H504" s="38"/>
      <c r="I504" s="38"/>
      <c r="J504" s="38"/>
      <c r="K504" s="38"/>
      <c r="L504" s="38"/>
      <c r="M504" s="38"/>
      <c r="N504" s="38"/>
      <c r="O504" s="38"/>
      <c r="P504" s="38"/>
      <c r="Q504" s="38"/>
      <c r="R504" s="38"/>
      <c r="S504" s="38"/>
      <c r="T504" s="38"/>
      <c r="U504" s="38"/>
      <c r="V504" s="38"/>
      <c r="W504" s="38"/>
      <c r="X504" s="38"/>
      <c r="Y504" s="38"/>
      <c r="Z504" s="38"/>
    </row>
    <row r="505" spans="6:26" ht="15" thickBot="1">
      <c r="F505" s="38"/>
      <c r="G505" s="38"/>
      <c r="H505" s="38"/>
      <c r="I505" s="38"/>
      <c r="J505" s="38"/>
      <c r="K505" s="38"/>
      <c r="L505" s="38"/>
      <c r="M505" s="38"/>
      <c r="N505" s="38"/>
      <c r="O505" s="38"/>
      <c r="P505" s="38"/>
      <c r="Q505" s="38"/>
      <c r="R505" s="38"/>
      <c r="S505" s="38"/>
      <c r="T505" s="38"/>
      <c r="U505" s="38"/>
      <c r="V505" s="38"/>
      <c r="W505" s="38"/>
      <c r="X505" s="38"/>
      <c r="Y505" s="38"/>
      <c r="Z505" s="38"/>
    </row>
    <row r="506" spans="6:26" ht="15" thickBot="1">
      <c r="F506" s="38"/>
      <c r="G506" s="38"/>
      <c r="H506" s="38"/>
      <c r="I506" s="38"/>
      <c r="J506" s="38"/>
      <c r="K506" s="38"/>
      <c r="L506" s="38"/>
      <c r="M506" s="38"/>
      <c r="N506" s="38"/>
      <c r="O506" s="38"/>
      <c r="P506" s="38"/>
      <c r="Q506" s="38"/>
      <c r="R506" s="38"/>
      <c r="S506" s="38"/>
      <c r="T506" s="38"/>
      <c r="U506" s="38"/>
      <c r="V506" s="38"/>
      <c r="W506" s="38"/>
      <c r="X506" s="38"/>
      <c r="Y506" s="38"/>
      <c r="Z506" s="38"/>
    </row>
    <row r="507" spans="6:26" ht="15" thickBot="1">
      <c r="F507" s="38"/>
      <c r="G507" s="38"/>
      <c r="H507" s="38"/>
      <c r="I507" s="38"/>
      <c r="J507" s="38"/>
      <c r="K507" s="38"/>
      <c r="L507" s="38"/>
      <c r="M507" s="38"/>
      <c r="N507" s="38"/>
      <c r="O507" s="38"/>
      <c r="P507" s="38"/>
      <c r="Q507" s="38"/>
      <c r="R507" s="38"/>
      <c r="S507" s="38"/>
      <c r="T507" s="38"/>
      <c r="U507" s="38"/>
      <c r="V507" s="38"/>
      <c r="W507" s="38"/>
      <c r="X507" s="38"/>
      <c r="Y507" s="38"/>
      <c r="Z507" s="38"/>
    </row>
    <row r="508" spans="6:26" ht="15" thickBot="1">
      <c r="F508" s="38"/>
      <c r="G508" s="38"/>
      <c r="H508" s="38"/>
      <c r="I508" s="38"/>
      <c r="J508" s="38"/>
      <c r="K508" s="38"/>
      <c r="L508" s="38"/>
      <c r="M508" s="38"/>
      <c r="N508" s="38"/>
      <c r="O508" s="38"/>
      <c r="P508" s="38"/>
      <c r="Q508" s="38"/>
      <c r="R508" s="38"/>
      <c r="S508" s="38"/>
      <c r="T508" s="38"/>
      <c r="U508" s="38"/>
      <c r="V508" s="38"/>
      <c r="W508" s="38"/>
      <c r="X508" s="38"/>
      <c r="Y508" s="38"/>
      <c r="Z508" s="38"/>
    </row>
    <row r="509" spans="6:26" ht="15" thickBot="1">
      <c r="F509" s="38"/>
      <c r="G509" s="38"/>
      <c r="H509" s="38"/>
      <c r="I509" s="38"/>
      <c r="J509" s="38"/>
      <c r="K509" s="38"/>
      <c r="L509" s="38"/>
      <c r="M509" s="38"/>
      <c r="N509" s="38"/>
      <c r="O509" s="38"/>
      <c r="P509" s="38"/>
      <c r="Q509" s="38"/>
      <c r="R509" s="38"/>
      <c r="S509" s="38"/>
      <c r="T509" s="38"/>
      <c r="U509" s="38"/>
      <c r="V509" s="38"/>
      <c r="W509" s="38"/>
      <c r="X509" s="38"/>
      <c r="Y509" s="38"/>
      <c r="Z509" s="38"/>
    </row>
    <row r="510" spans="6:26" ht="15" thickBot="1">
      <c r="F510" s="38"/>
      <c r="G510" s="38"/>
      <c r="H510" s="38"/>
      <c r="I510" s="38"/>
      <c r="J510" s="38"/>
      <c r="K510" s="38"/>
      <c r="L510" s="38"/>
      <c r="M510" s="38"/>
      <c r="N510" s="38"/>
      <c r="O510" s="38"/>
      <c r="P510" s="38"/>
      <c r="Q510" s="38"/>
      <c r="R510" s="38"/>
      <c r="S510" s="38"/>
      <c r="T510" s="38"/>
      <c r="U510" s="38"/>
      <c r="V510" s="38"/>
      <c r="W510" s="38"/>
      <c r="X510" s="38"/>
      <c r="Y510" s="38"/>
      <c r="Z510" s="38"/>
    </row>
    <row r="511" spans="6:26" ht="15" thickBot="1">
      <c r="F511" s="38"/>
      <c r="G511" s="38"/>
      <c r="H511" s="38"/>
      <c r="I511" s="38"/>
      <c r="J511" s="38"/>
      <c r="K511" s="38"/>
      <c r="L511" s="38"/>
      <c r="M511" s="38"/>
      <c r="N511" s="38"/>
      <c r="O511" s="38"/>
      <c r="P511" s="38"/>
      <c r="Q511" s="38"/>
      <c r="R511" s="38"/>
      <c r="S511" s="38"/>
      <c r="T511" s="38"/>
      <c r="U511" s="38"/>
      <c r="V511" s="38"/>
      <c r="W511" s="38"/>
      <c r="X511" s="38"/>
      <c r="Y511" s="38"/>
      <c r="Z511" s="38"/>
    </row>
    <row r="512" spans="6:26" ht="15" thickBot="1">
      <c r="F512" s="38"/>
      <c r="G512" s="38"/>
      <c r="H512" s="38"/>
      <c r="I512" s="38"/>
      <c r="J512" s="38"/>
      <c r="K512" s="38"/>
      <c r="L512" s="38"/>
      <c r="M512" s="38"/>
      <c r="N512" s="38"/>
      <c r="O512" s="38"/>
      <c r="P512" s="38"/>
      <c r="Q512" s="38"/>
      <c r="R512" s="38"/>
      <c r="S512" s="38"/>
      <c r="T512" s="38"/>
      <c r="U512" s="38"/>
      <c r="V512" s="38"/>
      <c r="W512" s="38"/>
      <c r="X512" s="38"/>
      <c r="Y512" s="38"/>
      <c r="Z512" s="38"/>
    </row>
    <row r="513" spans="6:26" ht="15" thickBot="1">
      <c r="F513" s="38"/>
      <c r="G513" s="38"/>
      <c r="H513" s="38"/>
      <c r="I513" s="38"/>
      <c r="J513" s="38"/>
      <c r="K513" s="38"/>
      <c r="L513" s="38"/>
      <c r="M513" s="38"/>
      <c r="N513" s="38"/>
      <c r="O513" s="38"/>
      <c r="P513" s="38"/>
      <c r="Q513" s="38"/>
      <c r="R513" s="38"/>
      <c r="S513" s="38"/>
      <c r="T513" s="38"/>
      <c r="U513" s="38"/>
      <c r="V513" s="38"/>
      <c r="W513" s="38"/>
      <c r="X513" s="38"/>
      <c r="Y513" s="38"/>
      <c r="Z513" s="38"/>
    </row>
    <row r="514" spans="6:26" ht="15" thickBot="1">
      <c r="F514" s="38"/>
      <c r="G514" s="38"/>
      <c r="H514" s="38"/>
      <c r="I514" s="38"/>
      <c r="J514" s="38"/>
      <c r="K514" s="38"/>
      <c r="L514" s="38"/>
      <c r="M514" s="38"/>
      <c r="N514" s="38"/>
      <c r="O514" s="38"/>
      <c r="P514" s="38"/>
      <c r="Q514" s="38"/>
      <c r="R514" s="38"/>
      <c r="S514" s="38"/>
      <c r="T514" s="38"/>
      <c r="U514" s="38"/>
      <c r="V514" s="38"/>
      <c r="W514" s="38"/>
      <c r="X514" s="38"/>
      <c r="Y514" s="38"/>
      <c r="Z514" s="38"/>
    </row>
    <row r="515" spans="6:26" ht="15" thickBot="1">
      <c r="F515" s="38"/>
      <c r="G515" s="38"/>
      <c r="H515" s="38"/>
      <c r="I515" s="38"/>
      <c r="J515" s="38"/>
      <c r="K515" s="38"/>
      <c r="L515" s="38"/>
      <c r="M515" s="38"/>
      <c r="N515" s="38"/>
      <c r="O515" s="38"/>
      <c r="P515" s="38"/>
      <c r="Q515" s="38"/>
      <c r="R515" s="38"/>
      <c r="S515" s="38"/>
      <c r="T515" s="38"/>
      <c r="U515" s="38"/>
      <c r="V515" s="38"/>
      <c r="W515" s="38"/>
      <c r="X515" s="38"/>
      <c r="Y515" s="38"/>
      <c r="Z515" s="38"/>
    </row>
    <row r="516" spans="6:26" ht="15" thickBot="1">
      <c r="F516" s="38"/>
      <c r="G516" s="38"/>
      <c r="H516" s="38"/>
      <c r="I516" s="38"/>
      <c r="J516" s="38"/>
      <c r="K516" s="38"/>
      <c r="L516" s="38"/>
      <c r="M516" s="38"/>
      <c r="N516" s="38"/>
      <c r="O516" s="38"/>
      <c r="P516" s="38"/>
      <c r="Q516" s="38"/>
      <c r="R516" s="38"/>
      <c r="S516" s="38"/>
      <c r="T516" s="38"/>
      <c r="U516" s="38"/>
      <c r="V516" s="38"/>
      <c r="W516" s="38"/>
      <c r="X516" s="38"/>
      <c r="Y516" s="38"/>
      <c r="Z516" s="38"/>
    </row>
    <row r="517" spans="6:26" ht="15" thickBot="1">
      <c r="F517" s="38"/>
      <c r="G517" s="38"/>
      <c r="H517" s="38"/>
      <c r="I517" s="38"/>
      <c r="J517" s="38"/>
      <c r="K517" s="38"/>
      <c r="L517" s="38"/>
      <c r="M517" s="38"/>
      <c r="N517" s="38"/>
      <c r="O517" s="38"/>
      <c r="P517" s="38"/>
      <c r="Q517" s="38"/>
      <c r="R517" s="38"/>
      <c r="S517" s="38"/>
      <c r="T517" s="38"/>
      <c r="U517" s="38"/>
      <c r="V517" s="38"/>
      <c r="W517" s="38"/>
      <c r="X517" s="38"/>
      <c r="Y517" s="38"/>
      <c r="Z517" s="38"/>
    </row>
    <row r="518" spans="6:26" ht="15" thickBot="1">
      <c r="F518" s="38"/>
      <c r="G518" s="38"/>
      <c r="H518" s="38"/>
      <c r="I518" s="38"/>
      <c r="J518" s="38"/>
      <c r="K518" s="38"/>
      <c r="L518" s="38"/>
      <c r="M518" s="38"/>
      <c r="N518" s="38"/>
      <c r="O518" s="38"/>
      <c r="P518" s="38"/>
      <c r="Q518" s="38"/>
      <c r="R518" s="38"/>
      <c r="S518" s="38"/>
      <c r="T518" s="38"/>
      <c r="U518" s="38"/>
      <c r="V518" s="38"/>
      <c r="W518" s="38"/>
      <c r="X518" s="38"/>
      <c r="Y518" s="38"/>
      <c r="Z518" s="38"/>
    </row>
    <row r="519" spans="6:26" ht="15" thickBot="1">
      <c r="F519" s="38"/>
      <c r="G519" s="38"/>
      <c r="H519" s="38"/>
      <c r="I519" s="38"/>
      <c r="J519" s="38"/>
      <c r="K519" s="38"/>
      <c r="L519" s="38"/>
      <c r="M519" s="38"/>
      <c r="N519" s="38"/>
      <c r="O519" s="38"/>
      <c r="P519" s="38"/>
      <c r="Q519" s="38"/>
      <c r="R519" s="38"/>
      <c r="S519" s="38"/>
      <c r="T519" s="38"/>
      <c r="U519" s="38"/>
      <c r="V519" s="38"/>
      <c r="W519" s="38"/>
      <c r="X519" s="38"/>
      <c r="Y519" s="38"/>
      <c r="Z519" s="38"/>
    </row>
    <row r="520" spans="6:26" ht="15" thickBot="1">
      <c r="F520" s="38"/>
      <c r="G520" s="38"/>
      <c r="H520" s="38"/>
      <c r="I520" s="38"/>
      <c r="J520" s="38"/>
      <c r="K520" s="38"/>
      <c r="L520" s="38"/>
      <c r="M520" s="38"/>
      <c r="N520" s="38"/>
      <c r="O520" s="38"/>
      <c r="P520" s="38"/>
      <c r="Q520" s="38"/>
      <c r="R520" s="38"/>
      <c r="S520" s="38"/>
      <c r="T520" s="38"/>
      <c r="U520" s="38"/>
      <c r="V520" s="38"/>
      <c r="W520" s="38"/>
      <c r="X520" s="38"/>
      <c r="Y520" s="38"/>
      <c r="Z520" s="38"/>
    </row>
    <row r="521" spans="6:26" ht="15" thickBot="1">
      <c r="F521" s="38"/>
      <c r="G521" s="38"/>
      <c r="H521" s="38"/>
      <c r="I521" s="38"/>
      <c r="J521" s="38"/>
      <c r="K521" s="38"/>
      <c r="L521" s="38"/>
      <c r="M521" s="38"/>
      <c r="N521" s="38"/>
      <c r="O521" s="38"/>
      <c r="P521" s="38"/>
      <c r="Q521" s="38"/>
      <c r="R521" s="38"/>
      <c r="S521" s="38"/>
      <c r="T521" s="38"/>
      <c r="U521" s="38"/>
      <c r="V521" s="38"/>
      <c r="W521" s="38"/>
      <c r="X521" s="38"/>
      <c r="Y521" s="38"/>
      <c r="Z521" s="38"/>
    </row>
    <row r="522" spans="6:26" ht="15" thickBot="1">
      <c r="F522" s="38"/>
      <c r="G522" s="38"/>
      <c r="H522" s="38"/>
      <c r="I522" s="38"/>
      <c r="J522" s="38"/>
      <c r="K522" s="38"/>
      <c r="L522" s="38"/>
      <c r="M522" s="38"/>
      <c r="N522" s="38"/>
      <c r="O522" s="38"/>
      <c r="P522" s="38"/>
      <c r="Q522" s="38"/>
      <c r="R522" s="38"/>
      <c r="S522" s="38"/>
      <c r="T522" s="38"/>
      <c r="U522" s="38"/>
      <c r="V522" s="38"/>
      <c r="W522" s="38"/>
      <c r="X522" s="38"/>
      <c r="Y522" s="38"/>
      <c r="Z522" s="38"/>
    </row>
    <row r="523" spans="6:26" ht="15" thickBot="1">
      <c r="F523" s="38"/>
      <c r="G523" s="38"/>
      <c r="H523" s="38"/>
      <c r="I523" s="38"/>
      <c r="J523" s="38"/>
      <c r="K523" s="38"/>
      <c r="L523" s="38"/>
      <c r="M523" s="38"/>
      <c r="N523" s="38"/>
      <c r="O523" s="38"/>
      <c r="P523" s="38"/>
      <c r="Q523" s="38"/>
      <c r="R523" s="38"/>
      <c r="S523" s="38"/>
      <c r="T523" s="38"/>
      <c r="U523" s="38"/>
      <c r="V523" s="38"/>
      <c r="W523" s="38"/>
      <c r="X523" s="38"/>
      <c r="Y523" s="38"/>
      <c r="Z523" s="38"/>
    </row>
    <row r="524" spans="6:26" ht="15" thickBot="1">
      <c r="F524" s="38"/>
      <c r="G524" s="38"/>
      <c r="H524" s="38"/>
      <c r="I524" s="38"/>
      <c r="J524" s="38"/>
      <c r="K524" s="38"/>
      <c r="L524" s="38"/>
      <c r="M524" s="38"/>
      <c r="N524" s="38"/>
      <c r="O524" s="38"/>
      <c r="P524" s="38"/>
      <c r="Q524" s="38"/>
      <c r="R524" s="38"/>
      <c r="S524" s="38"/>
      <c r="T524" s="38"/>
      <c r="U524" s="38"/>
      <c r="V524" s="38"/>
      <c r="W524" s="38"/>
      <c r="X524" s="38"/>
      <c r="Y524" s="38"/>
      <c r="Z524" s="38"/>
    </row>
    <row r="525" spans="6:26" ht="15" thickBot="1">
      <c r="F525" s="38"/>
      <c r="G525" s="38"/>
      <c r="H525" s="38"/>
      <c r="I525" s="38"/>
      <c r="J525" s="38"/>
      <c r="K525" s="38"/>
      <c r="L525" s="38"/>
      <c r="M525" s="38"/>
      <c r="N525" s="38"/>
      <c r="O525" s="38"/>
      <c r="P525" s="38"/>
      <c r="Q525" s="38"/>
      <c r="R525" s="38"/>
      <c r="S525" s="38"/>
      <c r="T525" s="38"/>
      <c r="U525" s="38"/>
      <c r="V525" s="38"/>
      <c r="W525" s="38"/>
      <c r="X525" s="38"/>
      <c r="Y525" s="38"/>
      <c r="Z525" s="38"/>
    </row>
    <row r="526" spans="6:26" ht="15" thickBot="1">
      <c r="F526" s="38"/>
      <c r="G526" s="38"/>
      <c r="H526" s="38"/>
      <c r="I526" s="38"/>
      <c r="J526" s="38"/>
      <c r="K526" s="38"/>
      <c r="L526" s="38"/>
      <c r="M526" s="38"/>
      <c r="N526" s="38"/>
      <c r="O526" s="38"/>
      <c r="P526" s="38"/>
      <c r="Q526" s="38"/>
      <c r="R526" s="38"/>
      <c r="S526" s="38"/>
      <c r="T526" s="38"/>
      <c r="U526" s="38"/>
      <c r="V526" s="38"/>
      <c r="W526" s="38"/>
      <c r="X526" s="38"/>
      <c r="Y526" s="38"/>
      <c r="Z526" s="38"/>
    </row>
    <row r="527" spans="6:26" ht="15" thickBot="1">
      <c r="F527" s="38"/>
      <c r="G527" s="38"/>
      <c r="H527" s="38"/>
      <c r="I527" s="38"/>
      <c r="J527" s="38"/>
      <c r="K527" s="38"/>
      <c r="L527" s="38"/>
      <c r="M527" s="38"/>
      <c r="N527" s="38"/>
      <c r="O527" s="38"/>
      <c r="P527" s="38"/>
      <c r="Q527" s="38"/>
      <c r="R527" s="38"/>
      <c r="S527" s="38"/>
      <c r="T527" s="38"/>
      <c r="U527" s="38"/>
      <c r="V527" s="38"/>
      <c r="W527" s="38"/>
      <c r="X527" s="38"/>
      <c r="Y527" s="38"/>
      <c r="Z527" s="38"/>
    </row>
    <row r="528" spans="6:26" ht="15" thickBot="1">
      <c r="F528" s="38"/>
      <c r="G528" s="38"/>
      <c r="H528" s="38"/>
      <c r="I528" s="38"/>
      <c r="J528" s="38"/>
      <c r="K528" s="38"/>
      <c r="L528" s="38"/>
      <c r="M528" s="38"/>
      <c r="N528" s="38"/>
      <c r="O528" s="38"/>
      <c r="P528" s="38"/>
      <c r="Q528" s="38"/>
      <c r="R528" s="38"/>
      <c r="S528" s="38"/>
      <c r="T528" s="38"/>
      <c r="U528" s="38"/>
      <c r="V528" s="38"/>
      <c r="W528" s="38"/>
      <c r="X528" s="38"/>
      <c r="Y528" s="38"/>
      <c r="Z528" s="38"/>
    </row>
    <row r="529" spans="6:26" ht="15" thickBot="1">
      <c r="F529" s="38"/>
      <c r="G529" s="38"/>
      <c r="H529" s="38"/>
      <c r="I529" s="38"/>
      <c r="J529" s="38"/>
      <c r="K529" s="38"/>
      <c r="L529" s="38"/>
      <c r="M529" s="38"/>
      <c r="N529" s="38"/>
      <c r="O529" s="38"/>
      <c r="P529" s="38"/>
      <c r="Q529" s="38"/>
      <c r="R529" s="38"/>
      <c r="S529" s="38"/>
      <c r="T529" s="38"/>
      <c r="U529" s="38"/>
      <c r="V529" s="38"/>
      <c r="W529" s="38"/>
      <c r="X529" s="38"/>
      <c r="Y529" s="38"/>
      <c r="Z529" s="38"/>
    </row>
    <row r="530" spans="6:26" ht="15" thickBot="1">
      <c r="F530" s="38"/>
      <c r="G530" s="38"/>
      <c r="H530" s="38"/>
      <c r="I530" s="38"/>
      <c r="J530" s="38"/>
      <c r="K530" s="38"/>
      <c r="L530" s="38"/>
      <c r="M530" s="38"/>
      <c r="N530" s="38"/>
      <c r="O530" s="38"/>
      <c r="P530" s="38"/>
      <c r="Q530" s="38"/>
      <c r="R530" s="38"/>
      <c r="S530" s="38"/>
      <c r="T530" s="38"/>
      <c r="U530" s="38"/>
      <c r="V530" s="38"/>
      <c r="W530" s="38"/>
      <c r="X530" s="38"/>
      <c r="Y530" s="38"/>
      <c r="Z530" s="38"/>
    </row>
    <row r="531" spans="6:26" ht="15" thickBot="1">
      <c r="F531" s="38"/>
      <c r="G531" s="38"/>
      <c r="H531" s="38"/>
      <c r="I531" s="38"/>
      <c r="J531" s="38"/>
      <c r="K531" s="38"/>
      <c r="L531" s="38"/>
      <c r="M531" s="38"/>
      <c r="N531" s="38"/>
      <c r="O531" s="38"/>
      <c r="P531" s="38"/>
      <c r="Q531" s="38"/>
      <c r="R531" s="38"/>
      <c r="S531" s="38"/>
      <c r="T531" s="38"/>
      <c r="U531" s="38"/>
      <c r="V531" s="38"/>
      <c r="W531" s="38"/>
      <c r="X531" s="38"/>
      <c r="Y531" s="38"/>
      <c r="Z531" s="38"/>
    </row>
    <row r="532" spans="6:26" ht="15" thickBot="1">
      <c r="F532" s="38"/>
      <c r="G532" s="38"/>
      <c r="H532" s="38"/>
      <c r="I532" s="38"/>
      <c r="J532" s="38"/>
      <c r="K532" s="38"/>
      <c r="L532" s="38"/>
      <c r="M532" s="38"/>
      <c r="N532" s="38"/>
      <c r="O532" s="38"/>
      <c r="P532" s="38"/>
      <c r="Q532" s="38"/>
      <c r="R532" s="38"/>
      <c r="S532" s="38"/>
      <c r="T532" s="38"/>
      <c r="U532" s="38"/>
      <c r="V532" s="38"/>
      <c r="W532" s="38"/>
      <c r="X532" s="38"/>
      <c r="Y532" s="38"/>
      <c r="Z532" s="38"/>
    </row>
    <row r="533" spans="6:26" ht="15" thickBot="1">
      <c r="F533" s="38"/>
      <c r="G533" s="38"/>
      <c r="H533" s="38"/>
      <c r="I533" s="38"/>
      <c r="J533" s="38"/>
      <c r="K533" s="38"/>
      <c r="L533" s="38"/>
      <c r="M533" s="38"/>
      <c r="N533" s="38"/>
      <c r="O533" s="38"/>
      <c r="P533" s="38"/>
      <c r="Q533" s="38"/>
      <c r="R533" s="38"/>
      <c r="S533" s="38"/>
      <c r="T533" s="38"/>
      <c r="U533" s="38"/>
      <c r="V533" s="38"/>
      <c r="W533" s="38"/>
      <c r="X533" s="38"/>
      <c r="Y533" s="38"/>
      <c r="Z533" s="38"/>
    </row>
    <row r="534" spans="6:26" ht="15" thickBot="1">
      <c r="F534" s="38"/>
      <c r="G534" s="38"/>
      <c r="H534" s="38"/>
      <c r="I534" s="38"/>
      <c r="J534" s="38"/>
      <c r="K534" s="38"/>
      <c r="L534" s="38"/>
      <c r="M534" s="38"/>
      <c r="N534" s="38"/>
      <c r="O534" s="38"/>
      <c r="P534" s="38"/>
      <c r="Q534" s="38"/>
      <c r="R534" s="38"/>
      <c r="S534" s="38"/>
      <c r="T534" s="38"/>
      <c r="U534" s="38"/>
      <c r="V534" s="38"/>
      <c r="W534" s="38"/>
      <c r="X534" s="38"/>
      <c r="Y534" s="38"/>
      <c r="Z534" s="38"/>
    </row>
    <row r="535" spans="6:26" ht="15" thickBot="1">
      <c r="F535" s="38"/>
      <c r="G535" s="38"/>
      <c r="H535" s="38"/>
      <c r="I535" s="38"/>
      <c r="J535" s="38"/>
      <c r="K535" s="38"/>
      <c r="L535" s="38"/>
      <c r="M535" s="38"/>
      <c r="N535" s="38"/>
      <c r="O535" s="38"/>
      <c r="P535" s="38"/>
      <c r="Q535" s="38"/>
      <c r="R535" s="38"/>
      <c r="S535" s="38"/>
      <c r="T535" s="38"/>
      <c r="U535" s="38"/>
      <c r="V535" s="38"/>
      <c r="W535" s="38"/>
      <c r="X535" s="38"/>
      <c r="Y535" s="38"/>
      <c r="Z535" s="38"/>
    </row>
    <row r="536" spans="6:26" ht="15" thickBot="1">
      <c r="F536" s="38"/>
      <c r="G536" s="38"/>
      <c r="H536" s="38"/>
      <c r="I536" s="38"/>
      <c r="J536" s="38"/>
      <c r="K536" s="38"/>
      <c r="L536" s="38"/>
      <c r="M536" s="38"/>
      <c r="N536" s="38"/>
      <c r="O536" s="38"/>
      <c r="P536" s="38"/>
      <c r="Q536" s="38"/>
      <c r="R536" s="38"/>
      <c r="S536" s="38"/>
      <c r="T536" s="38"/>
      <c r="U536" s="38"/>
      <c r="V536" s="38"/>
      <c r="W536" s="38"/>
      <c r="X536" s="38"/>
      <c r="Y536" s="38"/>
      <c r="Z536" s="38"/>
    </row>
    <row r="537" spans="6:26" ht="15" thickBot="1">
      <c r="F537" s="38"/>
      <c r="G537" s="38"/>
      <c r="H537" s="38"/>
      <c r="I537" s="38"/>
      <c r="J537" s="38"/>
      <c r="K537" s="38"/>
      <c r="L537" s="38"/>
      <c r="M537" s="38"/>
      <c r="N537" s="38"/>
      <c r="O537" s="38"/>
      <c r="P537" s="38"/>
      <c r="Q537" s="38"/>
      <c r="R537" s="38"/>
      <c r="S537" s="38"/>
      <c r="T537" s="38"/>
      <c r="U537" s="38"/>
      <c r="V537" s="38"/>
      <c r="W537" s="38"/>
      <c r="X537" s="38"/>
      <c r="Y537" s="38"/>
      <c r="Z537" s="38"/>
    </row>
    <row r="538" spans="6:26" ht="15" thickBot="1">
      <c r="F538" s="38"/>
      <c r="G538" s="38"/>
      <c r="H538" s="38"/>
      <c r="I538" s="38"/>
      <c r="J538" s="38"/>
      <c r="K538" s="38"/>
      <c r="L538" s="38"/>
      <c r="M538" s="38"/>
      <c r="N538" s="38"/>
      <c r="O538" s="38"/>
      <c r="P538" s="38"/>
      <c r="Q538" s="38"/>
      <c r="R538" s="38"/>
      <c r="S538" s="38"/>
      <c r="T538" s="38"/>
      <c r="U538" s="38"/>
      <c r="V538" s="38"/>
      <c r="W538" s="38"/>
      <c r="X538" s="38"/>
      <c r="Y538" s="38"/>
      <c r="Z538" s="38"/>
    </row>
    <row r="539" spans="6:26" ht="15" thickBot="1">
      <c r="F539" s="38"/>
      <c r="G539" s="38"/>
      <c r="H539" s="38"/>
      <c r="I539" s="38"/>
      <c r="J539" s="38"/>
      <c r="K539" s="38"/>
      <c r="L539" s="38"/>
      <c r="M539" s="38"/>
      <c r="N539" s="38"/>
      <c r="O539" s="38"/>
      <c r="P539" s="38"/>
      <c r="Q539" s="38"/>
      <c r="R539" s="38"/>
      <c r="S539" s="38"/>
      <c r="T539" s="38"/>
      <c r="U539" s="38"/>
      <c r="V539" s="38"/>
      <c r="W539" s="38"/>
      <c r="X539" s="38"/>
      <c r="Y539" s="38"/>
      <c r="Z539" s="38"/>
    </row>
    <row r="540" spans="6:26" ht="15" thickBot="1">
      <c r="F540" s="38"/>
      <c r="G540" s="38"/>
      <c r="H540" s="38"/>
      <c r="I540" s="38"/>
      <c r="J540" s="38"/>
      <c r="K540" s="38"/>
      <c r="L540" s="38"/>
      <c r="M540" s="38"/>
      <c r="N540" s="38"/>
      <c r="O540" s="38"/>
      <c r="P540" s="38"/>
      <c r="Q540" s="38"/>
      <c r="R540" s="38"/>
      <c r="S540" s="38"/>
      <c r="T540" s="38"/>
      <c r="U540" s="38"/>
      <c r="V540" s="38"/>
      <c r="W540" s="38"/>
      <c r="X540" s="38"/>
      <c r="Y540" s="38"/>
      <c r="Z540" s="38"/>
    </row>
    <row r="541" spans="6:26" ht="15" thickBot="1">
      <c r="F541" s="38"/>
      <c r="G541" s="38"/>
      <c r="H541" s="38"/>
      <c r="I541" s="38"/>
      <c r="J541" s="38"/>
      <c r="K541" s="38"/>
      <c r="L541" s="38"/>
      <c r="M541" s="38"/>
      <c r="N541" s="38"/>
      <c r="O541" s="38"/>
      <c r="P541" s="38"/>
      <c r="Q541" s="38"/>
      <c r="R541" s="38"/>
      <c r="S541" s="38"/>
      <c r="T541" s="38"/>
      <c r="U541" s="38"/>
      <c r="V541" s="38"/>
      <c r="W541" s="38"/>
      <c r="X541" s="38"/>
      <c r="Y541" s="38"/>
      <c r="Z541" s="38"/>
    </row>
    <row r="542" spans="6:26" ht="15" thickBot="1">
      <c r="F542" s="38"/>
      <c r="G542" s="38"/>
      <c r="H542" s="38"/>
      <c r="I542" s="38"/>
      <c r="J542" s="38"/>
      <c r="K542" s="38"/>
      <c r="L542" s="38"/>
      <c r="M542" s="38"/>
      <c r="N542" s="38"/>
      <c r="O542" s="38"/>
      <c r="P542" s="38"/>
      <c r="Q542" s="38"/>
      <c r="R542" s="38"/>
      <c r="S542" s="38"/>
      <c r="T542" s="38"/>
      <c r="U542" s="38"/>
      <c r="V542" s="38"/>
      <c r="W542" s="38"/>
      <c r="X542" s="38"/>
      <c r="Y542" s="38"/>
      <c r="Z542" s="38"/>
    </row>
    <row r="543" spans="6:26" ht="15" thickBot="1">
      <c r="F543" s="38"/>
      <c r="G543" s="38"/>
      <c r="H543" s="38"/>
      <c r="I543" s="38"/>
      <c r="J543" s="38"/>
      <c r="K543" s="38"/>
      <c r="L543" s="38"/>
      <c r="M543" s="38"/>
      <c r="N543" s="38"/>
      <c r="O543" s="38"/>
      <c r="P543" s="38"/>
      <c r="Q543" s="38"/>
      <c r="R543" s="38"/>
      <c r="S543" s="38"/>
      <c r="T543" s="38"/>
      <c r="U543" s="38"/>
      <c r="V543" s="38"/>
      <c r="W543" s="38"/>
      <c r="X543" s="38"/>
      <c r="Y543" s="38"/>
      <c r="Z543" s="38"/>
    </row>
    <row r="544" spans="6:26" ht="15" thickBot="1">
      <c r="F544" s="38"/>
      <c r="G544" s="38"/>
      <c r="H544" s="38"/>
      <c r="I544" s="38"/>
      <c r="J544" s="38"/>
      <c r="K544" s="38"/>
      <c r="L544" s="38"/>
      <c r="M544" s="38"/>
      <c r="N544" s="38"/>
      <c r="O544" s="38"/>
      <c r="P544" s="38"/>
      <c r="Q544" s="38"/>
      <c r="R544" s="38"/>
      <c r="S544" s="38"/>
      <c r="T544" s="38"/>
      <c r="U544" s="38"/>
      <c r="V544" s="38"/>
      <c r="W544" s="38"/>
      <c r="X544" s="38"/>
      <c r="Y544" s="38"/>
      <c r="Z544" s="38"/>
    </row>
    <row r="545" spans="6:26" ht="15" thickBot="1">
      <c r="F545" s="38"/>
      <c r="G545" s="38"/>
      <c r="H545" s="38"/>
      <c r="I545" s="38"/>
      <c r="J545" s="38"/>
      <c r="K545" s="38"/>
      <c r="L545" s="38"/>
      <c r="M545" s="38"/>
      <c r="N545" s="38"/>
      <c r="O545" s="38"/>
      <c r="P545" s="38"/>
      <c r="Q545" s="38"/>
      <c r="R545" s="38"/>
      <c r="S545" s="38"/>
      <c r="T545" s="38"/>
      <c r="U545" s="38"/>
      <c r="V545" s="38"/>
      <c r="W545" s="38"/>
      <c r="X545" s="38"/>
      <c r="Y545" s="38"/>
      <c r="Z545" s="38"/>
    </row>
    <row r="546" spans="6:26" ht="15" thickBot="1">
      <c r="F546" s="38"/>
      <c r="G546" s="38"/>
      <c r="H546" s="38"/>
      <c r="I546" s="38"/>
      <c r="J546" s="38"/>
      <c r="K546" s="38"/>
      <c r="L546" s="38"/>
      <c r="M546" s="38"/>
      <c r="N546" s="38"/>
      <c r="O546" s="38"/>
      <c r="P546" s="38"/>
      <c r="Q546" s="38"/>
      <c r="R546" s="38"/>
      <c r="S546" s="38"/>
      <c r="T546" s="38"/>
      <c r="U546" s="38"/>
      <c r="V546" s="38"/>
      <c r="W546" s="38"/>
      <c r="X546" s="38"/>
      <c r="Y546" s="38"/>
      <c r="Z546" s="38"/>
    </row>
    <row r="547" spans="6:26" ht="15" thickBot="1">
      <c r="F547" s="38"/>
      <c r="G547" s="38"/>
      <c r="H547" s="38"/>
      <c r="I547" s="38"/>
      <c r="J547" s="38"/>
      <c r="K547" s="38"/>
      <c r="L547" s="38"/>
      <c r="M547" s="38"/>
      <c r="N547" s="38"/>
      <c r="O547" s="38"/>
      <c r="P547" s="38"/>
      <c r="Q547" s="38"/>
      <c r="R547" s="38"/>
      <c r="S547" s="38"/>
      <c r="T547" s="38"/>
      <c r="U547" s="38"/>
      <c r="V547" s="38"/>
      <c r="W547" s="38"/>
      <c r="X547" s="38"/>
      <c r="Y547" s="38"/>
      <c r="Z547" s="38"/>
    </row>
    <row r="548" spans="6:26" ht="15" thickBot="1">
      <c r="F548" s="38"/>
      <c r="G548" s="38"/>
      <c r="H548" s="38"/>
      <c r="I548" s="38"/>
      <c r="J548" s="38"/>
      <c r="K548" s="38"/>
      <c r="L548" s="38"/>
      <c r="M548" s="38"/>
      <c r="N548" s="38"/>
      <c r="O548" s="38"/>
      <c r="P548" s="38"/>
      <c r="Q548" s="38"/>
      <c r="R548" s="38"/>
      <c r="S548" s="38"/>
      <c r="T548" s="38"/>
      <c r="U548" s="38"/>
      <c r="V548" s="38"/>
      <c r="W548" s="38"/>
      <c r="X548" s="38"/>
      <c r="Y548" s="38"/>
      <c r="Z548" s="38"/>
    </row>
    <row r="549" spans="6:26" ht="15" thickBot="1">
      <c r="F549" s="38"/>
      <c r="G549" s="38"/>
      <c r="H549" s="38"/>
      <c r="I549" s="38"/>
      <c r="J549" s="38"/>
      <c r="K549" s="38"/>
      <c r="L549" s="38"/>
      <c r="M549" s="38"/>
      <c r="N549" s="38"/>
      <c r="O549" s="38"/>
      <c r="P549" s="38"/>
      <c r="Q549" s="38"/>
      <c r="R549" s="38"/>
      <c r="S549" s="38"/>
      <c r="T549" s="38"/>
      <c r="U549" s="38"/>
      <c r="V549" s="38"/>
      <c r="W549" s="38"/>
      <c r="X549" s="38"/>
      <c r="Y549" s="38"/>
      <c r="Z549" s="38"/>
    </row>
    <row r="550" spans="6:26" ht="15" thickBot="1">
      <c r="F550" s="38"/>
      <c r="G550" s="38"/>
      <c r="H550" s="38"/>
      <c r="I550" s="38"/>
      <c r="J550" s="38"/>
      <c r="K550" s="38"/>
      <c r="L550" s="38"/>
      <c r="M550" s="38"/>
      <c r="N550" s="38"/>
      <c r="O550" s="38"/>
      <c r="P550" s="38"/>
      <c r="Q550" s="38"/>
      <c r="R550" s="38"/>
      <c r="S550" s="38"/>
      <c r="T550" s="38"/>
      <c r="U550" s="38"/>
      <c r="V550" s="38"/>
      <c r="W550" s="38"/>
      <c r="X550" s="38"/>
      <c r="Y550" s="38"/>
      <c r="Z550" s="38"/>
    </row>
    <row r="551" spans="6:26" ht="15" thickBot="1">
      <c r="F551" s="38"/>
      <c r="G551" s="38"/>
      <c r="H551" s="38"/>
      <c r="I551" s="38"/>
      <c r="J551" s="38"/>
      <c r="K551" s="38"/>
      <c r="L551" s="38"/>
      <c r="M551" s="38"/>
      <c r="N551" s="38"/>
      <c r="O551" s="38"/>
      <c r="P551" s="38"/>
      <c r="Q551" s="38"/>
      <c r="R551" s="38"/>
      <c r="S551" s="38"/>
      <c r="T551" s="38"/>
      <c r="U551" s="38"/>
      <c r="V551" s="38"/>
      <c r="W551" s="38"/>
      <c r="X551" s="38"/>
      <c r="Y551" s="38"/>
      <c r="Z551" s="38"/>
    </row>
    <row r="552" spans="6:26" ht="15" thickBot="1">
      <c r="F552" s="38"/>
      <c r="G552" s="38"/>
      <c r="H552" s="38"/>
      <c r="I552" s="38"/>
      <c r="J552" s="38"/>
      <c r="K552" s="38"/>
      <c r="L552" s="38"/>
      <c r="M552" s="38"/>
      <c r="N552" s="38"/>
      <c r="O552" s="38"/>
      <c r="P552" s="38"/>
      <c r="Q552" s="38"/>
      <c r="R552" s="38"/>
      <c r="S552" s="38"/>
      <c r="T552" s="38"/>
      <c r="U552" s="38"/>
      <c r="V552" s="38"/>
      <c r="W552" s="38"/>
      <c r="X552" s="38"/>
      <c r="Y552" s="38"/>
      <c r="Z552" s="38"/>
    </row>
    <row r="553" spans="6:26" ht="15" thickBot="1">
      <c r="F553" s="38"/>
      <c r="G553" s="38"/>
      <c r="H553" s="38"/>
      <c r="I553" s="38"/>
      <c r="J553" s="38"/>
      <c r="K553" s="38"/>
      <c r="L553" s="38"/>
      <c r="M553" s="38"/>
      <c r="N553" s="38"/>
      <c r="O553" s="38"/>
      <c r="P553" s="38"/>
      <c r="Q553" s="38"/>
      <c r="R553" s="38"/>
      <c r="S553" s="38"/>
      <c r="T553" s="38"/>
      <c r="U553" s="38"/>
      <c r="V553" s="38"/>
      <c r="W553" s="38"/>
      <c r="X553" s="38"/>
      <c r="Y553" s="38"/>
      <c r="Z553" s="38"/>
    </row>
    <row r="554" spans="6:26" ht="15" thickBot="1">
      <c r="F554" s="38"/>
      <c r="G554" s="38"/>
      <c r="H554" s="38"/>
      <c r="I554" s="38"/>
      <c r="J554" s="38"/>
      <c r="K554" s="38"/>
      <c r="L554" s="38"/>
      <c r="M554" s="38"/>
      <c r="N554" s="38"/>
      <c r="O554" s="38"/>
      <c r="P554" s="38"/>
      <c r="Q554" s="38"/>
      <c r="R554" s="38"/>
      <c r="S554" s="38"/>
      <c r="T554" s="38"/>
      <c r="U554" s="38"/>
      <c r="V554" s="38"/>
      <c r="W554" s="38"/>
      <c r="X554" s="38"/>
      <c r="Y554" s="38"/>
      <c r="Z554" s="38"/>
    </row>
    <row r="555" spans="6:26" ht="15" thickBot="1">
      <c r="F555" s="38"/>
      <c r="G555" s="38"/>
      <c r="H555" s="38"/>
      <c r="I555" s="38"/>
      <c r="J555" s="38"/>
      <c r="K555" s="38"/>
      <c r="L555" s="38"/>
      <c r="M555" s="38"/>
      <c r="N555" s="38"/>
      <c r="O555" s="38"/>
      <c r="P555" s="38"/>
      <c r="Q555" s="38"/>
      <c r="R555" s="38"/>
      <c r="S555" s="38"/>
      <c r="T555" s="38"/>
      <c r="U555" s="38"/>
      <c r="V555" s="38"/>
      <c r="W555" s="38"/>
      <c r="X555" s="38"/>
      <c r="Y555" s="38"/>
      <c r="Z555" s="38"/>
    </row>
    <row r="556" spans="6:26" ht="15" thickBot="1">
      <c r="F556" s="38"/>
      <c r="G556" s="38"/>
      <c r="H556" s="38"/>
      <c r="I556" s="38"/>
      <c r="J556" s="38"/>
      <c r="K556" s="38"/>
      <c r="L556" s="38"/>
      <c r="M556" s="38"/>
      <c r="N556" s="38"/>
      <c r="O556" s="38"/>
      <c r="P556" s="38"/>
      <c r="Q556" s="38"/>
      <c r="R556" s="38"/>
      <c r="S556" s="38"/>
      <c r="T556" s="38"/>
      <c r="U556" s="38"/>
      <c r="V556" s="38"/>
      <c r="W556" s="38"/>
      <c r="X556" s="38"/>
      <c r="Y556" s="38"/>
      <c r="Z556" s="38"/>
    </row>
    <row r="557" spans="6:26" ht="15" thickBot="1">
      <c r="F557" s="38"/>
      <c r="G557" s="38"/>
      <c r="H557" s="38"/>
      <c r="I557" s="38"/>
      <c r="J557" s="38"/>
      <c r="K557" s="38"/>
      <c r="L557" s="38"/>
      <c r="M557" s="38"/>
      <c r="N557" s="38"/>
      <c r="O557" s="38"/>
      <c r="P557" s="38"/>
      <c r="Q557" s="38"/>
      <c r="R557" s="38"/>
      <c r="S557" s="38"/>
      <c r="T557" s="38"/>
      <c r="U557" s="38"/>
      <c r="V557" s="38"/>
      <c r="W557" s="38"/>
      <c r="X557" s="38"/>
      <c r="Y557" s="38"/>
      <c r="Z557" s="38"/>
    </row>
    <row r="558" spans="6:26" ht="15" thickBot="1">
      <c r="F558" s="38"/>
      <c r="G558" s="38"/>
      <c r="H558" s="38"/>
      <c r="I558" s="38"/>
      <c r="J558" s="38"/>
      <c r="K558" s="38"/>
      <c r="L558" s="38"/>
      <c r="M558" s="38"/>
      <c r="N558" s="38"/>
      <c r="O558" s="38"/>
      <c r="P558" s="38"/>
      <c r="Q558" s="38"/>
      <c r="R558" s="38"/>
      <c r="S558" s="38"/>
      <c r="T558" s="38"/>
      <c r="U558" s="38"/>
      <c r="V558" s="38"/>
      <c r="W558" s="38"/>
      <c r="X558" s="38"/>
      <c r="Y558" s="38"/>
      <c r="Z558" s="38"/>
    </row>
    <row r="559" spans="6:26" ht="15" thickBot="1">
      <c r="F559" s="38"/>
      <c r="G559" s="38"/>
      <c r="H559" s="38"/>
      <c r="I559" s="38"/>
      <c r="J559" s="38"/>
      <c r="K559" s="38"/>
      <c r="L559" s="38"/>
      <c r="M559" s="38"/>
      <c r="N559" s="38"/>
      <c r="O559" s="38"/>
      <c r="P559" s="38"/>
      <c r="Q559" s="38"/>
      <c r="R559" s="38"/>
      <c r="S559" s="38"/>
      <c r="T559" s="38"/>
      <c r="U559" s="38"/>
      <c r="V559" s="38"/>
      <c r="W559" s="38"/>
      <c r="X559" s="38"/>
      <c r="Y559" s="38"/>
      <c r="Z559" s="38"/>
    </row>
    <row r="560" spans="6:26" ht="15" thickBot="1">
      <c r="F560" s="38"/>
      <c r="G560" s="38"/>
      <c r="H560" s="38"/>
      <c r="I560" s="38"/>
      <c r="J560" s="38"/>
      <c r="K560" s="38"/>
      <c r="L560" s="38"/>
      <c r="M560" s="38"/>
      <c r="N560" s="38"/>
      <c r="O560" s="38"/>
      <c r="P560" s="38"/>
      <c r="Q560" s="38"/>
      <c r="R560" s="38"/>
      <c r="S560" s="38"/>
      <c r="T560" s="38"/>
      <c r="U560" s="38"/>
      <c r="V560" s="38"/>
      <c r="W560" s="38"/>
      <c r="X560" s="38"/>
      <c r="Y560" s="38"/>
      <c r="Z560" s="38"/>
    </row>
    <row r="561" spans="6:26" ht="15" thickBot="1">
      <c r="F561" s="38"/>
      <c r="G561" s="38"/>
      <c r="H561" s="38"/>
      <c r="I561" s="38"/>
      <c r="J561" s="38"/>
      <c r="K561" s="38"/>
      <c r="L561" s="38"/>
      <c r="M561" s="38"/>
      <c r="N561" s="38"/>
      <c r="O561" s="38"/>
      <c r="P561" s="38"/>
      <c r="Q561" s="38"/>
      <c r="R561" s="38"/>
      <c r="S561" s="38"/>
      <c r="T561" s="38"/>
      <c r="U561" s="38"/>
      <c r="V561" s="38"/>
      <c r="W561" s="38"/>
      <c r="X561" s="38"/>
      <c r="Y561" s="38"/>
      <c r="Z561" s="38"/>
    </row>
    <row r="562" spans="6:26" ht="15" thickBot="1">
      <c r="F562" s="38"/>
      <c r="G562" s="38"/>
      <c r="H562" s="38"/>
      <c r="I562" s="38"/>
      <c r="J562" s="38"/>
      <c r="K562" s="38"/>
      <c r="L562" s="38"/>
      <c r="M562" s="38"/>
      <c r="N562" s="38"/>
      <c r="O562" s="38"/>
      <c r="P562" s="38"/>
      <c r="Q562" s="38"/>
      <c r="R562" s="38"/>
      <c r="S562" s="38"/>
      <c r="T562" s="38"/>
      <c r="U562" s="38"/>
      <c r="V562" s="38"/>
      <c r="W562" s="38"/>
      <c r="X562" s="38"/>
      <c r="Y562" s="38"/>
      <c r="Z562" s="38"/>
    </row>
    <row r="563" spans="6:26" ht="15" thickBot="1">
      <c r="F563" s="38"/>
      <c r="G563" s="38"/>
      <c r="H563" s="38"/>
      <c r="I563" s="38"/>
      <c r="J563" s="38"/>
      <c r="K563" s="38"/>
      <c r="L563" s="38"/>
      <c r="M563" s="38"/>
      <c r="N563" s="38"/>
      <c r="O563" s="38"/>
      <c r="P563" s="38"/>
      <c r="Q563" s="38"/>
      <c r="R563" s="38"/>
      <c r="S563" s="38"/>
      <c r="T563" s="38"/>
      <c r="U563" s="38"/>
      <c r="V563" s="38"/>
      <c r="W563" s="38"/>
      <c r="X563" s="38"/>
      <c r="Y563" s="38"/>
      <c r="Z563" s="38"/>
    </row>
    <row r="564" spans="6:26" ht="15" thickBot="1">
      <c r="F564" s="38"/>
      <c r="G564" s="38"/>
      <c r="H564" s="38"/>
      <c r="I564" s="38"/>
      <c r="J564" s="38"/>
      <c r="K564" s="38"/>
      <c r="L564" s="38"/>
      <c r="M564" s="38"/>
      <c r="N564" s="38"/>
      <c r="O564" s="38"/>
      <c r="P564" s="38"/>
      <c r="Q564" s="38"/>
      <c r="R564" s="38"/>
      <c r="S564" s="38"/>
      <c r="T564" s="38"/>
      <c r="U564" s="38"/>
      <c r="V564" s="38"/>
      <c r="W564" s="38"/>
      <c r="X564" s="38"/>
      <c r="Y564" s="38"/>
      <c r="Z564" s="38"/>
    </row>
    <row r="565" spans="6:26" ht="15" thickBot="1">
      <c r="F565" s="38"/>
      <c r="G565" s="38"/>
      <c r="H565" s="38"/>
      <c r="I565" s="38"/>
      <c r="J565" s="38"/>
      <c r="K565" s="38"/>
      <c r="L565" s="38"/>
      <c r="M565" s="38"/>
      <c r="N565" s="38"/>
      <c r="O565" s="38"/>
      <c r="P565" s="38"/>
      <c r="Q565" s="38"/>
      <c r="R565" s="38"/>
      <c r="S565" s="38"/>
      <c r="T565" s="38"/>
      <c r="U565" s="38"/>
      <c r="V565" s="38"/>
      <c r="W565" s="38"/>
      <c r="X565" s="38"/>
      <c r="Y565" s="38"/>
      <c r="Z565" s="38"/>
    </row>
    <row r="566" spans="6:26" ht="15" thickBot="1">
      <c r="F566" s="38"/>
      <c r="G566" s="38"/>
      <c r="H566" s="38"/>
      <c r="I566" s="38"/>
      <c r="J566" s="38"/>
      <c r="K566" s="38"/>
      <c r="L566" s="38"/>
      <c r="M566" s="38"/>
      <c r="N566" s="38"/>
      <c r="O566" s="38"/>
      <c r="P566" s="38"/>
      <c r="Q566" s="38"/>
      <c r="R566" s="38"/>
      <c r="S566" s="38"/>
      <c r="T566" s="38"/>
      <c r="U566" s="38"/>
      <c r="V566" s="38"/>
      <c r="W566" s="38"/>
      <c r="X566" s="38"/>
      <c r="Y566" s="38"/>
      <c r="Z566" s="38"/>
    </row>
    <row r="567" spans="6:26" ht="15" thickBot="1">
      <c r="F567" s="38"/>
      <c r="G567" s="38"/>
      <c r="H567" s="38"/>
      <c r="I567" s="38"/>
      <c r="J567" s="38"/>
      <c r="K567" s="38"/>
      <c r="L567" s="38"/>
      <c r="M567" s="38"/>
      <c r="N567" s="38"/>
      <c r="O567" s="38"/>
      <c r="P567" s="38"/>
      <c r="Q567" s="38"/>
      <c r="R567" s="38"/>
      <c r="S567" s="38"/>
      <c r="T567" s="38"/>
      <c r="U567" s="38"/>
      <c r="V567" s="38"/>
      <c r="W567" s="38"/>
      <c r="X567" s="38"/>
      <c r="Y567" s="38"/>
      <c r="Z567" s="38"/>
    </row>
    <row r="568" spans="6:26" ht="15" thickBot="1">
      <c r="F568" s="38"/>
      <c r="G568" s="38"/>
      <c r="H568" s="38"/>
      <c r="I568" s="38"/>
      <c r="J568" s="38"/>
      <c r="K568" s="38"/>
      <c r="L568" s="38"/>
      <c r="M568" s="38"/>
      <c r="N568" s="38"/>
      <c r="O568" s="38"/>
      <c r="P568" s="38"/>
      <c r="Q568" s="38"/>
      <c r="R568" s="38"/>
      <c r="S568" s="38"/>
      <c r="T568" s="38"/>
      <c r="U568" s="38"/>
      <c r="V568" s="38"/>
      <c r="W568" s="38"/>
      <c r="X568" s="38"/>
      <c r="Y568" s="38"/>
      <c r="Z568" s="38"/>
    </row>
    <row r="569" spans="6:26" ht="15" thickBot="1">
      <c r="F569" s="38"/>
      <c r="G569" s="38"/>
      <c r="H569" s="38"/>
      <c r="I569" s="38"/>
      <c r="J569" s="38"/>
      <c r="K569" s="38"/>
      <c r="L569" s="38"/>
      <c r="M569" s="38"/>
      <c r="N569" s="38"/>
      <c r="O569" s="38"/>
      <c r="P569" s="38"/>
      <c r="Q569" s="38"/>
      <c r="R569" s="38"/>
      <c r="S569" s="38"/>
      <c r="T569" s="38"/>
      <c r="U569" s="38"/>
      <c r="V569" s="38"/>
      <c r="W569" s="38"/>
      <c r="X569" s="38"/>
      <c r="Y569" s="38"/>
      <c r="Z569" s="38"/>
    </row>
    <row r="570" spans="6:26" ht="15" thickBot="1">
      <c r="F570" s="38"/>
      <c r="G570" s="38"/>
      <c r="H570" s="38"/>
      <c r="I570" s="38"/>
      <c r="J570" s="38"/>
      <c r="K570" s="38"/>
      <c r="L570" s="38"/>
      <c r="M570" s="38"/>
      <c r="N570" s="38"/>
      <c r="O570" s="38"/>
      <c r="P570" s="38"/>
      <c r="Q570" s="38"/>
      <c r="R570" s="38"/>
      <c r="S570" s="38"/>
      <c r="T570" s="38"/>
      <c r="U570" s="38"/>
      <c r="V570" s="38"/>
      <c r="W570" s="38"/>
      <c r="X570" s="38"/>
      <c r="Y570" s="38"/>
      <c r="Z570" s="38"/>
    </row>
    <row r="571" spans="6:26" ht="15" thickBot="1">
      <c r="F571" s="38"/>
      <c r="G571" s="38"/>
      <c r="H571" s="38"/>
      <c r="I571" s="38"/>
      <c r="J571" s="38"/>
      <c r="K571" s="38"/>
      <c r="L571" s="38"/>
      <c r="M571" s="38"/>
      <c r="N571" s="38"/>
      <c r="O571" s="38"/>
      <c r="P571" s="38"/>
      <c r="Q571" s="38"/>
      <c r="R571" s="38"/>
      <c r="S571" s="38"/>
      <c r="T571" s="38"/>
      <c r="U571" s="38"/>
      <c r="V571" s="38"/>
      <c r="W571" s="38"/>
      <c r="X571" s="38"/>
      <c r="Y571" s="38"/>
      <c r="Z571" s="38"/>
    </row>
    <row r="572" spans="6:26" ht="15" thickBot="1">
      <c r="F572" s="38"/>
      <c r="G572" s="38"/>
      <c r="H572" s="38"/>
      <c r="I572" s="38"/>
      <c r="J572" s="38"/>
      <c r="K572" s="38"/>
      <c r="L572" s="38"/>
      <c r="M572" s="38"/>
      <c r="N572" s="38"/>
      <c r="O572" s="38"/>
      <c r="P572" s="38"/>
      <c r="Q572" s="38"/>
      <c r="R572" s="38"/>
      <c r="S572" s="38"/>
      <c r="T572" s="38"/>
      <c r="U572" s="38"/>
      <c r="V572" s="38"/>
      <c r="W572" s="38"/>
      <c r="X572" s="38"/>
      <c r="Y572" s="38"/>
      <c r="Z572" s="38"/>
    </row>
    <row r="573" spans="6:26" ht="15" thickBot="1">
      <c r="F573" s="38"/>
      <c r="G573" s="38"/>
      <c r="H573" s="38"/>
      <c r="I573" s="38"/>
      <c r="J573" s="38"/>
      <c r="K573" s="38"/>
      <c r="L573" s="38"/>
      <c r="M573" s="38"/>
      <c r="N573" s="38"/>
      <c r="O573" s="38"/>
      <c r="P573" s="38"/>
      <c r="Q573" s="38"/>
      <c r="R573" s="38"/>
      <c r="S573" s="38"/>
      <c r="T573" s="38"/>
      <c r="U573" s="38"/>
      <c r="V573" s="38"/>
      <c r="W573" s="38"/>
      <c r="X573" s="38"/>
      <c r="Y573" s="38"/>
      <c r="Z573" s="38"/>
    </row>
    <row r="574" spans="6:26" ht="15" thickBot="1">
      <c r="F574" s="38"/>
      <c r="G574" s="38"/>
      <c r="H574" s="38"/>
      <c r="I574" s="38"/>
      <c r="J574" s="38"/>
      <c r="K574" s="38"/>
      <c r="L574" s="38"/>
      <c r="M574" s="38"/>
      <c r="N574" s="38"/>
      <c r="O574" s="38"/>
      <c r="P574" s="38"/>
      <c r="Q574" s="38"/>
      <c r="R574" s="38"/>
      <c r="S574" s="38"/>
      <c r="T574" s="38"/>
      <c r="U574" s="38"/>
      <c r="V574" s="38"/>
      <c r="W574" s="38"/>
      <c r="X574" s="38"/>
      <c r="Y574" s="38"/>
      <c r="Z574" s="38"/>
    </row>
    <row r="575" spans="6:26" ht="15" thickBot="1">
      <c r="F575" s="38"/>
      <c r="G575" s="38"/>
      <c r="H575" s="38"/>
      <c r="I575" s="38"/>
      <c r="J575" s="38"/>
      <c r="K575" s="38"/>
      <c r="L575" s="38"/>
      <c r="M575" s="38"/>
      <c r="N575" s="38"/>
      <c r="O575" s="38"/>
      <c r="P575" s="38"/>
      <c r="Q575" s="38"/>
      <c r="R575" s="38"/>
      <c r="S575" s="38"/>
      <c r="T575" s="38"/>
      <c r="U575" s="38"/>
      <c r="V575" s="38"/>
      <c r="W575" s="38"/>
      <c r="X575" s="38"/>
      <c r="Y575" s="38"/>
      <c r="Z575" s="38"/>
    </row>
    <row r="576" spans="6:26" ht="15" thickBot="1">
      <c r="F576" s="38"/>
      <c r="G576" s="38"/>
      <c r="H576" s="38"/>
      <c r="I576" s="38"/>
      <c r="J576" s="38"/>
      <c r="K576" s="38"/>
      <c r="L576" s="38"/>
      <c r="M576" s="38"/>
      <c r="N576" s="38"/>
      <c r="O576" s="38"/>
      <c r="P576" s="38"/>
      <c r="Q576" s="38"/>
      <c r="R576" s="38"/>
      <c r="S576" s="38"/>
      <c r="T576" s="38"/>
      <c r="U576" s="38"/>
      <c r="V576" s="38"/>
      <c r="W576" s="38"/>
      <c r="X576" s="38"/>
      <c r="Y576" s="38"/>
      <c r="Z576" s="38"/>
    </row>
    <row r="577" spans="6:26" ht="15" thickBot="1">
      <c r="F577" s="38"/>
      <c r="G577" s="38"/>
      <c r="H577" s="38"/>
      <c r="I577" s="38"/>
      <c r="J577" s="38"/>
      <c r="K577" s="38"/>
      <c r="L577" s="38"/>
      <c r="M577" s="38"/>
      <c r="N577" s="38"/>
      <c r="O577" s="38"/>
      <c r="P577" s="38"/>
      <c r="Q577" s="38"/>
      <c r="R577" s="38"/>
      <c r="S577" s="38"/>
      <c r="T577" s="38"/>
      <c r="U577" s="38"/>
      <c r="V577" s="38"/>
      <c r="W577" s="38"/>
      <c r="X577" s="38"/>
      <c r="Y577" s="38"/>
      <c r="Z577" s="38"/>
    </row>
    <row r="578" spans="6:26" ht="15" thickBot="1">
      <c r="F578" s="38"/>
      <c r="G578" s="38"/>
      <c r="H578" s="38"/>
      <c r="I578" s="38"/>
      <c r="J578" s="38"/>
      <c r="K578" s="38"/>
      <c r="L578" s="38"/>
      <c r="M578" s="38"/>
      <c r="N578" s="38"/>
      <c r="O578" s="38"/>
      <c r="P578" s="38"/>
      <c r="Q578" s="38"/>
      <c r="R578" s="38"/>
      <c r="S578" s="38"/>
      <c r="T578" s="38"/>
      <c r="U578" s="38"/>
      <c r="V578" s="38"/>
      <c r="W578" s="38"/>
      <c r="X578" s="38"/>
      <c r="Y578" s="38"/>
      <c r="Z578" s="38"/>
    </row>
    <row r="579" spans="6:26" ht="15" thickBot="1">
      <c r="F579" s="38"/>
      <c r="G579" s="38"/>
      <c r="H579" s="38"/>
      <c r="I579" s="38"/>
      <c r="J579" s="38"/>
      <c r="K579" s="38"/>
      <c r="L579" s="38"/>
      <c r="M579" s="38"/>
      <c r="N579" s="38"/>
      <c r="O579" s="38"/>
      <c r="P579" s="38"/>
      <c r="Q579" s="38"/>
      <c r="R579" s="38"/>
      <c r="S579" s="38"/>
      <c r="T579" s="38"/>
      <c r="U579" s="38"/>
      <c r="V579" s="38"/>
      <c r="W579" s="38"/>
      <c r="X579" s="38"/>
      <c r="Y579" s="38"/>
      <c r="Z579" s="38"/>
    </row>
    <row r="580" spans="6:26" ht="15" thickBot="1">
      <c r="F580" s="38"/>
      <c r="G580" s="38"/>
      <c r="H580" s="38"/>
      <c r="I580" s="38"/>
      <c r="J580" s="38"/>
      <c r="K580" s="38"/>
      <c r="L580" s="38"/>
      <c r="M580" s="38"/>
      <c r="N580" s="38"/>
      <c r="O580" s="38"/>
      <c r="P580" s="38"/>
      <c r="Q580" s="38"/>
      <c r="R580" s="38"/>
      <c r="S580" s="38"/>
      <c r="T580" s="38"/>
      <c r="U580" s="38"/>
      <c r="V580" s="38"/>
      <c r="W580" s="38"/>
      <c r="X580" s="38"/>
      <c r="Y580" s="38"/>
      <c r="Z580" s="38"/>
    </row>
    <row r="581" spans="6:26" ht="15" thickBot="1">
      <c r="F581" s="38"/>
      <c r="G581" s="38"/>
      <c r="H581" s="38"/>
      <c r="I581" s="38"/>
      <c r="J581" s="38"/>
      <c r="K581" s="38"/>
      <c r="L581" s="38"/>
      <c r="M581" s="38"/>
      <c r="N581" s="38"/>
      <c r="O581" s="38"/>
      <c r="P581" s="38"/>
      <c r="Q581" s="38"/>
      <c r="R581" s="38"/>
      <c r="S581" s="38"/>
      <c r="T581" s="38"/>
      <c r="U581" s="38"/>
      <c r="V581" s="38"/>
      <c r="W581" s="38"/>
      <c r="X581" s="38"/>
      <c r="Y581" s="38"/>
      <c r="Z581" s="38"/>
    </row>
    <row r="582" spans="6:26" ht="15" thickBot="1">
      <c r="F582" s="38"/>
      <c r="G582" s="38"/>
      <c r="H582" s="38"/>
      <c r="I582" s="38"/>
      <c r="J582" s="38"/>
      <c r="K582" s="38"/>
      <c r="L582" s="38"/>
      <c r="M582" s="38"/>
      <c r="N582" s="38"/>
      <c r="O582" s="38"/>
      <c r="P582" s="38"/>
      <c r="Q582" s="38"/>
      <c r="R582" s="38"/>
      <c r="S582" s="38"/>
      <c r="T582" s="38"/>
      <c r="U582" s="38"/>
      <c r="V582" s="38"/>
      <c r="W582" s="38"/>
      <c r="X582" s="38"/>
      <c r="Y582" s="38"/>
      <c r="Z582" s="38"/>
    </row>
    <row r="583" spans="6:26" ht="15" thickBot="1">
      <c r="F583" s="38"/>
      <c r="G583" s="38"/>
      <c r="H583" s="38"/>
      <c r="I583" s="38"/>
      <c r="J583" s="38"/>
      <c r="K583" s="38"/>
      <c r="L583" s="38"/>
      <c r="M583" s="38"/>
      <c r="N583" s="38"/>
      <c r="O583" s="38"/>
      <c r="P583" s="38"/>
      <c r="Q583" s="38"/>
      <c r="R583" s="38"/>
      <c r="S583" s="38"/>
      <c r="T583" s="38"/>
      <c r="U583" s="38"/>
      <c r="V583" s="38"/>
      <c r="W583" s="38"/>
      <c r="X583" s="38"/>
      <c r="Y583" s="38"/>
      <c r="Z583" s="38"/>
    </row>
    <row r="584" spans="6:26" ht="15" thickBot="1">
      <c r="F584" s="38"/>
      <c r="G584" s="38"/>
      <c r="H584" s="38"/>
      <c r="I584" s="38"/>
      <c r="J584" s="38"/>
      <c r="K584" s="38"/>
      <c r="L584" s="38"/>
      <c r="M584" s="38"/>
      <c r="N584" s="38"/>
      <c r="O584" s="38"/>
      <c r="P584" s="38"/>
      <c r="Q584" s="38"/>
      <c r="R584" s="38"/>
      <c r="S584" s="38"/>
      <c r="T584" s="38"/>
      <c r="U584" s="38"/>
      <c r="V584" s="38"/>
      <c r="W584" s="38"/>
      <c r="X584" s="38"/>
      <c r="Y584" s="38"/>
      <c r="Z584" s="38"/>
    </row>
    <row r="585" spans="6:26" ht="15" thickBot="1">
      <c r="F585" s="38"/>
      <c r="G585" s="38"/>
      <c r="H585" s="38"/>
      <c r="I585" s="38"/>
      <c r="J585" s="38"/>
      <c r="K585" s="38"/>
      <c r="L585" s="38"/>
      <c r="M585" s="38"/>
      <c r="N585" s="38"/>
      <c r="O585" s="38"/>
      <c r="P585" s="38"/>
      <c r="Q585" s="38"/>
      <c r="R585" s="38"/>
      <c r="S585" s="38"/>
      <c r="T585" s="38"/>
      <c r="U585" s="38"/>
      <c r="V585" s="38"/>
      <c r="W585" s="38"/>
      <c r="X585" s="38"/>
      <c r="Y585" s="38"/>
      <c r="Z585" s="38"/>
    </row>
    <row r="586" spans="6:26" ht="15" thickBot="1">
      <c r="F586" s="38"/>
      <c r="G586" s="38"/>
      <c r="H586" s="38"/>
      <c r="I586" s="38"/>
      <c r="J586" s="38"/>
      <c r="K586" s="38"/>
      <c r="L586" s="38"/>
      <c r="M586" s="38"/>
      <c r="N586" s="38"/>
      <c r="O586" s="38"/>
      <c r="P586" s="38"/>
      <c r="Q586" s="38"/>
      <c r="R586" s="38"/>
      <c r="S586" s="38"/>
      <c r="T586" s="38"/>
      <c r="U586" s="38"/>
      <c r="V586" s="38"/>
      <c r="W586" s="38"/>
      <c r="X586" s="38"/>
      <c r="Y586" s="38"/>
      <c r="Z586" s="38"/>
    </row>
    <row r="587" spans="6:26" ht="15" thickBot="1">
      <c r="F587" s="38"/>
      <c r="G587" s="38"/>
      <c r="H587" s="38"/>
      <c r="I587" s="38"/>
      <c r="J587" s="38"/>
      <c r="K587" s="38"/>
      <c r="L587" s="38"/>
      <c r="M587" s="38"/>
      <c r="N587" s="38"/>
      <c r="O587" s="38"/>
      <c r="P587" s="38"/>
      <c r="Q587" s="38"/>
      <c r="R587" s="38"/>
      <c r="S587" s="38"/>
      <c r="T587" s="38"/>
      <c r="U587" s="38"/>
      <c r="V587" s="38"/>
      <c r="W587" s="38"/>
      <c r="X587" s="38"/>
      <c r="Y587" s="38"/>
      <c r="Z587" s="38"/>
    </row>
    <row r="588" spans="6:26" ht="15" thickBot="1">
      <c r="F588" s="38"/>
      <c r="G588" s="38"/>
      <c r="H588" s="38"/>
      <c r="I588" s="38"/>
      <c r="J588" s="38"/>
      <c r="K588" s="38"/>
      <c r="L588" s="38"/>
      <c r="M588" s="38"/>
      <c r="N588" s="38"/>
      <c r="O588" s="38"/>
      <c r="P588" s="38"/>
      <c r="Q588" s="38"/>
      <c r="R588" s="38"/>
      <c r="S588" s="38"/>
      <c r="T588" s="38"/>
      <c r="U588" s="38"/>
      <c r="V588" s="38"/>
      <c r="W588" s="38"/>
      <c r="X588" s="38"/>
      <c r="Y588" s="38"/>
      <c r="Z588" s="38"/>
    </row>
    <row r="589" spans="6:26" ht="15" thickBot="1">
      <c r="F589" s="38"/>
      <c r="G589" s="38"/>
      <c r="H589" s="38"/>
      <c r="I589" s="38"/>
      <c r="J589" s="38"/>
      <c r="K589" s="38"/>
      <c r="L589" s="38"/>
      <c r="M589" s="38"/>
      <c r="N589" s="38"/>
      <c r="O589" s="38"/>
      <c r="P589" s="38"/>
      <c r="Q589" s="38"/>
      <c r="R589" s="38"/>
      <c r="S589" s="38"/>
      <c r="T589" s="38"/>
      <c r="U589" s="38"/>
      <c r="V589" s="38"/>
      <c r="W589" s="38"/>
      <c r="X589" s="38"/>
      <c r="Y589" s="38"/>
      <c r="Z589" s="38"/>
    </row>
    <row r="590" spans="6:26" ht="15" thickBot="1">
      <c r="F590" s="38"/>
      <c r="G590" s="38"/>
      <c r="H590" s="38"/>
      <c r="I590" s="38"/>
      <c r="J590" s="38"/>
      <c r="K590" s="38"/>
      <c r="L590" s="38"/>
      <c r="M590" s="38"/>
      <c r="N590" s="38"/>
      <c r="O590" s="38"/>
      <c r="P590" s="38"/>
      <c r="Q590" s="38"/>
      <c r="R590" s="38"/>
      <c r="S590" s="38"/>
      <c r="T590" s="38"/>
      <c r="U590" s="38"/>
      <c r="V590" s="38"/>
      <c r="W590" s="38"/>
      <c r="X590" s="38"/>
      <c r="Y590" s="38"/>
      <c r="Z590" s="38"/>
    </row>
    <row r="591" spans="6:26" ht="15" thickBot="1">
      <c r="F591" s="38"/>
      <c r="G591" s="38"/>
      <c r="H591" s="38"/>
      <c r="I591" s="38"/>
      <c r="J591" s="38"/>
      <c r="K591" s="38"/>
      <c r="L591" s="38"/>
      <c r="M591" s="38"/>
      <c r="N591" s="38"/>
      <c r="O591" s="38"/>
      <c r="P591" s="38"/>
      <c r="Q591" s="38"/>
      <c r="R591" s="38"/>
      <c r="S591" s="38"/>
      <c r="T591" s="38"/>
      <c r="U591" s="38"/>
      <c r="V591" s="38"/>
      <c r="W591" s="38"/>
      <c r="X591" s="38"/>
      <c r="Y591" s="38"/>
      <c r="Z591" s="38"/>
    </row>
    <row r="592" spans="6:26" ht="15" thickBot="1">
      <c r="F592" s="38"/>
      <c r="G592" s="38"/>
      <c r="H592" s="38"/>
      <c r="I592" s="38"/>
      <c r="J592" s="38"/>
      <c r="K592" s="38"/>
      <c r="L592" s="38"/>
      <c r="M592" s="38"/>
      <c r="N592" s="38"/>
      <c r="O592" s="38"/>
      <c r="P592" s="38"/>
      <c r="Q592" s="38"/>
      <c r="R592" s="38"/>
      <c r="S592" s="38"/>
      <c r="T592" s="38"/>
      <c r="U592" s="38"/>
      <c r="V592" s="38"/>
      <c r="W592" s="38"/>
      <c r="X592" s="38"/>
      <c r="Y592" s="38"/>
      <c r="Z592" s="38"/>
    </row>
    <row r="593" spans="6:26" ht="15" thickBot="1">
      <c r="F593" s="38"/>
      <c r="G593" s="38"/>
      <c r="H593" s="38"/>
      <c r="I593" s="38"/>
      <c r="J593" s="38"/>
      <c r="K593" s="38"/>
      <c r="L593" s="38"/>
      <c r="M593" s="38"/>
      <c r="N593" s="38"/>
      <c r="O593" s="38"/>
      <c r="P593" s="38"/>
      <c r="Q593" s="38"/>
      <c r="R593" s="38"/>
      <c r="S593" s="38"/>
      <c r="T593" s="38"/>
      <c r="U593" s="38"/>
      <c r="V593" s="38"/>
      <c r="W593" s="38"/>
      <c r="X593" s="38"/>
      <c r="Y593" s="38"/>
      <c r="Z593" s="38"/>
    </row>
    <row r="594" spans="6:26" ht="15" thickBot="1">
      <c r="F594" s="38"/>
      <c r="G594" s="38"/>
      <c r="H594" s="38"/>
      <c r="I594" s="38"/>
      <c r="J594" s="38"/>
      <c r="K594" s="38"/>
      <c r="L594" s="38"/>
      <c r="M594" s="38"/>
      <c r="N594" s="38"/>
      <c r="O594" s="38"/>
      <c r="P594" s="38"/>
      <c r="Q594" s="38"/>
      <c r="R594" s="38"/>
      <c r="S594" s="38"/>
      <c r="T594" s="38"/>
      <c r="U594" s="38"/>
      <c r="V594" s="38"/>
      <c r="W594" s="38"/>
      <c r="X594" s="38"/>
      <c r="Y594" s="38"/>
      <c r="Z594" s="38"/>
    </row>
    <row r="595" spans="6:26" ht="15" thickBot="1">
      <c r="F595" s="38"/>
      <c r="G595" s="38"/>
      <c r="H595" s="38"/>
      <c r="I595" s="38"/>
      <c r="J595" s="38"/>
      <c r="K595" s="38"/>
      <c r="L595" s="38"/>
      <c r="M595" s="38"/>
      <c r="N595" s="38"/>
      <c r="O595" s="38"/>
      <c r="P595" s="38"/>
      <c r="Q595" s="38"/>
      <c r="R595" s="38"/>
      <c r="S595" s="38"/>
      <c r="T595" s="38"/>
      <c r="U595" s="38"/>
      <c r="V595" s="38"/>
      <c r="W595" s="38"/>
      <c r="X595" s="38"/>
      <c r="Y595" s="38"/>
      <c r="Z595" s="38"/>
    </row>
    <row r="596" spans="6:26" ht="15" thickBot="1">
      <c r="F596" s="38"/>
      <c r="G596" s="38"/>
      <c r="H596" s="38"/>
      <c r="I596" s="38"/>
      <c r="J596" s="38"/>
      <c r="K596" s="38"/>
      <c r="L596" s="38"/>
      <c r="M596" s="38"/>
      <c r="N596" s="38"/>
      <c r="O596" s="38"/>
      <c r="P596" s="38"/>
      <c r="Q596" s="38"/>
      <c r="R596" s="38"/>
      <c r="S596" s="38"/>
      <c r="T596" s="38"/>
      <c r="U596" s="38"/>
      <c r="V596" s="38"/>
      <c r="W596" s="38"/>
      <c r="X596" s="38"/>
      <c r="Y596" s="38"/>
      <c r="Z596" s="38"/>
    </row>
    <row r="597" spans="6:26" ht="15" thickBot="1">
      <c r="F597" s="38"/>
      <c r="G597" s="38"/>
      <c r="H597" s="38"/>
      <c r="I597" s="38"/>
      <c r="J597" s="38"/>
      <c r="K597" s="38"/>
      <c r="L597" s="38"/>
      <c r="M597" s="38"/>
      <c r="N597" s="38"/>
      <c r="O597" s="38"/>
      <c r="P597" s="38"/>
      <c r="Q597" s="38"/>
      <c r="R597" s="38"/>
      <c r="S597" s="38"/>
      <c r="T597" s="38"/>
      <c r="U597" s="38"/>
      <c r="V597" s="38"/>
      <c r="W597" s="38"/>
      <c r="X597" s="38"/>
      <c r="Y597" s="38"/>
      <c r="Z597" s="38"/>
    </row>
    <row r="598" spans="6:26" ht="15" thickBot="1">
      <c r="F598" s="38"/>
      <c r="G598" s="38"/>
      <c r="H598" s="38"/>
      <c r="I598" s="38"/>
      <c r="J598" s="38"/>
      <c r="K598" s="38"/>
      <c r="L598" s="38"/>
      <c r="M598" s="38"/>
      <c r="N598" s="38"/>
      <c r="O598" s="38"/>
      <c r="P598" s="38"/>
      <c r="Q598" s="38"/>
      <c r="R598" s="38"/>
      <c r="S598" s="38"/>
      <c r="T598" s="38"/>
      <c r="U598" s="38"/>
      <c r="V598" s="38"/>
      <c r="W598" s="38"/>
      <c r="X598" s="38"/>
      <c r="Y598" s="38"/>
      <c r="Z598" s="38"/>
    </row>
    <row r="599" spans="6:26" ht="15" thickBot="1">
      <c r="F599" s="38"/>
      <c r="G599" s="38"/>
      <c r="H599" s="38"/>
      <c r="I599" s="38"/>
      <c r="J599" s="38"/>
      <c r="K599" s="38"/>
      <c r="L599" s="38"/>
      <c r="M599" s="38"/>
      <c r="N599" s="38"/>
      <c r="O599" s="38"/>
      <c r="P599" s="38"/>
      <c r="Q599" s="38"/>
      <c r="R599" s="38"/>
      <c r="S599" s="38"/>
      <c r="T599" s="38"/>
      <c r="U599" s="38"/>
      <c r="V599" s="38"/>
      <c r="W599" s="38"/>
      <c r="X599" s="38"/>
      <c r="Y599" s="38"/>
      <c r="Z599" s="38"/>
    </row>
    <row r="600" spans="6:26" ht="15" thickBot="1">
      <c r="F600" s="38"/>
      <c r="G600" s="38"/>
      <c r="H600" s="38"/>
      <c r="I600" s="38"/>
      <c r="J600" s="38"/>
      <c r="K600" s="38"/>
      <c r="L600" s="38"/>
      <c r="M600" s="38"/>
      <c r="N600" s="38"/>
      <c r="O600" s="38"/>
      <c r="P600" s="38"/>
      <c r="Q600" s="38"/>
      <c r="R600" s="38"/>
      <c r="S600" s="38"/>
      <c r="T600" s="38"/>
      <c r="U600" s="38"/>
      <c r="V600" s="38"/>
      <c r="W600" s="38"/>
      <c r="X600" s="38"/>
      <c r="Y600" s="38"/>
      <c r="Z600" s="38"/>
    </row>
    <row r="601" spans="6:26" ht="15" thickBot="1">
      <c r="F601" s="38"/>
      <c r="G601" s="38"/>
      <c r="H601" s="38"/>
      <c r="I601" s="38"/>
      <c r="J601" s="38"/>
      <c r="K601" s="38"/>
      <c r="L601" s="38"/>
      <c r="M601" s="38"/>
      <c r="N601" s="38"/>
      <c r="O601" s="38"/>
      <c r="P601" s="38"/>
      <c r="Q601" s="38"/>
      <c r="R601" s="38"/>
      <c r="S601" s="38"/>
      <c r="T601" s="38"/>
      <c r="U601" s="38"/>
      <c r="V601" s="38"/>
      <c r="W601" s="38"/>
      <c r="X601" s="38"/>
      <c r="Y601" s="38"/>
      <c r="Z601" s="38"/>
    </row>
    <row r="602" spans="6:26" ht="15" thickBot="1">
      <c r="F602" s="38"/>
      <c r="G602" s="38"/>
      <c r="H602" s="38"/>
      <c r="I602" s="38"/>
      <c r="J602" s="38"/>
      <c r="K602" s="38"/>
      <c r="L602" s="38"/>
      <c r="M602" s="38"/>
      <c r="N602" s="38"/>
      <c r="O602" s="38"/>
      <c r="P602" s="38"/>
      <c r="Q602" s="38"/>
      <c r="R602" s="38"/>
      <c r="S602" s="38"/>
      <c r="T602" s="38"/>
      <c r="U602" s="38"/>
      <c r="V602" s="38"/>
      <c r="W602" s="38"/>
      <c r="X602" s="38"/>
      <c r="Y602" s="38"/>
      <c r="Z602" s="38"/>
    </row>
    <row r="603" spans="6:26" ht="15" thickBot="1">
      <c r="F603" s="38"/>
      <c r="G603" s="38"/>
      <c r="H603" s="38"/>
      <c r="I603" s="38"/>
      <c r="J603" s="38"/>
      <c r="K603" s="38"/>
      <c r="L603" s="38"/>
      <c r="M603" s="38"/>
      <c r="N603" s="38"/>
      <c r="O603" s="38"/>
      <c r="P603" s="38"/>
      <c r="Q603" s="38"/>
      <c r="R603" s="38"/>
      <c r="S603" s="38"/>
      <c r="T603" s="38"/>
      <c r="U603" s="38"/>
      <c r="V603" s="38"/>
      <c r="W603" s="38"/>
      <c r="X603" s="38"/>
      <c r="Y603" s="38"/>
      <c r="Z603" s="38"/>
    </row>
    <row r="604" spans="6:26" ht="15" thickBot="1">
      <c r="F604" s="38"/>
      <c r="G604" s="38"/>
      <c r="H604" s="38"/>
      <c r="I604" s="38"/>
      <c r="J604" s="38"/>
      <c r="K604" s="38"/>
      <c r="L604" s="38"/>
      <c r="M604" s="38"/>
      <c r="N604" s="38"/>
      <c r="O604" s="38"/>
      <c r="P604" s="38"/>
      <c r="Q604" s="38"/>
      <c r="R604" s="38"/>
      <c r="S604" s="38"/>
      <c r="T604" s="38"/>
      <c r="U604" s="38"/>
      <c r="V604" s="38"/>
      <c r="W604" s="38"/>
      <c r="X604" s="38"/>
      <c r="Y604" s="38"/>
      <c r="Z604" s="38"/>
    </row>
    <row r="605" spans="6:26" ht="15" thickBot="1">
      <c r="F605" s="38"/>
      <c r="G605" s="38"/>
      <c r="H605" s="38"/>
      <c r="I605" s="38"/>
      <c r="J605" s="38"/>
      <c r="K605" s="38"/>
      <c r="L605" s="38"/>
      <c r="M605" s="38"/>
      <c r="N605" s="38"/>
      <c r="O605" s="38"/>
      <c r="P605" s="38"/>
      <c r="Q605" s="38"/>
      <c r="R605" s="38"/>
      <c r="S605" s="38"/>
      <c r="T605" s="38"/>
      <c r="U605" s="38"/>
      <c r="V605" s="38"/>
      <c r="W605" s="38"/>
      <c r="X605" s="38"/>
      <c r="Y605" s="38"/>
      <c r="Z605" s="38"/>
    </row>
    <row r="606" spans="6:26" ht="15" thickBot="1">
      <c r="F606" s="38"/>
      <c r="G606" s="38"/>
      <c r="H606" s="38"/>
      <c r="I606" s="38"/>
      <c r="J606" s="38"/>
      <c r="K606" s="38"/>
      <c r="L606" s="38"/>
      <c r="M606" s="38"/>
      <c r="N606" s="38"/>
      <c r="O606" s="38"/>
      <c r="P606" s="38"/>
      <c r="Q606" s="38"/>
      <c r="R606" s="38"/>
      <c r="S606" s="38"/>
      <c r="T606" s="38"/>
      <c r="U606" s="38"/>
      <c r="V606" s="38"/>
      <c r="W606" s="38"/>
      <c r="X606" s="38"/>
      <c r="Y606" s="38"/>
      <c r="Z606" s="38"/>
    </row>
    <row r="607" spans="6:26" ht="15" thickBot="1">
      <c r="F607" s="38"/>
      <c r="G607" s="38"/>
      <c r="H607" s="38"/>
      <c r="I607" s="38"/>
      <c r="J607" s="38"/>
      <c r="K607" s="38"/>
      <c r="L607" s="38"/>
      <c r="M607" s="38"/>
      <c r="N607" s="38"/>
      <c r="O607" s="38"/>
      <c r="P607" s="38"/>
      <c r="Q607" s="38"/>
      <c r="R607" s="38"/>
      <c r="S607" s="38"/>
      <c r="T607" s="38"/>
      <c r="U607" s="38"/>
      <c r="V607" s="38"/>
      <c r="W607" s="38"/>
      <c r="X607" s="38"/>
      <c r="Y607" s="38"/>
      <c r="Z607" s="38"/>
    </row>
    <row r="608" spans="6:26" ht="15" thickBot="1">
      <c r="F608" s="38"/>
      <c r="G608" s="38"/>
      <c r="H608" s="38"/>
      <c r="I608" s="38"/>
      <c r="J608" s="38"/>
      <c r="K608" s="38"/>
      <c r="L608" s="38"/>
      <c r="M608" s="38"/>
      <c r="N608" s="38"/>
      <c r="O608" s="38"/>
      <c r="P608" s="38"/>
      <c r="Q608" s="38"/>
      <c r="R608" s="38"/>
      <c r="S608" s="38"/>
      <c r="T608" s="38"/>
      <c r="U608" s="38"/>
      <c r="V608" s="38"/>
      <c r="W608" s="38"/>
      <c r="X608" s="38"/>
      <c r="Y608" s="38"/>
      <c r="Z608" s="38"/>
    </row>
    <row r="609" spans="6:26" ht="15" thickBot="1">
      <c r="F609" s="38"/>
      <c r="G609" s="38"/>
      <c r="H609" s="38"/>
      <c r="I609" s="38"/>
      <c r="J609" s="38"/>
      <c r="K609" s="38"/>
      <c r="L609" s="38"/>
      <c r="M609" s="38"/>
      <c r="N609" s="38"/>
      <c r="O609" s="38"/>
      <c r="P609" s="38"/>
      <c r="Q609" s="38"/>
      <c r="R609" s="38"/>
      <c r="S609" s="38"/>
      <c r="T609" s="38"/>
      <c r="U609" s="38"/>
      <c r="V609" s="38"/>
      <c r="W609" s="38"/>
      <c r="X609" s="38"/>
      <c r="Y609" s="38"/>
      <c r="Z609" s="38"/>
    </row>
    <row r="610" spans="6:26" ht="15" thickBot="1">
      <c r="F610" s="38"/>
      <c r="G610" s="38"/>
      <c r="H610" s="38"/>
      <c r="I610" s="38"/>
      <c r="J610" s="38"/>
      <c r="K610" s="38"/>
      <c r="L610" s="38"/>
      <c r="M610" s="38"/>
      <c r="N610" s="38"/>
      <c r="O610" s="38"/>
      <c r="P610" s="38"/>
      <c r="Q610" s="38"/>
      <c r="R610" s="38"/>
      <c r="S610" s="38"/>
      <c r="T610" s="38"/>
      <c r="U610" s="38"/>
      <c r="V610" s="38"/>
      <c r="W610" s="38"/>
      <c r="X610" s="38"/>
      <c r="Y610" s="38"/>
      <c r="Z610" s="38"/>
    </row>
    <row r="611" spans="6:26" ht="15" thickBot="1">
      <c r="F611" s="38"/>
      <c r="G611" s="38"/>
      <c r="H611" s="38"/>
      <c r="I611" s="38"/>
      <c r="J611" s="38"/>
      <c r="K611" s="38"/>
      <c r="L611" s="38"/>
      <c r="M611" s="38"/>
      <c r="N611" s="38"/>
      <c r="O611" s="38"/>
      <c r="P611" s="38"/>
      <c r="Q611" s="38"/>
      <c r="R611" s="38"/>
      <c r="S611" s="38"/>
      <c r="T611" s="38"/>
      <c r="U611" s="38"/>
      <c r="V611" s="38"/>
      <c r="W611" s="38"/>
      <c r="X611" s="38"/>
      <c r="Y611" s="38"/>
      <c r="Z611" s="38"/>
    </row>
    <row r="612" spans="6:26" ht="15" thickBot="1">
      <c r="F612" s="38"/>
      <c r="G612" s="38"/>
      <c r="H612" s="38"/>
      <c r="I612" s="38"/>
      <c r="J612" s="38"/>
      <c r="K612" s="38"/>
      <c r="L612" s="38"/>
      <c r="M612" s="38"/>
      <c r="N612" s="38"/>
      <c r="O612" s="38"/>
      <c r="P612" s="38"/>
      <c r="Q612" s="38"/>
      <c r="R612" s="38"/>
      <c r="S612" s="38"/>
      <c r="T612" s="38"/>
      <c r="U612" s="38"/>
      <c r="V612" s="38"/>
      <c r="W612" s="38"/>
      <c r="X612" s="38"/>
      <c r="Y612" s="38"/>
      <c r="Z612" s="38"/>
    </row>
    <row r="613" spans="6:26" ht="15" thickBot="1">
      <c r="F613" s="38"/>
      <c r="G613" s="38"/>
      <c r="H613" s="38"/>
      <c r="I613" s="38"/>
      <c r="J613" s="38"/>
      <c r="K613" s="38"/>
      <c r="L613" s="38"/>
      <c r="M613" s="38"/>
      <c r="N613" s="38"/>
      <c r="O613" s="38"/>
      <c r="P613" s="38"/>
      <c r="Q613" s="38"/>
      <c r="R613" s="38"/>
      <c r="S613" s="38"/>
      <c r="T613" s="38"/>
      <c r="U613" s="38"/>
      <c r="V613" s="38"/>
      <c r="W613" s="38"/>
      <c r="X613" s="38"/>
      <c r="Y613" s="38"/>
      <c r="Z613" s="38"/>
    </row>
    <row r="614" spans="6:26" ht="15" thickBot="1">
      <c r="F614" s="38"/>
      <c r="G614" s="38"/>
      <c r="H614" s="38"/>
      <c r="I614" s="38"/>
      <c r="J614" s="38"/>
      <c r="K614" s="38"/>
      <c r="L614" s="38"/>
      <c r="M614" s="38"/>
      <c r="N614" s="38"/>
      <c r="O614" s="38"/>
      <c r="P614" s="38"/>
      <c r="Q614" s="38"/>
      <c r="R614" s="38"/>
      <c r="S614" s="38"/>
      <c r="T614" s="38"/>
      <c r="U614" s="38"/>
      <c r="V614" s="38"/>
      <c r="W614" s="38"/>
      <c r="X614" s="38"/>
      <c r="Y614" s="38"/>
      <c r="Z614" s="38"/>
    </row>
    <row r="615" spans="6:26" ht="15" thickBot="1">
      <c r="F615" s="38"/>
      <c r="G615" s="38"/>
      <c r="H615" s="38"/>
      <c r="I615" s="38"/>
      <c r="J615" s="38"/>
      <c r="K615" s="38"/>
      <c r="L615" s="38"/>
      <c r="M615" s="38"/>
      <c r="N615" s="38"/>
      <c r="O615" s="38"/>
      <c r="P615" s="38"/>
      <c r="Q615" s="38"/>
      <c r="R615" s="38"/>
      <c r="S615" s="38"/>
      <c r="T615" s="38"/>
      <c r="U615" s="38"/>
      <c r="V615" s="38"/>
      <c r="W615" s="38"/>
      <c r="X615" s="38"/>
      <c r="Y615" s="38"/>
      <c r="Z615" s="38"/>
    </row>
    <row r="616" spans="6:26" ht="15" thickBot="1">
      <c r="F616" s="38"/>
      <c r="G616" s="38"/>
      <c r="H616" s="38"/>
      <c r="I616" s="38"/>
      <c r="J616" s="38"/>
      <c r="K616" s="38"/>
      <c r="L616" s="38"/>
      <c r="M616" s="38"/>
      <c r="N616" s="38"/>
      <c r="O616" s="38"/>
      <c r="P616" s="38"/>
      <c r="Q616" s="38"/>
      <c r="R616" s="38"/>
      <c r="S616" s="38"/>
      <c r="T616" s="38"/>
      <c r="U616" s="38"/>
      <c r="V616" s="38"/>
      <c r="W616" s="38"/>
      <c r="X616" s="38"/>
      <c r="Y616" s="38"/>
      <c r="Z616" s="38"/>
    </row>
    <row r="617" spans="6:26" ht="15" thickBot="1">
      <c r="F617" s="38"/>
      <c r="G617" s="38"/>
      <c r="H617" s="38"/>
      <c r="I617" s="38"/>
      <c r="J617" s="38"/>
      <c r="K617" s="38"/>
      <c r="L617" s="38"/>
      <c r="M617" s="38"/>
      <c r="N617" s="38"/>
      <c r="O617" s="38"/>
      <c r="P617" s="38"/>
      <c r="Q617" s="38"/>
      <c r="R617" s="38"/>
      <c r="S617" s="38"/>
      <c r="T617" s="38"/>
      <c r="U617" s="38"/>
      <c r="V617" s="38"/>
      <c r="W617" s="38"/>
      <c r="X617" s="38"/>
      <c r="Y617" s="38"/>
      <c r="Z617" s="38"/>
    </row>
    <row r="618" spans="6:26" ht="15" thickBot="1">
      <c r="F618" s="38"/>
      <c r="G618" s="38"/>
      <c r="H618" s="38"/>
      <c r="I618" s="38"/>
      <c r="J618" s="38"/>
      <c r="K618" s="38"/>
      <c r="L618" s="38"/>
      <c r="M618" s="38"/>
      <c r="N618" s="38"/>
      <c r="O618" s="38"/>
      <c r="P618" s="38"/>
      <c r="Q618" s="38"/>
      <c r="R618" s="38"/>
      <c r="S618" s="38"/>
      <c r="T618" s="38"/>
      <c r="U618" s="38"/>
      <c r="V618" s="38"/>
      <c r="W618" s="38"/>
      <c r="X618" s="38"/>
      <c r="Y618" s="38"/>
      <c r="Z618" s="38"/>
    </row>
    <row r="619" spans="6:26" ht="15" thickBot="1">
      <c r="F619" s="38"/>
      <c r="G619" s="38"/>
      <c r="H619" s="38"/>
      <c r="I619" s="38"/>
      <c r="J619" s="38"/>
      <c r="K619" s="38"/>
      <c r="L619" s="38"/>
      <c r="M619" s="38"/>
      <c r="N619" s="38"/>
      <c r="O619" s="38"/>
      <c r="P619" s="38"/>
      <c r="Q619" s="38"/>
      <c r="R619" s="38"/>
      <c r="S619" s="38"/>
      <c r="T619" s="38"/>
      <c r="U619" s="38"/>
      <c r="V619" s="38"/>
      <c r="W619" s="38"/>
      <c r="X619" s="38"/>
      <c r="Y619" s="38"/>
      <c r="Z619" s="38"/>
    </row>
    <row r="620" spans="6:26" ht="15" thickBot="1">
      <c r="F620" s="38"/>
      <c r="G620" s="38"/>
      <c r="H620" s="38"/>
      <c r="I620" s="38"/>
      <c r="J620" s="38"/>
      <c r="K620" s="38"/>
      <c r="L620" s="38"/>
      <c r="M620" s="38"/>
      <c r="N620" s="38"/>
      <c r="O620" s="38"/>
      <c r="P620" s="38"/>
      <c r="Q620" s="38"/>
      <c r="R620" s="38"/>
      <c r="S620" s="38"/>
      <c r="T620" s="38"/>
      <c r="U620" s="38"/>
      <c r="V620" s="38"/>
      <c r="W620" s="38"/>
      <c r="X620" s="38"/>
      <c r="Y620" s="38"/>
      <c r="Z620" s="38"/>
    </row>
    <row r="621" spans="6:26" ht="15" thickBot="1">
      <c r="F621" s="38"/>
      <c r="G621" s="38"/>
      <c r="H621" s="38"/>
      <c r="I621" s="38"/>
      <c r="J621" s="38"/>
      <c r="K621" s="38"/>
      <c r="L621" s="38"/>
      <c r="M621" s="38"/>
      <c r="N621" s="38"/>
      <c r="O621" s="38"/>
      <c r="P621" s="38"/>
      <c r="Q621" s="38"/>
      <c r="R621" s="38"/>
      <c r="S621" s="38"/>
      <c r="T621" s="38"/>
      <c r="U621" s="38"/>
      <c r="V621" s="38"/>
      <c r="W621" s="38"/>
      <c r="X621" s="38"/>
      <c r="Y621" s="38"/>
      <c r="Z621" s="38"/>
    </row>
    <row r="622" spans="6:26" ht="15" thickBot="1">
      <c r="F622" s="38"/>
      <c r="G622" s="38"/>
      <c r="H622" s="38"/>
      <c r="I622" s="38"/>
      <c r="J622" s="38"/>
      <c r="K622" s="38"/>
      <c r="L622" s="38"/>
      <c r="M622" s="38"/>
      <c r="N622" s="38"/>
      <c r="O622" s="38"/>
      <c r="P622" s="38"/>
      <c r="Q622" s="38"/>
      <c r="R622" s="38"/>
      <c r="S622" s="38"/>
      <c r="T622" s="38"/>
      <c r="U622" s="38"/>
      <c r="V622" s="38"/>
      <c r="W622" s="38"/>
      <c r="X622" s="38"/>
      <c r="Y622" s="38"/>
      <c r="Z622" s="38"/>
    </row>
    <row r="623" spans="6:26" ht="15" thickBot="1">
      <c r="F623" s="38"/>
      <c r="G623" s="38"/>
      <c r="H623" s="38"/>
      <c r="I623" s="38"/>
      <c r="J623" s="38"/>
      <c r="K623" s="38"/>
      <c r="L623" s="38"/>
      <c r="M623" s="38"/>
      <c r="N623" s="38"/>
      <c r="O623" s="38"/>
      <c r="P623" s="38"/>
      <c r="Q623" s="38"/>
      <c r="R623" s="38"/>
      <c r="S623" s="38"/>
      <c r="T623" s="38"/>
      <c r="U623" s="38"/>
      <c r="V623" s="38"/>
      <c r="W623" s="38"/>
      <c r="X623" s="38"/>
      <c r="Y623" s="38"/>
      <c r="Z623" s="38"/>
    </row>
    <row r="624" spans="6:26" ht="15" thickBot="1">
      <c r="F624" s="38"/>
      <c r="G624" s="38"/>
      <c r="H624" s="38"/>
      <c r="I624" s="38"/>
      <c r="J624" s="38"/>
      <c r="K624" s="38"/>
      <c r="L624" s="38"/>
      <c r="M624" s="38"/>
      <c r="N624" s="38"/>
      <c r="O624" s="38"/>
      <c r="P624" s="38"/>
      <c r="Q624" s="38"/>
      <c r="R624" s="38"/>
      <c r="S624" s="38"/>
      <c r="T624" s="38"/>
      <c r="U624" s="38"/>
      <c r="V624" s="38"/>
      <c r="W624" s="38"/>
      <c r="X624" s="38"/>
      <c r="Y624" s="38"/>
      <c r="Z624" s="38"/>
    </row>
    <row r="625" spans="6:26" ht="15" thickBot="1">
      <c r="F625" s="38"/>
      <c r="G625" s="38"/>
      <c r="H625" s="38"/>
      <c r="I625" s="38"/>
      <c r="J625" s="38"/>
      <c r="K625" s="38"/>
      <c r="L625" s="38"/>
      <c r="M625" s="38"/>
      <c r="N625" s="38"/>
      <c r="O625" s="38"/>
      <c r="P625" s="38"/>
      <c r="Q625" s="38"/>
      <c r="R625" s="38"/>
      <c r="S625" s="38"/>
      <c r="T625" s="38"/>
      <c r="U625" s="38"/>
      <c r="V625" s="38"/>
      <c r="W625" s="38"/>
      <c r="X625" s="38"/>
      <c r="Y625" s="38"/>
      <c r="Z625" s="38"/>
    </row>
    <row r="626" spans="6:26" ht="15" thickBot="1">
      <c r="F626" s="38"/>
      <c r="G626" s="38"/>
      <c r="H626" s="38"/>
      <c r="I626" s="38"/>
      <c r="J626" s="38"/>
      <c r="K626" s="38"/>
      <c r="L626" s="38"/>
      <c r="M626" s="38"/>
      <c r="N626" s="38"/>
      <c r="O626" s="38"/>
      <c r="P626" s="38"/>
      <c r="Q626" s="38"/>
      <c r="R626" s="38"/>
      <c r="S626" s="38"/>
      <c r="T626" s="38"/>
      <c r="U626" s="38"/>
      <c r="V626" s="38"/>
      <c r="W626" s="38"/>
      <c r="X626" s="38"/>
      <c r="Y626" s="38"/>
      <c r="Z626" s="38"/>
    </row>
    <row r="627" spans="6:26" ht="15" thickBot="1">
      <c r="F627" s="38"/>
      <c r="G627" s="38"/>
      <c r="H627" s="38"/>
      <c r="I627" s="38"/>
      <c r="J627" s="38"/>
      <c r="K627" s="38"/>
      <c r="L627" s="38"/>
      <c r="M627" s="38"/>
      <c r="N627" s="38"/>
      <c r="O627" s="38"/>
      <c r="P627" s="38"/>
      <c r="Q627" s="38"/>
      <c r="R627" s="38"/>
      <c r="S627" s="38"/>
      <c r="T627" s="38"/>
      <c r="U627" s="38"/>
      <c r="V627" s="38"/>
      <c r="W627" s="38"/>
      <c r="X627" s="38"/>
      <c r="Y627" s="38"/>
      <c r="Z627" s="38"/>
    </row>
    <row r="628" spans="6:26" ht="15" thickBot="1">
      <c r="F628" s="38"/>
      <c r="G628" s="38"/>
      <c r="H628" s="38"/>
      <c r="I628" s="38"/>
      <c r="J628" s="38"/>
      <c r="K628" s="38"/>
      <c r="L628" s="38"/>
      <c r="M628" s="38"/>
      <c r="N628" s="38"/>
      <c r="O628" s="38"/>
      <c r="P628" s="38"/>
      <c r="Q628" s="38"/>
      <c r="R628" s="38"/>
      <c r="S628" s="38"/>
      <c r="T628" s="38"/>
      <c r="U628" s="38"/>
      <c r="V628" s="38"/>
      <c r="W628" s="38"/>
      <c r="X628" s="38"/>
      <c r="Y628" s="38"/>
      <c r="Z628" s="38"/>
    </row>
    <row r="629" spans="6:26" ht="15" thickBot="1">
      <c r="F629" s="38"/>
      <c r="G629" s="38"/>
      <c r="H629" s="38"/>
      <c r="I629" s="38"/>
      <c r="J629" s="38"/>
      <c r="K629" s="38"/>
      <c r="L629" s="38"/>
      <c r="M629" s="38"/>
      <c r="N629" s="38"/>
      <c r="O629" s="38"/>
      <c r="P629" s="38"/>
      <c r="Q629" s="38"/>
      <c r="R629" s="38"/>
      <c r="S629" s="38"/>
      <c r="T629" s="38"/>
      <c r="U629" s="38"/>
      <c r="V629" s="38"/>
      <c r="W629" s="38"/>
      <c r="X629" s="38"/>
      <c r="Y629" s="38"/>
      <c r="Z629" s="38"/>
    </row>
    <row r="630" spans="6:26" ht="15" thickBot="1">
      <c r="F630" s="38"/>
      <c r="G630" s="38"/>
      <c r="H630" s="38"/>
      <c r="I630" s="38"/>
      <c r="J630" s="38"/>
      <c r="K630" s="38"/>
      <c r="L630" s="38"/>
      <c r="M630" s="38"/>
      <c r="N630" s="38"/>
      <c r="O630" s="38"/>
      <c r="P630" s="38"/>
      <c r="Q630" s="38"/>
      <c r="R630" s="38"/>
      <c r="S630" s="38"/>
      <c r="T630" s="38"/>
      <c r="U630" s="38"/>
      <c r="V630" s="38"/>
      <c r="W630" s="38"/>
      <c r="X630" s="38"/>
      <c r="Y630" s="38"/>
      <c r="Z630" s="38"/>
    </row>
    <row r="631" spans="6:26" ht="15" thickBot="1">
      <c r="F631" s="38"/>
      <c r="G631" s="38"/>
      <c r="H631" s="38"/>
      <c r="I631" s="38"/>
      <c r="J631" s="38"/>
      <c r="K631" s="38"/>
      <c r="L631" s="38"/>
      <c r="M631" s="38"/>
      <c r="N631" s="38"/>
      <c r="O631" s="38"/>
      <c r="P631" s="38"/>
      <c r="Q631" s="38"/>
      <c r="R631" s="38"/>
      <c r="S631" s="38"/>
      <c r="T631" s="38"/>
      <c r="U631" s="38"/>
      <c r="V631" s="38"/>
      <c r="W631" s="38"/>
      <c r="X631" s="38"/>
      <c r="Y631" s="38"/>
      <c r="Z631" s="38"/>
    </row>
    <row r="632" spans="6:26" ht="15" thickBot="1">
      <c r="F632" s="38"/>
      <c r="G632" s="38"/>
      <c r="H632" s="38"/>
      <c r="I632" s="38"/>
      <c r="J632" s="38"/>
      <c r="K632" s="38"/>
      <c r="L632" s="38"/>
      <c r="M632" s="38"/>
      <c r="N632" s="38"/>
      <c r="O632" s="38"/>
      <c r="P632" s="38"/>
      <c r="Q632" s="38"/>
      <c r="R632" s="38"/>
      <c r="S632" s="38"/>
      <c r="T632" s="38"/>
      <c r="U632" s="38"/>
      <c r="V632" s="38"/>
      <c r="W632" s="38"/>
      <c r="X632" s="38"/>
      <c r="Y632" s="38"/>
      <c r="Z632" s="38"/>
    </row>
    <row r="633" spans="6:26" ht="15" thickBot="1">
      <c r="F633" s="38"/>
      <c r="G633" s="38"/>
      <c r="H633" s="38"/>
      <c r="I633" s="38"/>
      <c r="J633" s="38"/>
      <c r="K633" s="38"/>
      <c r="L633" s="38"/>
      <c r="M633" s="38"/>
      <c r="N633" s="38"/>
      <c r="O633" s="38"/>
      <c r="P633" s="38"/>
      <c r="Q633" s="38"/>
      <c r="R633" s="38"/>
      <c r="S633" s="38"/>
      <c r="T633" s="38"/>
      <c r="U633" s="38"/>
      <c r="V633" s="38"/>
      <c r="W633" s="38"/>
      <c r="X633" s="38"/>
      <c r="Y633" s="38"/>
      <c r="Z633" s="38"/>
    </row>
    <row r="634" spans="6:26" ht="15" thickBot="1">
      <c r="F634" s="38"/>
      <c r="G634" s="38"/>
      <c r="H634" s="38"/>
      <c r="I634" s="38"/>
      <c r="J634" s="38"/>
      <c r="K634" s="38"/>
      <c r="L634" s="38"/>
      <c r="M634" s="38"/>
      <c r="N634" s="38"/>
      <c r="O634" s="38"/>
      <c r="P634" s="38"/>
      <c r="Q634" s="38"/>
      <c r="R634" s="38"/>
      <c r="S634" s="38"/>
      <c r="T634" s="38"/>
      <c r="U634" s="38"/>
      <c r="V634" s="38"/>
      <c r="W634" s="38"/>
      <c r="X634" s="38"/>
      <c r="Y634" s="38"/>
      <c r="Z634" s="38"/>
    </row>
    <row r="635" spans="6:26" ht="15" thickBot="1">
      <c r="F635" s="38"/>
      <c r="G635" s="38"/>
      <c r="H635" s="38"/>
      <c r="I635" s="38"/>
      <c r="J635" s="38"/>
      <c r="K635" s="38"/>
      <c r="L635" s="38"/>
      <c r="M635" s="38"/>
      <c r="N635" s="38"/>
      <c r="O635" s="38"/>
      <c r="P635" s="38"/>
      <c r="Q635" s="38"/>
      <c r="R635" s="38"/>
      <c r="S635" s="38"/>
      <c r="T635" s="38"/>
      <c r="U635" s="38"/>
      <c r="V635" s="38"/>
      <c r="W635" s="38"/>
      <c r="X635" s="38"/>
      <c r="Y635" s="38"/>
      <c r="Z635" s="38"/>
    </row>
    <row r="636" spans="6:26" ht="15" thickBot="1">
      <c r="F636" s="38"/>
      <c r="G636" s="38"/>
      <c r="H636" s="38"/>
      <c r="I636" s="38"/>
      <c r="J636" s="38"/>
      <c r="K636" s="38"/>
      <c r="L636" s="38"/>
      <c r="M636" s="38"/>
      <c r="N636" s="38"/>
      <c r="O636" s="38"/>
      <c r="P636" s="38"/>
      <c r="Q636" s="38"/>
      <c r="R636" s="38"/>
      <c r="S636" s="38"/>
      <c r="T636" s="38"/>
      <c r="U636" s="38"/>
      <c r="V636" s="38"/>
      <c r="W636" s="38"/>
      <c r="X636" s="38"/>
      <c r="Y636" s="38"/>
      <c r="Z636" s="38"/>
    </row>
    <row r="637" spans="6:26" ht="15" thickBot="1">
      <c r="F637" s="38"/>
      <c r="G637" s="38"/>
      <c r="H637" s="38"/>
      <c r="I637" s="38"/>
      <c r="J637" s="38"/>
      <c r="K637" s="38"/>
      <c r="L637" s="38"/>
      <c r="M637" s="38"/>
      <c r="N637" s="38"/>
      <c r="O637" s="38"/>
      <c r="P637" s="38"/>
      <c r="Q637" s="38"/>
      <c r="R637" s="38"/>
      <c r="S637" s="38"/>
      <c r="T637" s="38"/>
      <c r="U637" s="38"/>
      <c r="V637" s="38"/>
      <c r="W637" s="38"/>
      <c r="X637" s="38"/>
      <c r="Y637" s="38"/>
      <c r="Z637" s="38"/>
    </row>
    <row r="638" spans="6:26" ht="15" thickBot="1">
      <c r="F638" s="38"/>
      <c r="G638" s="38"/>
      <c r="H638" s="38"/>
      <c r="I638" s="38"/>
      <c r="J638" s="38"/>
      <c r="K638" s="38"/>
      <c r="L638" s="38"/>
      <c r="M638" s="38"/>
      <c r="N638" s="38"/>
      <c r="O638" s="38"/>
      <c r="P638" s="38"/>
      <c r="Q638" s="38"/>
      <c r="R638" s="38"/>
      <c r="S638" s="38"/>
      <c r="T638" s="38"/>
      <c r="U638" s="38"/>
      <c r="V638" s="38"/>
      <c r="W638" s="38"/>
      <c r="X638" s="38"/>
      <c r="Y638" s="38"/>
      <c r="Z638" s="38"/>
    </row>
    <row r="639" spans="6:26" ht="15" thickBot="1">
      <c r="F639" s="38"/>
      <c r="G639" s="38"/>
      <c r="H639" s="38"/>
      <c r="I639" s="38"/>
      <c r="J639" s="38"/>
      <c r="K639" s="38"/>
      <c r="L639" s="38"/>
      <c r="M639" s="38"/>
      <c r="N639" s="38"/>
      <c r="O639" s="38"/>
      <c r="P639" s="38"/>
      <c r="Q639" s="38"/>
      <c r="R639" s="38"/>
      <c r="S639" s="38"/>
      <c r="T639" s="38"/>
      <c r="U639" s="38"/>
      <c r="V639" s="38"/>
      <c r="W639" s="38"/>
      <c r="X639" s="38"/>
      <c r="Y639" s="38"/>
      <c r="Z639" s="38"/>
    </row>
    <row r="640" spans="6:26" ht="15" thickBot="1">
      <c r="F640" s="38"/>
      <c r="G640" s="38"/>
      <c r="H640" s="38"/>
      <c r="I640" s="38"/>
      <c r="J640" s="38"/>
      <c r="K640" s="38"/>
      <c r="L640" s="38"/>
      <c r="M640" s="38"/>
      <c r="N640" s="38"/>
      <c r="O640" s="38"/>
      <c r="P640" s="38"/>
      <c r="Q640" s="38"/>
      <c r="R640" s="38"/>
      <c r="S640" s="38"/>
      <c r="T640" s="38"/>
      <c r="U640" s="38"/>
      <c r="V640" s="38"/>
      <c r="W640" s="38"/>
      <c r="X640" s="38"/>
      <c r="Y640" s="38"/>
      <c r="Z640" s="38"/>
    </row>
    <row r="641" spans="6:26" ht="15" thickBot="1">
      <c r="F641" s="38"/>
      <c r="G641" s="38"/>
      <c r="H641" s="38"/>
      <c r="I641" s="38"/>
      <c r="J641" s="38"/>
      <c r="K641" s="38"/>
      <c r="L641" s="38"/>
      <c r="M641" s="38"/>
      <c r="N641" s="38"/>
      <c r="O641" s="38"/>
      <c r="P641" s="38"/>
      <c r="Q641" s="38"/>
      <c r="R641" s="38"/>
      <c r="S641" s="38"/>
      <c r="T641" s="38"/>
      <c r="U641" s="38"/>
      <c r="V641" s="38"/>
      <c r="W641" s="38"/>
      <c r="X641" s="38"/>
      <c r="Y641" s="38"/>
      <c r="Z641" s="38"/>
    </row>
    <row r="642" spans="6:26" ht="15" thickBot="1">
      <c r="F642" s="38"/>
      <c r="G642" s="38"/>
      <c r="H642" s="38"/>
      <c r="I642" s="38"/>
      <c r="J642" s="38"/>
      <c r="K642" s="38"/>
      <c r="L642" s="38"/>
      <c r="M642" s="38"/>
      <c r="N642" s="38"/>
      <c r="O642" s="38"/>
      <c r="P642" s="38"/>
      <c r="Q642" s="38"/>
      <c r="R642" s="38"/>
      <c r="S642" s="38"/>
      <c r="T642" s="38"/>
      <c r="U642" s="38"/>
      <c r="V642" s="38"/>
      <c r="W642" s="38"/>
      <c r="X642" s="38"/>
      <c r="Y642" s="38"/>
      <c r="Z642" s="38"/>
    </row>
    <row r="643" spans="6:26" ht="15" thickBot="1">
      <c r="F643" s="38"/>
      <c r="G643" s="38"/>
      <c r="H643" s="38"/>
      <c r="I643" s="38"/>
      <c r="J643" s="38"/>
      <c r="K643" s="38"/>
      <c r="L643" s="38"/>
      <c r="M643" s="38"/>
      <c r="N643" s="38"/>
      <c r="O643" s="38"/>
      <c r="P643" s="38"/>
      <c r="Q643" s="38"/>
      <c r="R643" s="38"/>
      <c r="S643" s="38"/>
      <c r="T643" s="38"/>
      <c r="U643" s="38"/>
      <c r="V643" s="38"/>
      <c r="W643" s="38"/>
      <c r="X643" s="38"/>
      <c r="Y643" s="38"/>
      <c r="Z643" s="38"/>
    </row>
    <row r="644" spans="6:26" ht="15" thickBot="1">
      <c r="F644" s="38"/>
      <c r="G644" s="38"/>
      <c r="H644" s="38"/>
      <c r="I644" s="38"/>
      <c r="J644" s="38"/>
      <c r="K644" s="38"/>
      <c r="L644" s="38"/>
      <c r="M644" s="38"/>
      <c r="N644" s="38"/>
      <c r="O644" s="38"/>
      <c r="P644" s="38"/>
      <c r="Q644" s="38"/>
      <c r="R644" s="38"/>
      <c r="S644" s="38"/>
      <c r="T644" s="38"/>
      <c r="U644" s="38"/>
      <c r="V644" s="38"/>
      <c r="W644" s="38"/>
      <c r="X644" s="38"/>
      <c r="Y644" s="38"/>
      <c r="Z644" s="38"/>
    </row>
    <row r="645" spans="6:26" ht="15" thickBot="1">
      <c r="F645" s="38"/>
      <c r="G645" s="38"/>
      <c r="H645" s="38"/>
      <c r="I645" s="38"/>
      <c r="J645" s="38"/>
      <c r="K645" s="38"/>
      <c r="L645" s="38"/>
      <c r="M645" s="38"/>
      <c r="N645" s="38"/>
      <c r="O645" s="38"/>
      <c r="P645" s="38"/>
      <c r="Q645" s="38"/>
      <c r="R645" s="38"/>
      <c r="S645" s="38"/>
      <c r="T645" s="38"/>
      <c r="U645" s="38"/>
      <c r="V645" s="38"/>
      <c r="W645" s="38"/>
      <c r="X645" s="38"/>
      <c r="Y645" s="38"/>
      <c r="Z645" s="38"/>
    </row>
    <row r="646" spans="6:26" ht="15" thickBot="1">
      <c r="F646" s="38"/>
      <c r="G646" s="38"/>
      <c r="H646" s="38"/>
      <c r="I646" s="38"/>
      <c r="J646" s="38"/>
      <c r="K646" s="38"/>
      <c r="L646" s="38"/>
      <c r="M646" s="38"/>
      <c r="N646" s="38"/>
      <c r="O646" s="38"/>
      <c r="P646" s="38"/>
      <c r="Q646" s="38"/>
      <c r="R646" s="38"/>
      <c r="S646" s="38"/>
      <c r="T646" s="38"/>
      <c r="U646" s="38"/>
      <c r="V646" s="38"/>
      <c r="W646" s="38"/>
      <c r="X646" s="38"/>
      <c r="Y646" s="38"/>
      <c r="Z646" s="38"/>
    </row>
    <row r="647" spans="6:26" ht="15" thickBot="1">
      <c r="F647" s="38"/>
      <c r="G647" s="38"/>
      <c r="H647" s="38"/>
      <c r="I647" s="38"/>
      <c r="J647" s="38"/>
      <c r="K647" s="38"/>
      <c r="L647" s="38"/>
      <c r="M647" s="38"/>
      <c r="N647" s="38"/>
      <c r="O647" s="38"/>
      <c r="P647" s="38"/>
      <c r="Q647" s="38"/>
      <c r="R647" s="38"/>
      <c r="S647" s="38"/>
      <c r="T647" s="38"/>
      <c r="U647" s="38"/>
      <c r="V647" s="38"/>
      <c r="W647" s="38"/>
      <c r="X647" s="38"/>
      <c r="Y647" s="38"/>
      <c r="Z647" s="38"/>
    </row>
    <row r="648" spans="6:26" ht="15" thickBot="1">
      <c r="F648" s="38"/>
      <c r="G648" s="38"/>
      <c r="H648" s="38"/>
      <c r="I648" s="38"/>
      <c r="J648" s="38"/>
      <c r="K648" s="38"/>
      <c r="L648" s="38"/>
      <c r="M648" s="38"/>
      <c r="N648" s="38"/>
      <c r="O648" s="38"/>
      <c r="P648" s="38"/>
      <c r="Q648" s="38"/>
      <c r="R648" s="38"/>
      <c r="S648" s="38"/>
      <c r="T648" s="38"/>
      <c r="U648" s="38"/>
      <c r="V648" s="38"/>
      <c r="W648" s="38"/>
      <c r="X648" s="38"/>
      <c r="Y648" s="38"/>
      <c r="Z648" s="38"/>
    </row>
    <row r="649" spans="6:26" ht="15" thickBot="1">
      <c r="F649" s="38"/>
      <c r="G649" s="38"/>
      <c r="H649" s="38"/>
      <c r="I649" s="38"/>
      <c r="J649" s="38"/>
      <c r="K649" s="38"/>
      <c r="L649" s="38"/>
      <c r="M649" s="38"/>
      <c r="N649" s="38"/>
      <c r="O649" s="38"/>
      <c r="P649" s="38"/>
      <c r="Q649" s="38"/>
      <c r="R649" s="38"/>
      <c r="S649" s="38"/>
      <c r="T649" s="38"/>
      <c r="U649" s="38"/>
      <c r="V649" s="38"/>
      <c r="W649" s="38"/>
      <c r="X649" s="38"/>
      <c r="Y649" s="38"/>
      <c r="Z649" s="38"/>
    </row>
    <row r="650" spans="6:26" ht="15" thickBot="1">
      <c r="F650" s="38"/>
      <c r="G650" s="38"/>
      <c r="H650" s="38"/>
      <c r="I650" s="38"/>
      <c r="J650" s="38"/>
      <c r="K650" s="38"/>
      <c r="L650" s="38"/>
      <c r="M650" s="38"/>
      <c r="N650" s="38"/>
      <c r="O650" s="38"/>
      <c r="P650" s="38"/>
      <c r="Q650" s="38"/>
      <c r="R650" s="38"/>
      <c r="S650" s="38"/>
      <c r="T650" s="38"/>
      <c r="U650" s="38"/>
      <c r="V650" s="38"/>
      <c r="W650" s="38"/>
      <c r="X650" s="38"/>
      <c r="Y650" s="38"/>
      <c r="Z650" s="38"/>
    </row>
    <row r="651" spans="6:26" ht="15" thickBot="1">
      <c r="F651" s="38"/>
      <c r="G651" s="38"/>
      <c r="H651" s="38"/>
      <c r="I651" s="38"/>
      <c r="J651" s="38"/>
      <c r="K651" s="38"/>
      <c r="L651" s="38"/>
      <c r="M651" s="38"/>
      <c r="N651" s="38"/>
      <c r="O651" s="38"/>
      <c r="P651" s="38"/>
      <c r="Q651" s="38"/>
      <c r="R651" s="38"/>
      <c r="S651" s="38"/>
      <c r="T651" s="38"/>
      <c r="U651" s="38"/>
      <c r="V651" s="38"/>
      <c r="W651" s="38"/>
      <c r="X651" s="38"/>
      <c r="Y651" s="38"/>
      <c r="Z651" s="38"/>
    </row>
    <row r="652" spans="6:26" ht="15" thickBot="1">
      <c r="F652" s="38"/>
      <c r="G652" s="38"/>
      <c r="H652" s="38"/>
      <c r="I652" s="38"/>
      <c r="J652" s="38"/>
      <c r="K652" s="38"/>
      <c r="L652" s="38"/>
      <c r="M652" s="38"/>
      <c r="N652" s="38"/>
      <c r="O652" s="38"/>
      <c r="P652" s="38"/>
      <c r="Q652" s="38"/>
      <c r="R652" s="38"/>
      <c r="S652" s="38"/>
      <c r="T652" s="38"/>
      <c r="U652" s="38"/>
      <c r="V652" s="38"/>
      <c r="W652" s="38"/>
      <c r="X652" s="38"/>
      <c r="Y652" s="38"/>
      <c r="Z652" s="38"/>
    </row>
    <row r="653" spans="6:26" ht="15" thickBot="1">
      <c r="F653" s="38"/>
      <c r="G653" s="38"/>
      <c r="H653" s="38"/>
      <c r="I653" s="38"/>
      <c r="J653" s="38"/>
      <c r="K653" s="38"/>
      <c r="L653" s="38"/>
      <c r="M653" s="38"/>
      <c r="N653" s="38"/>
      <c r="O653" s="38"/>
      <c r="P653" s="38"/>
      <c r="Q653" s="38"/>
      <c r="R653" s="38"/>
      <c r="S653" s="38"/>
      <c r="T653" s="38"/>
      <c r="U653" s="38"/>
      <c r="V653" s="38"/>
      <c r="W653" s="38"/>
      <c r="X653" s="38"/>
      <c r="Y653" s="38"/>
      <c r="Z653" s="38"/>
    </row>
    <row r="654" spans="6:26" ht="15" thickBot="1">
      <c r="F654" s="38"/>
      <c r="G654" s="38"/>
      <c r="H654" s="38"/>
      <c r="I654" s="38"/>
      <c r="J654" s="38"/>
      <c r="K654" s="38"/>
      <c r="L654" s="38"/>
      <c r="M654" s="38"/>
      <c r="N654" s="38"/>
      <c r="O654" s="38"/>
      <c r="P654" s="38"/>
      <c r="Q654" s="38"/>
      <c r="R654" s="38"/>
      <c r="S654" s="38"/>
      <c r="T654" s="38"/>
      <c r="U654" s="38"/>
      <c r="V654" s="38"/>
      <c r="W654" s="38"/>
      <c r="X654" s="38"/>
      <c r="Y654" s="38"/>
      <c r="Z654" s="38"/>
    </row>
    <row r="655" spans="6:26" ht="15" thickBot="1">
      <c r="F655" s="38"/>
      <c r="G655" s="38"/>
      <c r="H655" s="38"/>
      <c r="I655" s="38"/>
      <c r="J655" s="38"/>
      <c r="K655" s="38"/>
      <c r="L655" s="38"/>
      <c r="M655" s="38"/>
      <c r="N655" s="38"/>
      <c r="O655" s="38"/>
      <c r="P655" s="38"/>
      <c r="Q655" s="38"/>
      <c r="R655" s="38"/>
      <c r="S655" s="38"/>
      <c r="T655" s="38"/>
      <c r="U655" s="38"/>
      <c r="V655" s="38"/>
      <c r="W655" s="38"/>
      <c r="X655" s="38"/>
      <c r="Y655" s="38"/>
      <c r="Z655" s="38"/>
    </row>
    <row r="656" spans="6:26" ht="15" thickBot="1">
      <c r="F656" s="38"/>
      <c r="G656" s="38"/>
      <c r="H656" s="38"/>
      <c r="I656" s="38"/>
      <c r="J656" s="38"/>
      <c r="K656" s="38"/>
      <c r="L656" s="38"/>
      <c r="M656" s="38"/>
      <c r="N656" s="38"/>
      <c r="O656" s="38"/>
      <c r="P656" s="38"/>
      <c r="Q656" s="38"/>
      <c r="R656" s="38"/>
      <c r="S656" s="38"/>
      <c r="T656" s="38"/>
      <c r="U656" s="38"/>
      <c r="V656" s="38"/>
      <c r="W656" s="38"/>
      <c r="X656" s="38"/>
      <c r="Y656" s="38"/>
      <c r="Z656" s="38"/>
    </row>
    <row r="657" spans="6:26" ht="15" thickBot="1">
      <c r="F657" s="38"/>
      <c r="G657" s="38"/>
      <c r="H657" s="38"/>
      <c r="I657" s="38"/>
      <c r="J657" s="38"/>
      <c r="K657" s="38"/>
      <c r="L657" s="38"/>
      <c r="M657" s="38"/>
      <c r="N657" s="38"/>
      <c r="O657" s="38"/>
      <c r="P657" s="38"/>
      <c r="Q657" s="38"/>
      <c r="R657" s="38"/>
      <c r="S657" s="38"/>
      <c r="T657" s="38"/>
      <c r="U657" s="38"/>
      <c r="V657" s="38"/>
      <c r="W657" s="38"/>
      <c r="X657" s="38"/>
      <c r="Y657" s="38"/>
      <c r="Z657" s="38"/>
    </row>
    <row r="658" spans="6:26" ht="15" thickBot="1">
      <c r="F658" s="38"/>
      <c r="G658" s="38"/>
      <c r="H658" s="38"/>
      <c r="I658" s="38"/>
      <c r="J658" s="38"/>
      <c r="K658" s="38"/>
      <c r="L658" s="38"/>
      <c r="M658" s="38"/>
      <c r="N658" s="38"/>
      <c r="O658" s="38"/>
      <c r="P658" s="38"/>
      <c r="Q658" s="38"/>
      <c r="R658" s="38"/>
      <c r="S658" s="38"/>
      <c r="T658" s="38"/>
      <c r="U658" s="38"/>
      <c r="V658" s="38"/>
      <c r="W658" s="38"/>
      <c r="X658" s="38"/>
      <c r="Y658" s="38"/>
      <c r="Z658" s="38"/>
    </row>
    <row r="659" spans="6:26" ht="15" thickBot="1">
      <c r="F659" s="38"/>
      <c r="G659" s="38"/>
      <c r="H659" s="38"/>
      <c r="I659" s="38"/>
      <c r="J659" s="38"/>
      <c r="K659" s="38"/>
      <c r="L659" s="38"/>
      <c r="M659" s="38"/>
      <c r="N659" s="38"/>
      <c r="O659" s="38"/>
      <c r="P659" s="38"/>
      <c r="Q659" s="38"/>
      <c r="R659" s="38"/>
      <c r="S659" s="38"/>
      <c r="T659" s="38"/>
      <c r="U659" s="38"/>
      <c r="V659" s="38"/>
      <c r="W659" s="38"/>
      <c r="X659" s="38"/>
      <c r="Y659" s="38"/>
      <c r="Z659" s="38"/>
    </row>
    <row r="660" spans="6:26" ht="15" thickBot="1">
      <c r="F660" s="38"/>
      <c r="G660" s="38"/>
      <c r="H660" s="38"/>
      <c r="I660" s="38"/>
      <c r="J660" s="38"/>
      <c r="K660" s="38"/>
      <c r="L660" s="38"/>
      <c r="M660" s="38"/>
      <c r="N660" s="38"/>
      <c r="O660" s="38"/>
      <c r="P660" s="38"/>
      <c r="Q660" s="38"/>
      <c r="R660" s="38"/>
      <c r="S660" s="38"/>
      <c r="T660" s="38"/>
      <c r="U660" s="38"/>
      <c r="V660" s="38"/>
      <c r="W660" s="38"/>
      <c r="X660" s="38"/>
      <c r="Y660" s="38"/>
      <c r="Z660" s="38"/>
    </row>
    <row r="661" spans="6:26" ht="15" thickBot="1">
      <c r="F661" s="38"/>
      <c r="G661" s="38"/>
      <c r="H661" s="38"/>
      <c r="I661" s="38"/>
      <c r="J661" s="38"/>
      <c r="K661" s="38"/>
      <c r="L661" s="38"/>
      <c r="M661" s="38"/>
      <c r="N661" s="38"/>
      <c r="O661" s="38"/>
      <c r="P661" s="38"/>
      <c r="Q661" s="38"/>
      <c r="R661" s="38"/>
      <c r="S661" s="38"/>
      <c r="T661" s="38"/>
      <c r="U661" s="38"/>
      <c r="V661" s="38"/>
      <c r="W661" s="38"/>
      <c r="X661" s="38"/>
      <c r="Y661" s="38"/>
      <c r="Z661" s="38"/>
    </row>
    <row r="662" spans="6:26" ht="15" thickBot="1">
      <c r="F662" s="38"/>
      <c r="G662" s="38"/>
      <c r="H662" s="38"/>
      <c r="I662" s="38"/>
      <c r="J662" s="38"/>
      <c r="K662" s="38"/>
      <c r="L662" s="38"/>
      <c r="M662" s="38"/>
      <c r="N662" s="38"/>
      <c r="O662" s="38"/>
      <c r="P662" s="38"/>
      <c r="Q662" s="38"/>
      <c r="R662" s="38"/>
      <c r="S662" s="38"/>
      <c r="T662" s="38"/>
      <c r="U662" s="38"/>
      <c r="V662" s="38"/>
      <c r="W662" s="38"/>
      <c r="X662" s="38"/>
      <c r="Y662" s="38"/>
      <c r="Z662" s="38"/>
    </row>
    <row r="663" spans="6:26" ht="15" thickBot="1">
      <c r="F663" s="38"/>
      <c r="G663" s="38"/>
      <c r="H663" s="38"/>
      <c r="I663" s="38"/>
      <c r="J663" s="38"/>
      <c r="K663" s="38"/>
      <c r="L663" s="38"/>
      <c r="M663" s="38"/>
      <c r="N663" s="38"/>
      <c r="O663" s="38"/>
      <c r="P663" s="38"/>
      <c r="Q663" s="38"/>
      <c r="R663" s="38"/>
      <c r="S663" s="38"/>
      <c r="T663" s="38"/>
      <c r="U663" s="38"/>
      <c r="V663" s="38"/>
      <c r="W663" s="38"/>
      <c r="X663" s="38"/>
      <c r="Y663" s="38"/>
      <c r="Z663" s="38"/>
    </row>
    <row r="664" spans="6:26" ht="15" thickBot="1">
      <c r="F664" s="38"/>
      <c r="G664" s="38"/>
      <c r="H664" s="38"/>
      <c r="I664" s="38"/>
      <c r="J664" s="38"/>
      <c r="K664" s="38"/>
      <c r="L664" s="38"/>
      <c r="M664" s="38"/>
      <c r="N664" s="38"/>
      <c r="O664" s="38"/>
      <c r="P664" s="38"/>
      <c r="Q664" s="38"/>
      <c r="R664" s="38"/>
      <c r="S664" s="38"/>
      <c r="T664" s="38"/>
      <c r="U664" s="38"/>
      <c r="V664" s="38"/>
      <c r="W664" s="38"/>
      <c r="X664" s="38"/>
      <c r="Y664" s="38"/>
      <c r="Z664" s="38"/>
    </row>
    <row r="665" spans="6:26" ht="15" thickBot="1">
      <c r="F665" s="38"/>
      <c r="G665" s="38"/>
      <c r="H665" s="38"/>
      <c r="I665" s="38"/>
      <c r="J665" s="38"/>
      <c r="K665" s="38"/>
      <c r="L665" s="38"/>
      <c r="M665" s="38"/>
      <c r="N665" s="38"/>
      <c r="O665" s="38"/>
      <c r="P665" s="38"/>
      <c r="Q665" s="38"/>
      <c r="R665" s="38"/>
      <c r="S665" s="38"/>
      <c r="T665" s="38"/>
      <c r="U665" s="38"/>
      <c r="V665" s="38"/>
      <c r="W665" s="38"/>
      <c r="X665" s="38"/>
      <c r="Y665" s="38"/>
      <c r="Z665" s="38"/>
    </row>
    <row r="666" spans="6:26" ht="15" thickBot="1">
      <c r="F666" s="38"/>
      <c r="G666" s="38"/>
      <c r="H666" s="38"/>
      <c r="I666" s="38"/>
      <c r="J666" s="38"/>
      <c r="K666" s="38"/>
      <c r="L666" s="38"/>
      <c r="M666" s="38"/>
      <c r="N666" s="38"/>
      <c r="O666" s="38"/>
      <c r="P666" s="38"/>
      <c r="Q666" s="38"/>
      <c r="R666" s="38"/>
      <c r="S666" s="38"/>
      <c r="T666" s="38"/>
      <c r="U666" s="38"/>
      <c r="V666" s="38"/>
      <c r="W666" s="38"/>
      <c r="X666" s="38"/>
      <c r="Y666" s="38"/>
      <c r="Z666" s="38"/>
    </row>
    <row r="667" spans="6:26" ht="15" thickBot="1">
      <c r="F667" s="38"/>
      <c r="G667" s="38"/>
      <c r="H667" s="38"/>
      <c r="I667" s="38"/>
      <c r="J667" s="38"/>
      <c r="K667" s="38"/>
      <c r="L667" s="38"/>
      <c r="M667" s="38"/>
      <c r="N667" s="38"/>
      <c r="O667" s="38"/>
      <c r="P667" s="38"/>
      <c r="Q667" s="38"/>
      <c r="R667" s="38"/>
      <c r="S667" s="38"/>
      <c r="T667" s="38"/>
      <c r="U667" s="38"/>
      <c r="V667" s="38"/>
      <c r="W667" s="38"/>
      <c r="X667" s="38"/>
      <c r="Y667" s="38"/>
      <c r="Z667" s="38"/>
    </row>
    <row r="668" spans="6:26" ht="15" thickBot="1">
      <c r="F668" s="38"/>
      <c r="G668" s="38"/>
      <c r="H668" s="38"/>
      <c r="I668" s="38"/>
      <c r="J668" s="38"/>
      <c r="K668" s="38"/>
      <c r="L668" s="38"/>
      <c r="M668" s="38"/>
      <c r="N668" s="38"/>
      <c r="O668" s="38"/>
      <c r="P668" s="38"/>
      <c r="Q668" s="38"/>
      <c r="R668" s="38"/>
      <c r="S668" s="38"/>
      <c r="T668" s="38"/>
      <c r="U668" s="38"/>
      <c r="V668" s="38"/>
      <c r="W668" s="38"/>
      <c r="X668" s="38"/>
      <c r="Y668" s="38"/>
      <c r="Z668" s="38"/>
    </row>
    <row r="669" spans="6:26" ht="15" thickBot="1">
      <c r="F669" s="38"/>
      <c r="G669" s="38"/>
      <c r="H669" s="38"/>
      <c r="I669" s="38"/>
      <c r="J669" s="38"/>
      <c r="K669" s="38"/>
      <c r="L669" s="38"/>
      <c r="M669" s="38"/>
      <c r="N669" s="38"/>
      <c r="O669" s="38"/>
      <c r="P669" s="38"/>
      <c r="Q669" s="38"/>
      <c r="R669" s="38"/>
      <c r="S669" s="38"/>
      <c r="T669" s="38"/>
      <c r="U669" s="38"/>
      <c r="V669" s="38"/>
      <c r="W669" s="38"/>
      <c r="X669" s="38"/>
      <c r="Y669" s="38"/>
      <c r="Z669" s="38"/>
    </row>
    <row r="670" spans="6:26" ht="15" thickBot="1">
      <c r="F670" s="38"/>
      <c r="G670" s="38"/>
      <c r="H670" s="38"/>
      <c r="I670" s="38"/>
      <c r="J670" s="38"/>
      <c r="K670" s="38"/>
      <c r="L670" s="38"/>
      <c r="M670" s="38"/>
      <c r="N670" s="38"/>
      <c r="O670" s="38"/>
      <c r="P670" s="38"/>
      <c r="Q670" s="38"/>
      <c r="R670" s="38"/>
      <c r="S670" s="38"/>
      <c r="T670" s="38"/>
      <c r="U670" s="38"/>
      <c r="V670" s="38"/>
      <c r="W670" s="38"/>
      <c r="X670" s="38"/>
      <c r="Y670" s="38"/>
      <c r="Z670" s="38"/>
    </row>
    <row r="671" spans="6:26" ht="15" thickBot="1">
      <c r="F671" s="38"/>
      <c r="G671" s="38"/>
      <c r="H671" s="38"/>
      <c r="I671" s="38"/>
      <c r="J671" s="38"/>
      <c r="K671" s="38"/>
      <c r="L671" s="38"/>
      <c r="M671" s="38"/>
      <c r="N671" s="38"/>
      <c r="O671" s="38"/>
      <c r="P671" s="38"/>
      <c r="Q671" s="38"/>
      <c r="R671" s="38"/>
      <c r="S671" s="38"/>
      <c r="T671" s="38"/>
      <c r="U671" s="38"/>
      <c r="V671" s="38"/>
      <c r="W671" s="38"/>
      <c r="X671" s="38"/>
      <c r="Y671" s="38"/>
      <c r="Z671" s="38"/>
    </row>
    <row r="672" spans="6:26" ht="15" thickBot="1">
      <c r="F672" s="38"/>
      <c r="G672" s="38"/>
      <c r="H672" s="38"/>
      <c r="I672" s="38"/>
      <c r="J672" s="38"/>
      <c r="K672" s="38"/>
      <c r="L672" s="38"/>
      <c r="M672" s="38"/>
      <c r="N672" s="38"/>
      <c r="O672" s="38"/>
      <c r="P672" s="38"/>
      <c r="Q672" s="38"/>
      <c r="R672" s="38"/>
      <c r="S672" s="38"/>
      <c r="T672" s="38"/>
      <c r="U672" s="38"/>
      <c r="V672" s="38"/>
      <c r="W672" s="38"/>
      <c r="X672" s="38"/>
      <c r="Y672" s="38"/>
      <c r="Z672" s="38"/>
    </row>
    <row r="673" spans="6:26" ht="15" thickBot="1">
      <c r="F673" s="38"/>
      <c r="G673" s="38"/>
      <c r="H673" s="38"/>
      <c r="I673" s="38"/>
      <c r="J673" s="38"/>
      <c r="K673" s="38"/>
      <c r="L673" s="38"/>
      <c r="M673" s="38"/>
      <c r="N673" s="38"/>
      <c r="O673" s="38"/>
      <c r="P673" s="38"/>
      <c r="Q673" s="38"/>
      <c r="R673" s="38"/>
      <c r="S673" s="38"/>
      <c r="T673" s="38"/>
      <c r="U673" s="38"/>
      <c r="V673" s="38"/>
      <c r="W673" s="38"/>
      <c r="X673" s="38"/>
      <c r="Y673" s="38"/>
      <c r="Z673" s="38"/>
    </row>
    <row r="674" spans="6:26" ht="15" thickBot="1">
      <c r="F674" s="38"/>
      <c r="G674" s="38"/>
      <c r="H674" s="38"/>
      <c r="I674" s="38"/>
      <c r="J674" s="38"/>
      <c r="K674" s="38"/>
      <c r="L674" s="38"/>
      <c r="M674" s="38"/>
      <c r="N674" s="38"/>
      <c r="O674" s="38"/>
      <c r="P674" s="38"/>
      <c r="Q674" s="38"/>
      <c r="R674" s="38"/>
      <c r="S674" s="38"/>
      <c r="T674" s="38"/>
      <c r="U674" s="38"/>
      <c r="V674" s="38"/>
      <c r="W674" s="38"/>
      <c r="X674" s="38"/>
      <c r="Y674" s="38"/>
      <c r="Z674" s="38"/>
    </row>
    <row r="675" spans="6:26" ht="15" thickBot="1">
      <c r="F675" s="38"/>
      <c r="G675" s="38"/>
      <c r="H675" s="38"/>
      <c r="I675" s="38"/>
      <c r="J675" s="38"/>
      <c r="K675" s="38"/>
      <c r="L675" s="38"/>
      <c r="M675" s="38"/>
      <c r="N675" s="38"/>
      <c r="O675" s="38"/>
      <c r="P675" s="38"/>
      <c r="Q675" s="38"/>
      <c r="R675" s="38"/>
      <c r="S675" s="38"/>
      <c r="T675" s="38"/>
      <c r="U675" s="38"/>
      <c r="V675" s="38"/>
      <c r="W675" s="38"/>
      <c r="X675" s="38"/>
      <c r="Y675" s="38"/>
      <c r="Z675" s="38"/>
    </row>
    <row r="676" spans="6:26" ht="15" thickBot="1">
      <c r="F676" s="38"/>
      <c r="G676" s="38"/>
      <c r="H676" s="38"/>
      <c r="I676" s="38"/>
      <c r="J676" s="38"/>
      <c r="K676" s="38"/>
      <c r="L676" s="38"/>
      <c r="M676" s="38"/>
      <c r="N676" s="38"/>
      <c r="O676" s="38"/>
      <c r="P676" s="38"/>
      <c r="Q676" s="38"/>
      <c r="R676" s="38"/>
      <c r="S676" s="38"/>
      <c r="T676" s="38"/>
      <c r="U676" s="38"/>
      <c r="V676" s="38"/>
      <c r="W676" s="38"/>
      <c r="X676" s="38"/>
      <c r="Y676" s="38"/>
      <c r="Z676" s="38"/>
    </row>
    <row r="677" spans="6:26" ht="15" thickBot="1">
      <c r="F677" s="38"/>
      <c r="G677" s="38"/>
      <c r="H677" s="38"/>
      <c r="I677" s="38"/>
      <c r="J677" s="38"/>
      <c r="K677" s="38"/>
      <c r="L677" s="38"/>
      <c r="M677" s="38"/>
      <c r="N677" s="38"/>
      <c r="O677" s="38"/>
      <c r="P677" s="38"/>
      <c r="Q677" s="38"/>
      <c r="R677" s="38"/>
      <c r="S677" s="38"/>
      <c r="T677" s="38"/>
      <c r="U677" s="38"/>
      <c r="V677" s="38"/>
      <c r="W677" s="38"/>
      <c r="X677" s="38"/>
      <c r="Y677" s="38"/>
      <c r="Z677" s="38"/>
    </row>
    <row r="678" spans="6:26" ht="15" thickBot="1">
      <c r="F678" s="38"/>
      <c r="G678" s="38"/>
      <c r="H678" s="38"/>
      <c r="I678" s="38"/>
      <c r="J678" s="38"/>
      <c r="K678" s="38"/>
      <c r="L678" s="38"/>
      <c r="M678" s="38"/>
      <c r="N678" s="38"/>
      <c r="O678" s="38"/>
      <c r="P678" s="38"/>
      <c r="Q678" s="38"/>
      <c r="R678" s="38"/>
      <c r="S678" s="38"/>
      <c r="T678" s="38"/>
      <c r="U678" s="38"/>
      <c r="V678" s="38"/>
      <c r="W678" s="38"/>
      <c r="X678" s="38"/>
      <c r="Y678" s="38"/>
      <c r="Z678" s="38"/>
    </row>
    <row r="679" spans="6:26" ht="15" thickBot="1">
      <c r="F679" s="38"/>
      <c r="G679" s="38"/>
      <c r="H679" s="38"/>
      <c r="I679" s="38"/>
      <c r="J679" s="38"/>
      <c r="K679" s="38"/>
      <c r="L679" s="38"/>
      <c r="M679" s="38"/>
      <c r="N679" s="38"/>
      <c r="O679" s="38"/>
      <c r="P679" s="38"/>
      <c r="Q679" s="38"/>
      <c r="R679" s="38"/>
      <c r="S679" s="38"/>
      <c r="T679" s="38"/>
      <c r="U679" s="38"/>
      <c r="V679" s="38"/>
      <c r="W679" s="38"/>
      <c r="X679" s="38"/>
      <c r="Y679" s="38"/>
      <c r="Z679" s="38"/>
    </row>
    <row r="680" spans="6:26" ht="15" thickBot="1">
      <c r="F680" s="38"/>
      <c r="G680" s="38"/>
      <c r="H680" s="38"/>
      <c r="I680" s="38"/>
      <c r="J680" s="38"/>
      <c r="K680" s="38"/>
      <c r="L680" s="38"/>
      <c r="M680" s="38"/>
      <c r="N680" s="38"/>
      <c r="O680" s="38"/>
      <c r="P680" s="38"/>
      <c r="Q680" s="38"/>
      <c r="R680" s="38"/>
      <c r="S680" s="38"/>
      <c r="T680" s="38"/>
      <c r="U680" s="38"/>
      <c r="V680" s="38"/>
      <c r="W680" s="38"/>
      <c r="X680" s="38"/>
      <c r="Y680" s="38"/>
      <c r="Z680" s="38"/>
    </row>
    <row r="681" spans="6:26" ht="15" thickBot="1">
      <c r="F681" s="38"/>
      <c r="G681" s="38"/>
      <c r="H681" s="38"/>
      <c r="I681" s="38"/>
      <c r="J681" s="38"/>
      <c r="K681" s="38"/>
      <c r="L681" s="38"/>
      <c r="M681" s="38"/>
      <c r="N681" s="38"/>
      <c r="O681" s="38"/>
      <c r="P681" s="38"/>
      <c r="Q681" s="38"/>
      <c r="R681" s="38"/>
      <c r="S681" s="38"/>
      <c r="T681" s="38"/>
      <c r="U681" s="38"/>
      <c r="V681" s="38"/>
      <c r="W681" s="38"/>
      <c r="X681" s="38"/>
      <c r="Y681" s="38"/>
      <c r="Z681" s="38"/>
    </row>
    <row r="682" spans="6:26" ht="15" thickBot="1">
      <c r="F682" s="38"/>
      <c r="G682" s="38"/>
      <c r="H682" s="38"/>
      <c r="I682" s="38"/>
      <c r="J682" s="38"/>
      <c r="K682" s="38"/>
      <c r="L682" s="38"/>
      <c r="M682" s="38"/>
      <c r="N682" s="38"/>
      <c r="O682" s="38"/>
      <c r="P682" s="38"/>
      <c r="Q682" s="38"/>
      <c r="R682" s="38"/>
      <c r="S682" s="38"/>
      <c r="T682" s="38"/>
      <c r="U682" s="38"/>
      <c r="V682" s="38"/>
      <c r="W682" s="38"/>
      <c r="X682" s="38"/>
      <c r="Y682" s="38"/>
      <c r="Z682" s="38"/>
    </row>
    <row r="683" spans="6:26" ht="15" thickBot="1">
      <c r="F683" s="38"/>
      <c r="G683" s="38"/>
      <c r="H683" s="38"/>
      <c r="I683" s="38"/>
      <c r="J683" s="38"/>
      <c r="K683" s="38"/>
      <c r="L683" s="38"/>
      <c r="M683" s="38"/>
      <c r="N683" s="38"/>
      <c r="O683" s="38"/>
      <c r="P683" s="38"/>
      <c r="Q683" s="38"/>
      <c r="R683" s="38"/>
      <c r="S683" s="38"/>
      <c r="T683" s="38"/>
      <c r="U683" s="38"/>
      <c r="V683" s="38"/>
      <c r="W683" s="38"/>
      <c r="X683" s="38"/>
      <c r="Y683" s="38"/>
      <c r="Z683" s="38"/>
    </row>
    <row r="684" spans="6:26" ht="15" thickBot="1">
      <c r="F684" s="38"/>
      <c r="G684" s="38"/>
      <c r="H684" s="38"/>
      <c r="I684" s="38"/>
      <c r="J684" s="38"/>
      <c r="K684" s="38"/>
      <c r="L684" s="38"/>
      <c r="M684" s="38"/>
      <c r="N684" s="38"/>
      <c r="O684" s="38"/>
      <c r="P684" s="38"/>
      <c r="Q684" s="38"/>
      <c r="R684" s="38"/>
      <c r="S684" s="38"/>
      <c r="T684" s="38"/>
      <c r="U684" s="38"/>
      <c r="V684" s="38"/>
      <c r="W684" s="38"/>
      <c r="X684" s="38"/>
      <c r="Y684" s="38"/>
      <c r="Z684" s="38"/>
    </row>
    <row r="685" spans="6:26" ht="15" thickBot="1">
      <c r="F685" s="38"/>
      <c r="G685" s="38"/>
      <c r="H685" s="38"/>
      <c r="I685" s="38"/>
      <c r="J685" s="38"/>
      <c r="K685" s="38"/>
      <c r="L685" s="38"/>
      <c r="M685" s="38"/>
      <c r="N685" s="38"/>
      <c r="O685" s="38"/>
      <c r="P685" s="38"/>
      <c r="Q685" s="38"/>
      <c r="R685" s="38"/>
      <c r="S685" s="38"/>
      <c r="T685" s="38"/>
      <c r="U685" s="38"/>
      <c r="V685" s="38"/>
      <c r="W685" s="38"/>
      <c r="X685" s="38"/>
      <c r="Y685" s="38"/>
      <c r="Z685" s="38"/>
    </row>
    <row r="686" spans="6:26" ht="15" thickBot="1">
      <c r="F686" s="38"/>
      <c r="G686" s="38"/>
      <c r="H686" s="38"/>
      <c r="I686" s="38"/>
      <c r="J686" s="38"/>
      <c r="K686" s="38"/>
      <c r="L686" s="38"/>
      <c r="M686" s="38"/>
      <c r="N686" s="38"/>
      <c r="O686" s="38"/>
      <c r="P686" s="38"/>
      <c r="Q686" s="38"/>
      <c r="R686" s="38"/>
      <c r="S686" s="38"/>
      <c r="T686" s="38"/>
      <c r="U686" s="38"/>
      <c r="V686" s="38"/>
      <c r="W686" s="38"/>
      <c r="X686" s="38"/>
      <c r="Y686" s="38"/>
      <c r="Z686" s="38"/>
    </row>
    <row r="687" spans="6:26" ht="15" thickBot="1">
      <c r="F687" s="38"/>
      <c r="G687" s="38"/>
      <c r="H687" s="38"/>
      <c r="I687" s="38"/>
      <c r="J687" s="38"/>
      <c r="K687" s="38"/>
      <c r="L687" s="38"/>
      <c r="M687" s="38"/>
      <c r="N687" s="38"/>
      <c r="O687" s="38"/>
      <c r="P687" s="38"/>
      <c r="Q687" s="38"/>
      <c r="R687" s="38"/>
      <c r="S687" s="38"/>
      <c r="T687" s="38"/>
      <c r="U687" s="38"/>
      <c r="V687" s="38"/>
      <c r="W687" s="38"/>
      <c r="X687" s="38"/>
      <c r="Y687" s="38"/>
      <c r="Z687" s="38"/>
    </row>
    <row r="688" spans="6:26" ht="15" thickBot="1">
      <c r="F688" s="38"/>
      <c r="G688" s="38"/>
      <c r="H688" s="38"/>
      <c r="I688" s="38"/>
      <c r="J688" s="38"/>
      <c r="K688" s="38"/>
      <c r="L688" s="38"/>
      <c r="M688" s="38"/>
      <c r="N688" s="38"/>
      <c r="O688" s="38"/>
      <c r="P688" s="38"/>
      <c r="Q688" s="38"/>
      <c r="R688" s="38"/>
      <c r="S688" s="38"/>
      <c r="T688" s="38"/>
      <c r="U688" s="38"/>
      <c r="V688" s="38"/>
      <c r="W688" s="38"/>
      <c r="X688" s="38"/>
      <c r="Y688" s="38"/>
      <c r="Z688" s="38"/>
    </row>
    <row r="689" spans="6:26" ht="15" thickBot="1">
      <c r="F689" s="38"/>
      <c r="G689" s="38"/>
      <c r="H689" s="38"/>
      <c r="I689" s="38"/>
      <c r="J689" s="38"/>
      <c r="K689" s="38"/>
      <c r="L689" s="38"/>
      <c r="M689" s="38"/>
      <c r="N689" s="38"/>
      <c r="O689" s="38"/>
      <c r="P689" s="38"/>
      <c r="Q689" s="38"/>
      <c r="R689" s="38"/>
      <c r="S689" s="38"/>
      <c r="T689" s="38"/>
      <c r="U689" s="38"/>
      <c r="V689" s="38"/>
      <c r="W689" s="38"/>
      <c r="X689" s="38"/>
      <c r="Y689" s="38"/>
      <c r="Z689" s="38"/>
    </row>
    <row r="690" spans="6:26" ht="15" thickBot="1">
      <c r="F690" s="38"/>
      <c r="G690" s="38"/>
      <c r="H690" s="38"/>
      <c r="I690" s="38"/>
      <c r="J690" s="38"/>
      <c r="K690" s="38"/>
      <c r="L690" s="38"/>
      <c r="M690" s="38"/>
      <c r="N690" s="38"/>
      <c r="O690" s="38"/>
      <c r="P690" s="38"/>
      <c r="Q690" s="38"/>
      <c r="R690" s="38"/>
      <c r="S690" s="38"/>
      <c r="T690" s="38"/>
      <c r="U690" s="38"/>
      <c r="V690" s="38"/>
      <c r="W690" s="38"/>
      <c r="X690" s="38"/>
      <c r="Y690" s="38"/>
      <c r="Z690" s="38"/>
    </row>
    <row r="691" spans="6:26" ht="15" thickBot="1">
      <c r="F691" s="38"/>
      <c r="G691" s="38"/>
      <c r="H691" s="38"/>
      <c r="I691" s="38"/>
      <c r="J691" s="38"/>
      <c r="K691" s="38"/>
      <c r="L691" s="38"/>
      <c r="M691" s="38"/>
      <c r="N691" s="38"/>
      <c r="O691" s="38"/>
      <c r="P691" s="38"/>
      <c r="Q691" s="38"/>
      <c r="R691" s="38"/>
      <c r="S691" s="38"/>
      <c r="T691" s="38"/>
      <c r="U691" s="38"/>
      <c r="V691" s="38"/>
      <c r="W691" s="38"/>
      <c r="X691" s="38"/>
      <c r="Y691" s="38"/>
      <c r="Z691" s="38"/>
    </row>
    <row r="692" spans="6:26" ht="15" thickBot="1">
      <c r="F692" s="38"/>
      <c r="G692" s="38"/>
      <c r="H692" s="38"/>
      <c r="I692" s="38"/>
      <c r="J692" s="38"/>
      <c r="K692" s="38"/>
      <c r="L692" s="38"/>
      <c r="M692" s="38"/>
      <c r="N692" s="38"/>
      <c r="O692" s="38"/>
      <c r="P692" s="38"/>
      <c r="Q692" s="38"/>
      <c r="R692" s="38"/>
      <c r="S692" s="38"/>
      <c r="T692" s="38"/>
      <c r="U692" s="38"/>
      <c r="V692" s="38"/>
      <c r="W692" s="38"/>
      <c r="X692" s="38"/>
      <c r="Y692" s="38"/>
      <c r="Z692" s="38"/>
    </row>
    <row r="693" spans="6:26" ht="15" thickBot="1">
      <c r="F693" s="38"/>
      <c r="G693" s="38"/>
      <c r="H693" s="38"/>
      <c r="I693" s="38"/>
      <c r="J693" s="38"/>
      <c r="K693" s="38"/>
      <c r="L693" s="38"/>
      <c r="M693" s="38"/>
      <c r="N693" s="38"/>
      <c r="O693" s="38"/>
      <c r="P693" s="38"/>
      <c r="Q693" s="38"/>
      <c r="R693" s="38"/>
      <c r="S693" s="38"/>
      <c r="T693" s="38"/>
      <c r="U693" s="38"/>
      <c r="V693" s="38"/>
      <c r="W693" s="38"/>
      <c r="X693" s="38"/>
      <c r="Y693" s="38"/>
      <c r="Z693" s="38"/>
    </row>
    <row r="694" spans="6:26" ht="15" thickBot="1">
      <c r="F694" s="38"/>
      <c r="G694" s="38"/>
      <c r="H694" s="38"/>
      <c r="I694" s="38"/>
      <c r="J694" s="38"/>
      <c r="K694" s="38"/>
      <c r="L694" s="38"/>
      <c r="M694" s="38"/>
      <c r="N694" s="38"/>
      <c r="O694" s="38"/>
      <c r="P694" s="38"/>
      <c r="Q694" s="38"/>
      <c r="R694" s="38"/>
      <c r="S694" s="38"/>
      <c r="T694" s="38"/>
      <c r="U694" s="38"/>
      <c r="V694" s="38"/>
      <c r="W694" s="38"/>
      <c r="X694" s="38"/>
      <c r="Y694" s="38"/>
      <c r="Z694" s="38"/>
    </row>
    <row r="695" spans="6:26" ht="15" thickBot="1">
      <c r="F695" s="38"/>
      <c r="G695" s="38"/>
      <c r="H695" s="38"/>
      <c r="I695" s="38"/>
      <c r="J695" s="38"/>
      <c r="K695" s="38"/>
      <c r="L695" s="38"/>
      <c r="M695" s="38"/>
      <c r="N695" s="38"/>
      <c r="O695" s="38"/>
      <c r="P695" s="38"/>
      <c r="Q695" s="38"/>
      <c r="R695" s="38"/>
      <c r="S695" s="38"/>
      <c r="T695" s="38"/>
      <c r="U695" s="38"/>
      <c r="V695" s="38"/>
      <c r="W695" s="38"/>
      <c r="X695" s="38"/>
      <c r="Y695" s="38"/>
      <c r="Z695" s="38"/>
    </row>
    <row r="696" spans="6:26" ht="15" thickBot="1">
      <c r="F696" s="38"/>
      <c r="G696" s="38"/>
      <c r="H696" s="38"/>
      <c r="I696" s="38"/>
      <c r="J696" s="38"/>
      <c r="K696" s="38"/>
      <c r="L696" s="38"/>
      <c r="M696" s="38"/>
      <c r="N696" s="38"/>
      <c r="O696" s="38"/>
      <c r="P696" s="38"/>
      <c r="Q696" s="38"/>
      <c r="R696" s="38"/>
      <c r="S696" s="38"/>
      <c r="T696" s="38"/>
      <c r="U696" s="38"/>
      <c r="V696" s="38"/>
      <c r="W696" s="38"/>
      <c r="X696" s="38"/>
      <c r="Y696" s="38"/>
      <c r="Z696" s="38"/>
    </row>
    <row r="697" spans="6:26" ht="15" thickBot="1">
      <c r="F697" s="38"/>
      <c r="G697" s="38"/>
      <c r="H697" s="38"/>
      <c r="I697" s="38"/>
      <c r="J697" s="38"/>
      <c r="K697" s="38"/>
      <c r="L697" s="38"/>
      <c r="M697" s="38"/>
      <c r="N697" s="38"/>
      <c r="O697" s="38"/>
      <c r="P697" s="38"/>
      <c r="Q697" s="38"/>
      <c r="R697" s="38"/>
      <c r="S697" s="38"/>
      <c r="T697" s="38"/>
      <c r="U697" s="38"/>
      <c r="V697" s="38"/>
      <c r="W697" s="38"/>
      <c r="X697" s="38"/>
      <c r="Y697" s="38"/>
      <c r="Z697" s="38"/>
    </row>
    <row r="698" spans="6:26" ht="15" thickBot="1">
      <c r="F698" s="38"/>
      <c r="G698" s="38"/>
      <c r="H698" s="38"/>
      <c r="I698" s="38"/>
      <c r="J698" s="38"/>
      <c r="K698" s="38"/>
      <c r="L698" s="38"/>
      <c r="M698" s="38"/>
      <c r="N698" s="38"/>
      <c r="O698" s="38"/>
      <c r="P698" s="38"/>
      <c r="Q698" s="38"/>
      <c r="R698" s="38"/>
      <c r="S698" s="38"/>
      <c r="T698" s="38"/>
      <c r="U698" s="38"/>
      <c r="V698" s="38"/>
      <c r="W698" s="38"/>
      <c r="X698" s="38"/>
      <c r="Y698" s="38"/>
      <c r="Z698" s="38"/>
    </row>
    <row r="699" spans="6:26" ht="15" thickBot="1">
      <c r="F699" s="38"/>
      <c r="G699" s="38"/>
      <c r="H699" s="38"/>
      <c r="I699" s="38"/>
      <c r="J699" s="38"/>
      <c r="K699" s="38"/>
      <c r="L699" s="38"/>
      <c r="M699" s="38"/>
      <c r="N699" s="38"/>
      <c r="O699" s="38"/>
      <c r="P699" s="38"/>
      <c r="Q699" s="38"/>
      <c r="R699" s="38"/>
      <c r="S699" s="38"/>
      <c r="T699" s="38"/>
      <c r="U699" s="38"/>
      <c r="V699" s="38"/>
      <c r="W699" s="38"/>
      <c r="X699" s="38"/>
      <c r="Y699" s="38"/>
      <c r="Z699" s="38"/>
    </row>
    <row r="700" spans="6:26" ht="15" thickBot="1">
      <c r="F700" s="38"/>
      <c r="G700" s="38"/>
      <c r="H700" s="38"/>
      <c r="I700" s="38"/>
      <c r="J700" s="38"/>
      <c r="K700" s="38"/>
      <c r="L700" s="38"/>
      <c r="M700" s="38"/>
      <c r="N700" s="38"/>
      <c r="O700" s="38"/>
      <c r="P700" s="38"/>
      <c r="Q700" s="38"/>
      <c r="R700" s="38"/>
      <c r="S700" s="38"/>
      <c r="T700" s="38"/>
      <c r="U700" s="38"/>
      <c r="V700" s="38"/>
      <c r="W700" s="38"/>
      <c r="X700" s="38"/>
      <c r="Y700" s="38"/>
      <c r="Z700" s="38"/>
    </row>
    <row r="701" spans="6:26" ht="15" thickBot="1">
      <c r="F701" s="38"/>
      <c r="G701" s="38"/>
      <c r="H701" s="38"/>
      <c r="I701" s="38"/>
      <c r="J701" s="38"/>
      <c r="K701" s="38"/>
      <c r="L701" s="38"/>
      <c r="M701" s="38"/>
      <c r="N701" s="38"/>
      <c r="O701" s="38"/>
      <c r="P701" s="38"/>
      <c r="Q701" s="38"/>
      <c r="R701" s="38"/>
      <c r="S701" s="38"/>
      <c r="T701" s="38"/>
      <c r="U701" s="38"/>
      <c r="V701" s="38"/>
      <c r="W701" s="38"/>
      <c r="X701" s="38"/>
      <c r="Y701" s="38"/>
      <c r="Z701" s="38"/>
    </row>
    <row r="702" spans="6:26" ht="15" thickBot="1">
      <c r="F702" s="38"/>
      <c r="G702" s="38"/>
      <c r="H702" s="38"/>
      <c r="I702" s="38"/>
      <c r="J702" s="38"/>
      <c r="K702" s="38"/>
      <c r="L702" s="38"/>
      <c r="M702" s="38"/>
      <c r="N702" s="38"/>
      <c r="O702" s="38"/>
      <c r="P702" s="38"/>
      <c r="Q702" s="38"/>
      <c r="R702" s="38"/>
      <c r="S702" s="38"/>
      <c r="T702" s="38"/>
      <c r="U702" s="38"/>
      <c r="V702" s="38"/>
      <c r="W702" s="38"/>
      <c r="X702" s="38"/>
      <c r="Y702" s="38"/>
      <c r="Z702" s="38"/>
    </row>
    <row r="703" spans="6:26" ht="15" thickBot="1">
      <c r="F703" s="38"/>
      <c r="G703" s="38"/>
      <c r="H703" s="38"/>
      <c r="I703" s="38"/>
      <c r="J703" s="38"/>
      <c r="K703" s="38"/>
      <c r="L703" s="38"/>
      <c r="M703" s="38"/>
      <c r="N703" s="38"/>
      <c r="O703" s="38"/>
      <c r="P703" s="38"/>
      <c r="Q703" s="38"/>
      <c r="R703" s="38"/>
      <c r="S703" s="38"/>
      <c r="T703" s="38"/>
      <c r="U703" s="38"/>
      <c r="V703" s="38"/>
      <c r="W703" s="38"/>
      <c r="X703" s="38"/>
      <c r="Y703" s="38"/>
      <c r="Z703" s="38"/>
    </row>
    <row r="704" spans="6:26" ht="15" thickBot="1">
      <c r="F704" s="38"/>
      <c r="G704" s="38"/>
      <c r="H704" s="38"/>
      <c r="I704" s="38"/>
      <c r="J704" s="38"/>
      <c r="K704" s="38"/>
      <c r="L704" s="38"/>
      <c r="M704" s="38"/>
      <c r="N704" s="38"/>
      <c r="O704" s="38"/>
      <c r="P704" s="38"/>
      <c r="Q704" s="38"/>
      <c r="R704" s="38"/>
      <c r="S704" s="38"/>
      <c r="T704" s="38"/>
      <c r="U704" s="38"/>
      <c r="V704" s="38"/>
      <c r="W704" s="38"/>
      <c r="X704" s="38"/>
      <c r="Y704" s="38"/>
      <c r="Z704" s="38"/>
    </row>
    <row r="705" spans="6:26" ht="15" thickBot="1">
      <c r="F705" s="38"/>
      <c r="G705" s="38"/>
      <c r="H705" s="38"/>
      <c r="I705" s="38"/>
      <c r="J705" s="38"/>
      <c r="K705" s="38"/>
      <c r="L705" s="38"/>
      <c r="M705" s="38"/>
      <c r="N705" s="38"/>
      <c r="O705" s="38"/>
      <c r="P705" s="38"/>
      <c r="Q705" s="38"/>
      <c r="R705" s="38"/>
      <c r="S705" s="38"/>
      <c r="T705" s="38"/>
      <c r="U705" s="38"/>
      <c r="V705" s="38"/>
      <c r="W705" s="38"/>
      <c r="X705" s="38"/>
      <c r="Y705" s="38"/>
      <c r="Z705" s="38"/>
    </row>
    <row r="706" spans="6:26" ht="15" thickBot="1">
      <c r="F706" s="38"/>
      <c r="G706" s="38"/>
      <c r="H706" s="38"/>
      <c r="I706" s="38"/>
      <c r="J706" s="38"/>
      <c r="K706" s="38"/>
      <c r="L706" s="38"/>
      <c r="M706" s="38"/>
      <c r="N706" s="38"/>
      <c r="O706" s="38"/>
      <c r="P706" s="38"/>
      <c r="Q706" s="38"/>
      <c r="R706" s="38"/>
      <c r="S706" s="38"/>
      <c r="T706" s="38"/>
      <c r="U706" s="38"/>
      <c r="V706" s="38"/>
      <c r="W706" s="38"/>
      <c r="X706" s="38"/>
      <c r="Y706" s="38"/>
      <c r="Z706" s="38"/>
    </row>
    <row r="707" spans="6:26" ht="15" thickBot="1">
      <c r="F707" s="38"/>
      <c r="G707" s="38"/>
      <c r="H707" s="38"/>
      <c r="I707" s="38"/>
      <c r="J707" s="38"/>
      <c r="K707" s="38"/>
      <c r="L707" s="38"/>
      <c r="M707" s="38"/>
      <c r="N707" s="38"/>
      <c r="O707" s="38"/>
      <c r="P707" s="38"/>
      <c r="Q707" s="38"/>
      <c r="R707" s="38"/>
      <c r="S707" s="38"/>
      <c r="T707" s="38"/>
      <c r="U707" s="38"/>
      <c r="V707" s="38"/>
      <c r="W707" s="38"/>
      <c r="X707" s="38"/>
      <c r="Y707" s="38"/>
      <c r="Z707" s="38"/>
    </row>
    <row r="708" spans="6:26" ht="15" thickBot="1">
      <c r="F708" s="38"/>
      <c r="G708" s="38"/>
      <c r="H708" s="38"/>
      <c r="I708" s="38"/>
      <c r="J708" s="38"/>
      <c r="K708" s="38"/>
      <c r="L708" s="38"/>
      <c r="M708" s="38"/>
      <c r="N708" s="38"/>
      <c r="O708" s="38"/>
      <c r="P708" s="38"/>
      <c r="Q708" s="38"/>
      <c r="R708" s="38"/>
      <c r="S708" s="38"/>
      <c r="T708" s="38"/>
      <c r="U708" s="38"/>
      <c r="V708" s="38"/>
      <c r="W708" s="38"/>
      <c r="X708" s="38"/>
      <c r="Y708" s="38"/>
      <c r="Z708" s="38"/>
    </row>
    <row r="709" spans="6:26" ht="15" thickBot="1">
      <c r="F709" s="38"/>
      <c r="G709" s="38"/>
      <c r="H709" s="38"/>
      <c r="I709" s="38"/>
      <c r="J709" s="38"/>
      <c r="K709" s="38"/>
      <c r="L709" s="38"/>
      <c r="M709" s="38"/>
      <c r="N709" s="38"/>
      <c r="O709" s="38"/>
      <c r="P709" s="38"/>
      <c r="Q709" s="38"/>
      <c r="R709" s="38"/>
      <c r="S709" s="38"/>
      <c r="T709" s="38"/>
      <c r="U709" s="38"/>
      <c r="V709" s="38"/>
      <c r="W709" s="38"/>
      <c r="X709" s="38"/>
      <c r="Y709" s="38"/>
      <c r="Z709" s="38"/>
    </row>
    <row r="710" spans="6:26" ht="15" thickBot="1">
      <c r="F710" s="38"/>
      <c r="G710" s="38"/>
      <c r="H710" s="38"/>
      <c r="I710" s="38"/>
      <c r="J710" s="38"/>
      <c r="K710" s="38"/>
      <c r="L710" s="38"/>
      <c r="M710" s="38"/>
      <c r="N710" s="38"/>
      <c r="O710" s="38"/>
      <c r="P710" s="38"/>
      <c r="Q710" s="38"/>
      <c r="R710" s="38"/>
      <c r="S710" s="38"/>
      <c r="T710" s="38"/>
      <c r="U710" s="38"/>
      <c r="V710" s="38"/>
      <c r="W710" s="38"/>
      <c r="X710" s="38"/>
      <c r="Y710" s="38"/>
      <c r="Z710" s="38"/>
    </row>
    <row r="711" spans="6:26" ht="15" thickBot="1">
      <c r="F711" s="38"/>
      <c r="G711" s="38"/>
      <c r="H711" s="38"/>
      <c r="I711" s="38"/>
      <c r="J711" s="38"/>
      <c r="K711" s="38"/>
      <c r="L711" s="38"/>
      <c r="M711" s="38"/>
      <c r="N711" s="38"/>
      <c r="O711" s="38"/>
      <c r="P711" s="38"/>
      <c r="Q711" s="38"/>
      <c r="R711" s="38"/>
      <c r="S711" s="38"/>
      <c r="T711" s="38"/>
      <c r="U711" s="38"/>
      <c r="V711" s="38"/>
      <c r="W711" s="38"/>
      <c r="X711" s="38"/>
      <c r="Y711" s="38"/>
      <c r="Z711" s="38"/>
    </row>
    <row r="712" spans="6:26" ht="15" thickBot="1">
      <c r="F712" s="38"/>
      <c r="G712" s="38"/>
      <c r="H712" s="38"/>
      <c r="I712" s="38"/>
      <c r="J712" s="38"/>
      <c r="K712" s="38"/>
      <c r="L712" s="38"/>
      <c r="M712" s="38"/>
      <c r="N712" s="38"/>
      <c r="O712" s="38"/>
      <c r="P712" s="38"/>
      <c r="Q712" s="38"/>
      <c r="R712" s="38"/>
      <c r="S712" s="38"/>
      <c r="T712" s="38"/>
      <c r="U712" s="38"/>
      <c r="V712" s="38"/>
      <c r="W712" s="38"/>
      <c r="X712" s="38"/>
      <c r="Y712" s="38"/>
      <c r="Z712" s="38"/>
    </row>
    <row r="713" spans="6:26" ht="15" thickBot="1">
      <c r="F713" s="38"/>
      <c r="G713" s="38"/>
      <c r="H713" s="38"/>
      <c r="I713" s="38"/>
      <c r="J713" s="38"/>
      <c r="K713" s="38"/>
      <c r="L713" s="38"/>
      <c r="M713" s="38"/>
      <c r="N713" s="38"/>
      <c r="O713" s="38"/>
      <c r="P713" s="38"/>
      <c r="Q713" s="38"/>
      <c r="R713" s="38"/>
      <c r="S713" s="38"/>
      <c r="T713" s="38"/>
      <c r="U713" s="38"/>
      <c r="V713" s="38"/>
      <c r="W713" s="38"/>
      <c r="X713" s="38"/>
      <c r="Y713" s="38"/>
      <c r="Z713" s="38"/>
    </row>
    <row r="714" spans="6:26" ht="15" thickBot="1">
      <c r="F714" s="38"/>
      <c r="G714" s="38"/>
      <c r="H714" s="38"/>
      <c r="I714" s="38"/>
      <c r="J714" s="38"/>
      <c r="K714" s="38"/>
      <c r="L714" s="38"/>
      <c r="M714" s="38"/>
      <c r="N714" s="38"/>
      <c r="O714" s="38"/>
      <c r="P714" s="38"/>
      <c r="Q714" s="38"/>
      <c r="R714" s="38"/>
      <c r="S714" s="38"/>
      <c r="T714" s="38"/>
      <c r="U714" s="38"/>
      <c r="V714" s="38"/>
      <c r="W714" s="38"/>
      <c r="X714" s="38"/>
      <c r="Y714" s="38"/>
      <c r="Z714" s="38"/>
    </row>
    <row r="715" spans="6:26" ht="15" thickBot="1">
      <c r="F715" s="38"/>
      <c r="G715" s="38"/>
      <c r="H715" s="38"/>
      <c r="I715" s="38"/>
      <c r="J715" s="38"/>
      <c r="K715" s="38"/>
      <c r="L715" s="38"/>
      <c r="M715" s="38"/>
      <c r="N715" s="38"/>
      <c r="O715" s="38"/>
      <c r="P715" s="38"/>
      <c r="Q715" s="38"/>
      <c r="R715" s="38"/>
      <c r="S715" s="38"/>
      <c r="T715" s="38"/>
      <c r="U715" s="38"/>
      <c r="V715" s="38"/>
      <c r="W715" s="38"/>
      <c r="X715" s="38"/>
      <c r="Y715" s="38"/>
      <c r="Z715" s="38"/>
    </row>
    <row r="716" spans="6:26" ht="15" thickBot="1">
      <c r="F716" s="38"/>
      <c r="G716" s="38"/>
      <c r="H716" s="38"/>
      <c r="I716" s="38"/>
      <c r="J716" s="38"/>
      <c r="K716" s="38"/>
      <c r="L716" s="38"/>
      <c r="M716" s="38"/>
      <c r="N716" s="38"/>
      <c r="O716" s="38"/>
      <c r="P716" s="38"/>
      <c r="Q716" s="38"/>
      <c r="R716" s="38"/>
      <c r="S716" s="38"/>
      <c r="T716" s="38"/>
      <c r="U716" s="38"/>
      <c r="V716" s="38"/>
      <c r="W716" s="38"/>
      <c r="X716" s="38"/>
      <c r="Y716" s="38"/>
      <c r="Z716" s="38"/>
    </row>
    <row r="717" spans="6:26" ht="15" thickBot="1">
      <c r="F717" s="38"/>
      <c r="G717" s="38"/>
      <c r="H717" s="38"/>
      <c r="I717" s="38"/>
      <c r="J717" s="38"/>
      <c r="K717" s="38"/>
      <c r="L717" s="38"/>
      <c r="M717" s="38"/>
      <c r="N717" s="38"/>
      <c r="O717" s="38"/>
      <c r="P717" s="38"/>
      <c r="Q717" s="38"/>
      <c r="R717" s="38"/>
      <c r="S717" s="38"/>
      <c r="T717" s="38"/>
      <c r="U717" s="38"/>
      <c r="V717" s="38"/>
      <c r="W717" s="38"/>
      <c r="X717" s="38"/>
      <c r="Y717" s="38"/>
      <c r="Z717" s="38"/>
    </row>
    <row r="718" spans="6:26" ht="15" thickBot="1">
      <c r="F718" s="38"/>
      <c r="G718" s="38"/>
      <c r="H718" s="38"/>
      <c r="I718" s="38"/>
      <c r="J718" s="38"/>
      <c r="K718" s="38"/>
      <c r="L718" s="38"/>
      <c r="M718" s="38"/>
      <c r="N718" s="38"/>
      <c r="O718" s="38"/>
      <c r="P718" s="38"/>
      <c r="Q718" s="38"/>
      <c r="R718" s="38"/>
      <c r="S718" s="38"/>
      <c r="T718" s="38"/>
      <c r="U718" s="38"/>
      <c r="V718" s="38"/>
      <c r="W718" s="38"/>
      <c r="X718" s="38"/>
      <c r="Y718" s="38"/>
      <c r="Z718" s="38"/>
    </row>
    <row r="719" spans="6:26" ht="15" thickBot="1">
      <c r="F719" s="38"/>
      <c r="G719" s="38"/>
      <c r="H719" s="38"/>
      <c r="I719" s="38"/>
      <c r="J719" s="38"/>
      <c r="K719" s="38"/>
      <c r="L719" s="38"/>
      <c r="M719" s="38"/>
      <c r="N719" s="38"/>
      <c r="O719" s="38"/>
      <c r="P719" s="38"/>
      <c r="Q719" s="38"/>
      <c r="R719" s="38"/>
      <c r="S719" s="38"/>
      <c r="T719" s="38"/>
      <c r="U719" s="38"/>
      <c r="V719" s="38"/>
      <c r="W719" s="38"/>
      <c r="X719" s="38"/>
      <c r="Y719" s="38"/>
      <c r="Z719" s="38"/>
    </row>
    <row r="720" spans="6:26" ht="15" thickBot="1">
      <c r="F720" s="38"/>
      <c r="G720" s="38"/>
      <c r="H720" s="38"/>
      <c r="I720" s="38"/>
      <c r="J720" s="38"/>
      <c r="K720" s="38"/>
      <c r="L720" s="38"/>
      <c r="M720" s="38"/>
      <c r="N720" s="38"/>
      <c r="O720" s="38"/>
      <c r="P720" s="38"/>
      <c r="Q720" s="38"/>
      <c r="R720" s="38"/>
      <c r="S720" s="38"/>
      <c r="T720" s="38"/>
      <c r="U720" s="38"/>
      <c r="V720" s="38"/>
      <c r="W720" s="38"/>
      <c r="X720" s="38"/>
      <c r="Y720" s="38"/>
      <c r="Z720" s="38"/>
    </row>
    <row r="721" spans="6:26" ht="15" thickBot="1">
      <c r="F721" s="38"/>
      <c r="G721" s="38"/>
      <c r="H721" s="38"/>
      <c r="I721" s="38"/>
      <c r="J721" s="38"/>
      <c r="K721" s="38"/>
      <c r="L721" s="38"/>
      <c r="M721" s="38"/>
      <c r="N721" s="38"/>
      <c r="O721" s="38"/>
      <c r="P721" s="38"/>
      <c r="Q721" s="38"/>
      <c r="R721" s="38"/>
      <c r="S721" s="38"/>
      <c r="T721" s="38"/>
      <c r="U721" s="38"/>
      <c r="V721" s="38"/>
      <c r="W721" s="38"/>
      <c r="X721" s="38"/>
      <c r="Y721" s="38"/>
      <c r="Z721" s="38"/>
    </row>
    <row r="722" spans="6:26" ht="15" thickBot="1">
      <c r="F722" s="38"/>
      <c r="G722" s="38"/>
      <c r="H722" s="38"/>
      <c r="I722" s="38"/>
      <c r="J722" s="38"/>
      <c r="K722" s="38"/>
      <c r="L722" s="38"/>
      <c r="M722" s="38"/>
      <c r="N722" s="38"/>
      <c r="O722" s="38"/>
      <c r="P722" s="38"/>
      <c r="Q722" s="38"/>
      <c r="R722" s="38"/>
      <c r="S722" s="38"/>
      <c r="T722" s="38"/>
      <c r="U722" s="38"/>
      <c r="V722" s="38"/>
      <c r="W722" s="38"/>
      <c r="X722" s="38"/>
      <c r="Y722" s="38"/>
      <c r="Z722" s="38"/>
    </row>
    <row r="723" spans="6:26" ht="15" thickBot="1">
      <c r="F723" s="38"/>
      <c r="G723" s="38"/>
      <c r="H723" s="38"/>
      <c r="I723" s="38"/>
      <c r="J723" s="38"/>
      <c r="K723" s="38"/>
      <c r="L723" s="38"/>
      <c r="M723" s="38"/>
      <c r="N723" s="38"/>
      <c r="O723" s="38"/>
      <c r="P723" s="38"/>
      <c r="Q723" s="38"/>
      <c r="R723" s="38"/>
      <c r="S723" s="38"/>
      <c r="T723" s="38"/>
      <c r="U723" s="38"/>
      <c r="V723" s="38"/>
      <c r="W723" s="38"/>
      <c r="X723" s="38"/>
      <c r="Y723" s="38"/>
      <c r="Z723" s="38"/>
    </row>
    <row r="724" spans="6:26" ht="15" thickBot="1">
      <c r="F724" s="38"/>
      <c r="G724" s="38"/>
      <c r="H724" s="38"/>
      <c r="I724" s="38"/>
      <c r="J724" s="38"/>
      <c r="K724" s="38"/>
      <c r="L724" s="38"/>
      <c r="M724" s="38"/>
      <c r="N724" s="38"/>
      <c r="O724" s="38"/>
      <c r="P724" s="38"/>
      <c r="Q724" s="38"/>
      <c r="R724" s="38"/>
      <c r="S724" s="38"/>
      <c r="T724" s="38"/>
      <c r="U724" s="38"/>
      <c r="V724" s="38"/>
      <c r="W724" s="38"/>
      <c r="X724" s="38"/>
      <c r="Y724" s="38"/>
      <c r="Z724" s="38"/>
    </row>
    <row r="725" spans="6:26" ht="15" thickBot="1">
      <c r="F725" s="38"/>
      <c r="G725" s="38"/>
      <c r="H725" s="38"/>
      <c r="I725" s="38"/>
      <c r="J725" s="38"/>
      <c r="K725" s="38"/>
      <c r="L725" s="38"/>
      <c r="M725" s="38"/>
      <c r="N725" s="38"/>
      <c r="O725" s="38"/>
      <c r="P725" s="38"/>
      <c r="Q725" s="38"/>
      <c r="R725" s="38"/>
      <c r="S725" s="38"/>
      <c r="T725" s="38"/>
      <c r="U725" s="38"/>
      <c r="V725" s="38"/>
      <c r="W725" s="38"/>
      <c r="X725" s="38"/>
      <c r="Y725" s="38"/>
      <c r="Z725" s="38"/>
    </row>
    <row r="726" spans="6:26" ht="15" thickBot="1">
      <c r="F726" s="38"/>
      <c r="G726" s="38"/>
      <c r="H726" s="38"/>
      <c r="I726" s="38"/>
      <c r="J726" s="38"/>
      <c r="K726" s="38"/>
      <c r="L726" s="38"/>
      <c r="M726" s="38"/>
      <c r="N726" s="38"/>
      <c r="O726" s="38"/>
      <c r="P726" s="38"/>
      <c r="Q726" s="38"/>
      <c r="R726" s="38"/>
      <c r="S726" s="38"/>
      <c r="T726" s="38"/>
      <c r="U726" s="38"/>
      <c r="V726" s="38"/>
      <c r="W726" s="38"/>
      <c r="X726" s="38"/>
      <c r="Y726" s="38"/>
      <c r="Z726" s="38"/>
    </row>
    <row r="727" spans="6:26" ht="15" thickBot="1">
      <c r="F727" s="38"/>
      <c r="G727" s="38"/>
      <c r="H727" s="38"/>
      <c r="I727" s="38"/>
      <c r="J727" s="38"/>
      <c r="K727" s="38"/>
      <c r="L727" s="38"/>
      <c r="M727" s="38"/>
      <c r="N727" s="38"/>
      <c r="O727" s="38"/>
      <c r="P727" s="38"/>
      <c r="Q727" s="38"/>
      <c r="R727" s="38"/>
      <c r="S727" s="38"/>
      <c r="T727" s="38"/>
      <c r="U727" s="38"/>
      <c r="V727" s="38"/>
      <c r="W727" s="38"/>
      <c r="X727" s="38"/>
      <c r="Y727" s="38"/>
      <c r="Z727" s="38"/>
    </row>
    <row r="728" spans="6:26" ht="15" thickBot="1">
      <c r="F728" s="38"/>
      <c r="G728" s="38"/>
      <c r="H728" s="38"/>
      <c r="I728" s="38"/>
      <c r="J728" s="38"/>
      <c r="K728" s="38"/>
      <c r="L728" s="38"/>
      <c r="M728" s="38"/>
      <c r="N728" s="38"/>
      <c r="O728" s="38"/>
      <c r="P728" s="38"/>
      <c r="Q728" s="38"/>
      <c r="R728" s="38"/>
      <c r="S728" s="38"/>
      <c r="T728" s="38"/>
      <c r="U728" s="38"/>
      <c r="V728" s="38"/>
      <c r="W728" s="38"/>
      <c r="X728" s="38"/>
      <c r="Y728" s="38"/>
      <c r="Z728" s="38"/>
    </row>
    <row r="729" spans="6:26" ht="15" thickBot="1">
      <c r="F729" s="38"/>
      <c r="G729" s="38"/>
      <c r="H729" s="38"/>
      <c r="I729" s="38"/>
      <c r="J729" s="38"/>
      <c r="K729" s="38"/>
      <c r="L729" s="38"/>
      <c r="M729" s="38"/>
      <c r="N729" s="38"/>
      <c r="O729" s="38"/>
      <c r="P729" s="38"/>
      <c r="Q729" s="38"/>
      <c r="R729" s="38"/>
      <c r="S729" s="38"/>
      <c r="T729" s="38"/>
      <c r="U729" s="38"/>
      <c r="V729" s="38"/>
      <c r="W729" s="38"/>
      <c r="X729" s="38"/>
      <c r="Y729" s="38"/>
      <c r="Z729" s="38"/>
    </row>
    <row r="730" spans="6:26" ht="15" thickBot="1">
      <c r="F730" s="38"/>
      <c r="G730" s="38"/>
      <c r="H730" s="38"/>
      <c r="I730" s="38"/>
      <c r="J730" s="38"/>
      <c r="K730" s="38"/>
      <c r="L730" s="38"/>
      <c r="M730" s="38"/>
      <c r="N730" s="38"/>
      <c r="O730" s="38"/>
      <c r="P730" s="38"/>
      <c r="Q730" s="38"/>
      <c r="R730" s="38"/>
      <c r="S730" s="38"/>
      <c r="T730" s="38"/>
      <c r="U730" s="38"/>
      <c r="V730" s="38"/>
      <c r="W730" s="38"/>
      <c r="X730" s="38"/>
      <c r="Y730" s="38"/>
      <c r="Z730" s="38"/>
    </row>
    <row r="731" spans="6:26" ht="15" thickBot="1">
      <c r="F731" s="38"/>
      <c r="G731" s="38"/>
      <c r="H731" s="38"/>
      <c r="I731" s="38"/>
      <c r="J731" s="38"/>
      <c r="K731" s="38"/>
      <c r="L731" s="38"/>
      <c r="M731" s="38"/>
      <c r="N731" s="38"/>
      <c r="O731" s="38"/>
      <c r="P731" s="38"/>
      <c r="Q731" s="38"/>
      <c r="R731" s="38"/>
      <c r="S731" s="38"/>
      <c r="T731" s="38"/>
      <c r="U731" s="38"/>
      <c r="V731" s="38"/>
      <c r="W731" s="38"/>
      <c r="X731" s="38"/>
      <c r="Y731" s="38"/>
      <c r="Z731" s="38"/>
    </row>
    <row r="732" spans="6:26" ht="15" thickBot="1">
      <c r="F732" s="38"/>
      <c r="G732" s="38"/>
      <c r="H732" s="38"/>
      <c r="I732" s="38"/>
      <c r="J732" s="38"/>
      <c r="K732" s="38"/>
      <c r="L732" s="38"/>
      <c r="M732" s="38"/>
      <c r="N732" s="38"/>
      <c r="O732" s="38"/>
      <c r="P732" s="38"/>
      <c r="Q732" s="38"/>
      <c r="R732" s="38"/>
      <c r="S732" s="38"/>
      <c r="T732" s="38"/>
      <c r="U732" s="38"/>
      <c r="V732" s="38"/>
      <c r="W732" s="38"/>
      <c r="X732" s="38"/>
      <c r="Y732" s="38"/>
      <c r="Z732" s="38"/>
    </row>
    <row r="733" spans="6:26" ht="15" thickBot="1">
      <c r="F733" s="38"/>
      <c r="G733" s="38"/>
      <c r="H733" s="38"/>
      <c r="I733" s="38"/>
      <c r="J733" s="38"/>
      <c r="K733" s="38"/>
      <c r="L733" s="38"/>
      <c r="M733" s="38"/>
      <c r="N733" s="38"/>
      <c r="O733" s="38"/>
      <c r="P733" s="38"/>
      <c r="Q733" s="38"/>
      <c r="R733" s="38"/>
      <c r="S733" s="38"/>
      <c r="T733" s="38"/>
      <c r="U733" s="38"/>
      <c r="V733" s="38"/>
      <c r="W733" s="38"/>
      <c r="X733" s="38"/>
      <c r="Y733" s="38"/>
      <c r="Z733" s="38"/>
    </row>
    <row r="734" spans="6:26" ht="15" thickBot="1">
      <c r="F734" s="38"/>
      <c r="G734" s="38"/>
      <c r="H734" s="38"/>
      <c r="I734" s="38"/>
      <c r="J734" s="38"/>
      <c r="K734" s="38"/>
      <c r="L734" s="38"/>
      <c r="M734" s="38"/>
      <c r="N734" s="38"/>
      <c r="O734" s="38"/>
      <c r="P734" s="38"/>
      <c r="Q734" s="38"/>
      <c r="R734" s="38"/>
      <c r="S734" s="38"/>
      <c r="T734" s="38"/>
      <c r="U734" s="38"/>
      <c r="V734" s="38"/>
      <c r="W734" s="38"/>
      <c r="X734" s="38"/>
      <c r="Y734" s="38"/>
      <c r="Z734" s="38"/>
    </row>
    <row r="735" spans="6:26" ht="15" thickBot="1">
      <c r="F735" s="38"/>
      <c r="G735" s="38"/>
      <c r="H735" s="38"/>
      <c r="I735" s="38"/>
      <c r="J735" s="38"/>
      <c r="K735" s="38"/>
      <c r="L735" s="38"/>
      <c r="M735" s="38"/>
      <c r="N735" s="38"/>
      <c r="O735" s="38"/>
      <c r="P735" s="38"/>
      <c r="Q735" s="38"/>
      <c r="R735" s="38"/>
      <c r="S735" s="38"/>
      <c r="T735" s="38"/>
      <c r="U735" s="38"/>
      <c r="V735" s="38"/>
      <c r="W735" s="38"/>
      <c r="X735" s="38"/>
      <c r="Y735" s="38"/>
      <c r="Z735" s="38"/>
    </row>
    <row r="736" spans="6:26" ht="15" thickBot="1">
      <c r="F736" s="38"/>
      <c r="G736" s="38"/>
      <c r="H736" s="38"/>
      <c r="I736" s="38"/>
      <c r="J736" s="38"/>
      <c r="K736" s="38"/>
      <c r="L736" s="38"/>
      <c r="M736" s="38"/>
      <c r="N736" s="38"/>
      <c r="O736" s="38"/>
      <c r="P736" s="38"/>
      <c r="Q736" s="38"/>
      <c r="R736" s="38"/>
      <c r="S736" s="38"/>
      <c r="T736" s="38"/>
      <c r="U736" s="38"/>
      <c r="V736" s="38"/>
      <c r="W736" s="38"/>
      <c r="X736" s="38"/>
      <c r="Y736" s="38"/>
      <c r="Z736" s="38"/>
    </row>
    <row r="737" spans="6:26" ht="15" thickBot="1">
      <c r="F737" s="38"/>
      <c r="G737" s="38"/>
      <c r="H737" s="38"/>
      <c r="I737" s="38"/>
      <c r="J737" s="38"/>
      <c r="K737" s="38"/>
      <c r="L737" s="38"/>
      <c r="M737" s="38"/>
      <c r="N737" s="38"/>
      <c r="O737" s="38"/>
      <c r="P737" s="38"/>
      <c r="Q737" s="38"/>
      <c r="R737" s="38"/>
      <c r="S737" s="38"/>
      <c r="T737" s="38"/>
      <c r="U737" s="38"/>
      <c r="V737" s="38"/>
      <c r="W737" s="38"/>
      <c r="X737" s="38"/>
      <c r="Y737" s="38"/>
      <c r="Z737" s="38"/>
    </row>
    <row r="738" spans="6:26" ht="15" thickBot="1">
      <c r="F738" s="38"/>
      <c r="G738" s="38"/>
      <c r="H738" s="38"/>
      <c r="I738" s="38"/>
      <c r="J738" s="38"/>
      <c r="K738" s="38"/>
      <c r="L738" s="38"/>
      <c r="M738" s="38"/>
      <c r="N738" s="38"/>
      <c r="O738" s="38"/>
      <c r="P738" s="38"/>
      <c r="Q738" s="38"/>
      <c r="R738" s="38"/>
      <c r="S738" s="38"/>
      <c r="T738" s="38"/>
      <c r="U738" s="38"/>
      <c r="V738" s="38"/>
      <c r="W738" s="38"/>
      <c r="X738" s="38"/>
      <c r="Y738" s="38"/>
      <c r="Z738" s="38"/>
    </row>
    <row r="739" spans="6:26" ht="15" thickBot="1">
      <c r="F739" s="38"/>
      <c r="G739" s="38"/>
      <c r="H739" s="38"/>
      <c r="I739" s="38"/>
      <c r="J739" s="38"/>
      <c r="K739" s="38"/>
      <c r="L739" s="38"/>
      <c r="M739" s="38"/>
      <c r="N739" s="38"/>
      <c r="O739" s="38"/>
      <c r="P739" s="38"/>
      <c r="Q739" s="38"/>
      <c r="R739" s="38"/>
      <c r="S739" s="38"/>
      <c r="T739" s="38"/>
      <c r="U739" s="38"/>
      <c r="V739" s="38"/>
      <c r="W739" s="38"/>
      <c r="X739" s="38"/>
      <c r="Y739" s="38"/>
      <c r="Z739" s="38"/>
    </row>
    <row r="740" spans="6:26" ht="15" thickBot="1">
      <c r="F740" s="38"/>
      <c r="G740" s="38"/>
      <c r="H740" s="38"/>
      <c r="I740" s="38"/>
      <c r="J740" s="38"/>
      <c r="K740" s="38"/>
      <c r="L740" s="38"/>
      <c r="M740" s="38"/>
      <c r="N740" s="38"/>
      <c r="O740" s="38"/>
      <c r="P740" s="38"/>
      <c r="Q740" s="38"/>
      <c r="R740" s="38"/>
      <c r="S740" s="38"/>
      <c r="T740" s="38"/>
      <c r="U740" s="38"/>
      <c r="V740" s="38"/>
      <c r="W740" s="38"/>
      <c r="X740" s="38"/>
      <c r="Y740" s="38"/>
      <c r="Z740" s="38"/>
    </row>
    <row r="741" spans="6:26" ht="15" thickBot="1">
      <c r="F741" s="38"/>
      <c r="G741" s="38"/>
      <c r="H741" s="38"/>
      <c r="I741" s="38"/>
      <c r="J741" s="38"/>
      <c r="K741" s="38"/>
      <c r="L741" s="38"/>
      <c r="M741" s="38"/>
      <c r="N741" s="38"/>
      <c r="O741" s="38"/>
      <c r="P741" s="38"/>
      <c r="Q741" s="38"/>
      <c r="R741" s="38"/>
      <c r="S741" s="38"/>
      <c r="T741" s="38"/>
      <c r="U741" s="38"/>
      <c r="V741" s="38"/>
      <c r="W741" s="38"/>
      <c r="X741" s="38"/>
      <c r="Y741" s="38"/>
      <c r="Z741" s="38"/>
    </row>
    <row r="742" spans="6:26" ht="15" thickBot="1">
      <c r="F742" s="38"/>
      <c r="G742" s="38"/>
      <c r="H742" s="38"/>
      <c r="I742" s="38"/>
      <c r="J742" s="38"/>
      <c r="K742" s="38"/>
      <c r="L742" s="38"/>
      <c r="M742" s="38"/>
      <c r="N742" s="38"/>
      <c r="O742" s="38"/>
      <c r="P742" s="38"/>
      <c r="Q742" s="38"/>
      <c r="R742" s="38"/>
      <c r="S742" s="38"/>
      <c r="T742" s="38"/>
      <c r="U742" s="38"/>
      <c r="V742" s="38"/>
      <c r="W742" s="38"/>
      <c r="X742" s="38"/>
      <c r="Y742" s="38"/>
      <c r="Z742" s="38"/>
    </row>
    <row r="743" spans="6:26" ht="15" thickBot="1">
      <c r="F743" s="38"/>
      <c r="G743" s="38"/>
      <c r="H743" s="38"/>
      <c r="I743" s="38"/>
      <c r="J743" s="38"/>
      <c r="K743" s="38"/>
      <c r="L743" s="38"/>
      <c r="M743" s="38"/>
      <c r="N743" s="38"/>
      <c r="O743" s="38"/>
      <c r="P743" s="38"/>
      <c r="Q743" s="38"/>
      <c r="R743" s="38"/>
      <c r="S743" s="38"/>
      <c r="T743" s="38"/>
      <c r="U743" s="38"/>
      <c r="V743" s="38"/>
      <c r="W743" s="38"/>
      <c r="X743" s="38"/>
      <c r="Y743" s="38"/>
      <c r="Z743" s="38"/>
    </row>
    <row r="744" spans="6:26" ht="15" thickBot="1">
      <c r="F744" s="38"/>
      <c r="G744" s="38"/>
      <c r="H744" s="38"/>
      <c r="I744" s="38"/>
      <c r="J744" s="38"/>
      <c r="K744" s="38"/>
      <c r="L744" s="38"/>
      <c r="M744" s="38"/>
      <c r="N744" s="38"/>
      <c r="O744" s="38"/>
      <c r="P744" s="38"/>
      <c r="Q744" s="38"/>
      <c r="R744" s="38"/>
      <c r="S744" s="38"/>
      <c r="T744" s="38"/>
      <c r="U744" s="38"/>
      <c r="V744" s="38"/>
      <c r="W744" s="38"/>
      <c r="X744" s="38"/>
      <c r="Y744" s="38"/>
      <c r="Z744" s="38"/>
    </row>
    <row r="745" spans="6:26" ht="15" thickBot="1">
      <c r="F745" s="38"/>
      <c r="G745" s="38"/>
      <c r="H745" s="38"/>
      <c r="I745" s="38"/>
      <c r="J745" s="38"/>
      <c r="K745" s="38"/>
      <c r="L745" s="38"/>
      <c r="M745" s="38"/>
      <c r="N745" s="38"/>
      <c r="O745" s="38"/>
      <c r="P745" s="38"/>
      <c r="Q745" s="38"/>
      <c r="R745" s="38"/>
      <c r="S745" s="38"/>
      <c r="T745" s="38"/>
      <c r="U745" s="38"/>
      <c r="V745" s="38"/>
      <c r="W745" s="38"/>
      <c r="X745" s="38"/>
      <c r="Y745" s="38"/>
      <c r="Z745" s="38"/>
    </row>
    <row r="746" spans="6:26" ht="15" thickBot="1">
      <c r="F746" s="38"/>
      <c r="G746" s="38"/>
      <c r="H746" s="38"/>
      <c r="I746" s="38"/>
      <c r="J746" s="38"/>
      <c r="K746" s="38"/>
      <c r="L746" s="38"/>
      <c r="M746" s="38"/>
      <c r="N746" s="38"/>
      <c r="O746" s="38"/>
      <c r="P746" s="38"/>
      <c r="Q746" s="38"/>
      <c r="R746" s="38"/>
      <c r="S746" s="38"/>
      <c r="T746" s="38"/>
      <c r="U746" s="38"/>
      <c r="V746" s="38"/>
      <c r="W746" s="38"/>
      <c r="X746" s="38"/>
      <c r="Y746" s="38"/>
      <c r="Z746" s="38"/>
    </row>
    <row r="747" spans="6:26" ht="15" thickBot="1">
      <c r="F747" s="38"/>
      <c r="G747" s="38"/>
      <c r="H747" s="38"/>
      <c r="I747" s="38"/>
      <c r="J747" s="38"/>
      <c r="K747" s="38"/>
      <c r="L747" s="38"/>
      <c r="M747" s="38"/>
      <c r="N747" s="38"/>
      <c r="O747" s="38"/>
      <c r="P747" s="38"/>
      <c r="Q747" s="38"/>
      <c r="R747" s="38"/>
      <c r="S747" s="38"/>
      <c r="T747" s="38"/>
      <c r="U747" s="38"/>
      <c r="V747" s="38"/>
      <c r="W747" s="38"/>
      <c r="X747" s="38"/>
      <c r="Y747" s="38"/>
      <c r="Z747" s="38"/>
    </row>
    <row r="748" spans="6:26" ht="15" thickBot="1">
      <c r="F748" s="38"/>
      <c r="G748" s="38"/>
      <c r="H748" s="38"/>
      <c r="I748" s="38"/>
      <c r="J748" s="38"/>
      <c r="K748" s="38"/>
      <c r="L748" s="38"/>
      <c r="M748" s="38"/>
      <c r="N748" s="38"/>
      <c r="O748" s="38"/>
      <c r="P748" s="38"/>
      <c r="Q748" s="38"/>
      <c r="R748" s="38"/>
      <c r="S748" s="38"/>
      <c r="T748" s="38"/>
      <c r="U748" s="38"/>
      <c r="V748" s="38"/>
      <c r="W748" s="38"/>
      <c r="X748" s="38"/>
      <c r="Y748" s="38"/>
      <c r="Z748" s="38"/>
    </row>
    <row r="749" spans="6:26" ht="15" thickBot="1">
      <c r="F749" s="38"/>
      <c r="G749" s="38"/>
      <c r="H749" s="38"/>
      <c r="I749" s="38"/>
      <c r="J749" s="38"/>
      <c r="K749" s="38"/>
      <c r="L749" s="38"/>
      <c r="M749" s="38"/>
      <c r="N749" s="38"/>
      <c r="O749" s="38"/>
      <c r="P749" s="38"/>
      <c r="Q749" s="38"/>
      <c r="R749" s="38"/>
      <c r="S749" s="38"/>
      <c r="T749" s="38"/>
      <c r="U749" s="38"/>
      <c r="V749" s="38"/>
      <c r="W749" s="38"/>
      <c r="X749" s="38"/>
      <c r="Y749" s="38"/>
      <c r="Z749" s="38"/>
    </row>
    <row r="750" spans="6:26" ht="15" thickBot="1">
      <c r="F750" s="38"/>
      <c r="G750" s="38"/>
      <c r="H750" s="38"/>
      <c r="I750" s="38"/>
      <c r="J750" s="38"/>
      <c r="K750" s="38"/>
      <c r="L750" s="38"/>
      <c r="M750" s="38"/>
      <c r="N750" s="38"/>
      <c r="O750" s="38"/>
      <c r="P750" s="38"/>
      <c r="Q750" s="38"/>
      <c r="R750" s="38"/>
      <c r="S750" s="38"/>
      <c r="T750" s="38"/>
      <c r="U750" s="38"/>
      <c r="V750" s="38"/>
      <c r="W750" s="38"/>
      <c r="X750" s="38"/>
      <c r="Y750" s="38"/>
      <c r="Z750" s="38"/>
    </row>
    <row r="751" spans="6:26" ht="15" thickBot="1">
      <c r="F751" s="38"/>
      <c r="G751" s="38"/>
      <c r="H751" s="38"/>
      <c r="I751" s="38"/>
      <c r="J751" s="38"/>
      <c r="K751" s="38"/>
      <c r="L751" s="38"/>
      <c r="M751" s="38"/>
      <c r="N751" s="38"/>
      <c r="O751" s="38"/>
      <c r="P751" s="38"/>
      <c r="Q751" s="38"/>
      <c r="R751" s="38"/>
      <c r="S751" s="38"/>
      <c r="T751" s="38"/>
      <c r="U751" s="38"/>
      <c r="V751" s="38"/>
      <c r="W751" s="38"/>
      <c r="X751" s="38"/>
      <c r="Y751" s="38"/>
      <c r="Z751" s="38"/>
    </row>
    <row r="752" spans="6:26" ht="15" thickBot="1">
      <c r="F752" s="38"/>
      <c r="G752" s="38"/>
      <c r="H752" s="38"/>
      <c r="I752" s="38"/>
      <c r="J752" s="38"/>
      <c r="K752" s="38"/>
      <c r="L752" s="38"/>
      <c r="M752" s="38"/>
      <c r="N752" s="38"/>
      <c r="O752" s="38"/>
      <c r="P752" s="38"/>
      <c r="Q752" s="38"/>
      <c r="R752" s="38"/>
      <c r="S752" s="38"/>
      <c r="T752" s="38"/>
      <c r="U752" s="38"/>
      <c r="V752" s="38"/>
      <c r="W752" s="38"/>
      <c r="X752" s="38"/>
      <c r="Y752" s="38"/>
      <c r="Z752" s="38"/>
    </row>
    <row r="753" spans="6:26" ht="15" thickBot="1">
      <c r="F753" s="38"/>
      <c r="G753" s="38"/>
      <c r="H753" s="38"/>
      <c r="I753" s="38"/>
      <c r="J753" s="38"/>
      <c r="K753" s="38"/>
      <c r="L753" s="38"/>
      <c r="M753" s="38"/>
      <c r="N753" s="38"/>
      <c r="O753" s="38"/>
      <c r="P753" s="38"/>
      <c r="Q753" s="38"/>
      <c r="R753" s="38"/>
      <c r="S753" s="38"/>
      <c r="T753" s="38"/>
      <c r="U753" s="38"/>
      <c r="V753" s="38"/>
      <c r="W753" s="38"/>
      <c r="X753" s="38"/>
      <c r="Y753" s="38"/>
      <c r="Z753" s="38"/>
    </row>
    <row r="754" spans="6:26" ht="15" thickBot="1">
      <c r="F754" s="38"/>
      <c r="G754" s="38"/>
      <c r="H754" s="38"/>
      <c r="I754" s="38"/>
      <c r="J754" s="38"/>
      <c r="K754" s="38"/>
      <c r="L754" s="38"/>
      <c r="M754" s="38"/>
      <c r="N754" s="38"/>
      <c r="O754" s="38"/>
      <c r="P754" s="38"/>
      <c r="Q754" s="38"/>
      <c r="R754" s="38"/>
      <c r="S754" s="38"/>
      <c r="T754" s="38"/>
      <c r="U754" s="38"/>
      <c r="V754" s="38"/>
      <c r="W754" s="38"/>
      <c r="X754" s="38"/>
      <c r="Y754" s="38"/>
      <c r="Z754" s="38"/>
    </row>
    <row r="755" spans="6:26" ht="15" thickBot="1">
      <c r="F755" s="38"/>
      <c r="G755" s="38"/>
      <c r="H755" s="38"/>
      <c r="I755" s="38"/>
      <c r="J755" s="38"/>
      <c r="K755" s="38"/>
      <c r="L755" s="38"/>
      <c r="M755" s="38"/>
      <c r="N755" s="38"/>
      <c r="O755" s="38"/>
      <c r="P755" s="38"/>
      <c r="Q755" s="38"/>
      <c r="R755" s="38"/>
      <c r="S755" s="38"/>
      <c r="T755" s="38"/>
      <c r="U755" s="38"/>
      <c r="V755" s="38"/>
      <c r="W755" s="38"/>
      <c r="X755" s="38"/>
      <c r="Y755" s="38"/>
      <c r="Z755" s="38"/>
    </row>
    <row r="756" spans="6:26" ht="15" thickBot="1">
      <c r="F756" s="38"/>
      <c r="G756" s="38"/>
      <c r="H756" s="38"/>
      <c r="I756" s="38"/>
      <c r="J756" s="38"/>
      <c r="K756" s="38"/>
      <c r="L756" s="38"/>
      <c r="M756" s="38"/>
      <c r="N756" s="38"/>
      <c r="O756" s="38"/>
      <c r="P756" s="38"/>
      <c r="Q756" s="38"/>
      <c r="R756" s="38"/>
      <c r="S756" s="38"/>
      <c r="T756" s="38"/>
      <c r="U756" s="38"/>
      <c r="V756" s="38"/>
      <c r="W756" s="38"/>
      <c r="X756" s="38"/>
      <c r="Y756" s="38"/>
      <c r="Z756" s="38"/>
    </row>
    <row r="757" spans="6:26" ht="15" thickBot="1">
      <c r="F757" s="38"/>
      <c r="G757" s="38"/>
      <c r="H757" s="38"/>
      <c r="I757" s="38"/>
      <c r="J757" s="38"/>
      <c r="K757" s="38"/>
      <c r="L757" s="38"/>
      <c r="M757" s="38"/>
      <c r="N757" s="38"/>
      <c r="O757" s="38"/>
      <c r="P757" s="38"/>
      <c r="Q757" s="38"/>
      <c r="R757" s="38"/>
      <c r="S757" s="38"/>
      <c r="T757" s="38"/>
      <c r="U757" s="38"/>
      <c r="V757" s="38"/>
      <c r="W757" s="38"/>
      <c r="X757" s="38"/>
      <c r="Y757" s="38"/>
      <c r="Z757" s="38"/>
    </row>
    <row r="758" spans="6:26" ht="15" thickBot="1">
      <c r="F758" s="38"/>
      <c r="G758" s="38"/>
      <c r="H758" s="38"/>
      <c r="I758" s="38"/>
      <c r="J758" s="38"/>
      <c r="K758" s="38"/>
      <c r="L758" s="38"/>
      <c r="M758" s="38"/>
      <c r="N758" s="38"/>
      <c r="O758" s="38"/>
      <c r="P758" s="38"/>
      <c r="Q758" s="38"/>
      <c r="R758" s="38"/>
      <c r="S758" s="38"/>
      <c r="T758" s="38"/>
      <c r="U758" s="38"/>
      <c r="V758" s="38"/>
      <c r="W758" s="38"/>
      <c r="X758" s="38"/>
      <c r="Y758" s="38"/>
      <c r="Z758" s="38"/>
    </row>
    <row r="759" spans="6:26" ht="15" thickBot="1">
      <c r="F759" s="38"/>
      <c r="G759" s="38"/>
      <c r="H759" s="38"/>
      <c r="I759" s="38"/>
      <c r="J759" s="38"/>
      <c r="K759" s="38"/>
      <c r="L759" s="38"/>
      <c r="M759" s="38"/>
      <c r="N759" s="38"/>
      <c r="O759" s="38"/>
      <c r="P759" s="38"/>
      <c r="Q759" s="38"/>
      <c r="R759" s="38"/>
      <c r="S759" s="38"/>
      <c r="T759" s="38"/>
      <c r="U759" s="38"/>
      <c r="V759" s="38"/>
      <c r="W759" s="38"/>
      <c r="X759" s="38"/>
      <c r="Y759" s="38"/>
      <c r="Z759" s="38"/>
    </row>
    <row r="760" spans="6:26" ht="15" thickBot="1">
      <c r="F760" s="38"/>
      <c r="G760" s="38"/>
      <c r="H760" s="38"/>
      <c r="I760" s="38"/>
      <c r="J760" s="38"/>
      <c r="K760" s="38"/>
      <c r="L760" s="38"/>
      <c r="M760" s="38"/>
      <c r="N760" s="38"/>
      <c r="O760" s="38"/>
      <c r="P760" s="38"/>
      <c r="Q760" s="38"/>
      <c r="R760" s="38"/>
      <c r="S760" s="38"/>
      <c r="T760" s="38"/>
      <c r="U760" s="38"/>
      <c r="V760" s="38"/>
      <c r="W760" s="38"/>
      <c r="X760" s="38"/>
      <c r="Y760" s="38"/>
      <c r="Z760" s="38"/>
    </row>
    <row r="761" spans="6:26" ht="15" thickBot="1">
      <c r="F761" s="38"/>
      <c r="G761" s="38"/>
      <c r="H761" s="38"/>
      <c r="I761" s="38"/>
      <c r="J761" s="38"/>
      <c r="K761" s="38"/>
      <c r="L761" s="38"/>
      <c r="M761" s="38"/>
      <c r="N761" s="38"/>
      <c r="O761" s="38"/>
      <c r="P761" s="38"/>
      <c r="Q761" s="38"/>
      <c r="R761" s="38"/>
      <c r="S761" s="38"/>
      <c r="T761" s="38"/>
      <c r="U761" s="38"/>
      <c r="V761" s="38"/>
      <c r="W761" s="38"/>
      <c r="X761" s="38"/>
      <c r="Y761" s="38"/>
      <c r="Z761" s="38"/>
    </row>
    <row r="762" spans="6:26" ht="15" thickBot="1">
      <c r="F762" s="38"/>
      <c r="G762" s="38"/>
      <c r="H762" s="38"/>
      <c r="I762" s="38"/>
      <c r="J762" s="38"/>
      <c r="K762" s="38"/>
      <c r="L762" s="38"/>
      <c r="M762" s="38"/>
      <c r="N762" s="38"/>
      <c r="O762" s="38"/>
      <c r="P762" s="38"/>
      <c r="Q762" s="38"/>
      <c r="R762" s="38"/>
      <c r="S762" s="38"/>
      <c r="T762" s="38"/>
      <c r="U762" s="38"/>
      <c r="V762" s="38"/>
      <c r="W762" s="38"/>
      <c r="X762" s="38"/>
      <c r="Y762" s="38"/>
      <c r="Z762" s="38"/>
    </row>
    <row r="763" spans="6:26" ht="15" thickBot="1">
      <c r="F763" s="38"/>
      <c r="G763" s="38"/>
      <c r="H763" s="38"/>
      <c r="I763" s="38"/>
      <c r="J763" s="38"/>
      <c r="K763" s="38"/>
      <c r="L763" s="38"/>
      <c r="M763" s="38"/>
      <c r="N763" s="38"/>
      <c r="O763" s="38"/>
      <c r="P763" s="38"/>
      <c r="Q763" s="38"/>
      <c r="R763" s="38"/>
      <c r="S763" s="38"/>
      <c r="T763" s="38"/>
      <c r="U763" s="38"/>
      <c r="V763" s="38"/>
      <c r="W763" s="38"/>
      <c r="X763" s="38"/>
      <c r="Y763" s="38"/>
      <c r="Z763" s="38"/>
    </row>
    <row r="764" spans="6:26" ht="15" thickBot="1">
      <c r="F764" s="38"/>
      <c r="G764" s="38"/>
      <c r="H764" s="38"/>
      <c r="I764" s="38"/>
      <c r="J764" s="38"/>
      <c r="K764" s="38"/>
      <c r="L764" s="38"/>
      <c r="M764" s="38"/>
      <c r="N764" s="38"/>
      <c r="O764" s="38"/>
      <c r="P764" s="38"/>
      <c r="Q764" s="38"/>
      <c r="R764" s="38"/>
      <c r="S764" s="38"/>
      <c r="T764" s="38"/>
      <c r="U764" s="38"/>
      <c r="V764" s="38"/>
      <c r="W764" s="38"/>
      <c r="X764" s="38"/>
      <c r="Y764" s="38"/>
      <c r="Z764" s="38"/>
    </row>
    <row r="765" spans="6:26" ht="15" thickBot="1">
      <c r="F765" s="38"/>
      <c r="G765" s="38"/>
      <c r="H765" s="38"/>
      <c r="I765" s="38"/>
      <c r="J765" s="38"/>
      <c r="K765" s="38"/>
      <c r="L765" s="38"/>
      <c r="M765" s="38"/>
      <c r="N765" s="38"/>
      <c r="O765" s="38"/>
      <c r="P765" s="38"/>
      <c r="Q765" s="38"/>
      <c r="R765" s="38"/>
      <c r="S765" s="38"/>
      <c r="T765" s="38"/>
      <c r="U765" s="38"/>
      <c r="V765" s="38"/>
      <c r="W765" s="38"/>
      <c r="X765" s="38"/>
      <c r="Y765" s="38"/>
      <c r="Z765" s="38"/>
    </row>
    <row r="766" spans="6:26" ht="15" thickBot="1">
      <c r="F766" s="38"/>
      <c r="G766" s="38"/>
      <c r="H766" s="38"/>
      <c r="I766" s="38"/>
      <c r="J766" s="38"/>
      <c r="K766" s="38"/>
      <c r="L766" s="38"/>
      <c r="M766" s="38"/>
      <c r="N766" s="38"/>
      <c r="O766" s="38"/>
      <c r="P766" s="38"/>
      <c r="Q766" s="38"/>
      <c r="R766" s="38"/>
      <c r="S766" s="38"/>
      <c r="T766" s="38"/>
      <c r="U766" s="38"/>
      <c r="V766" s="38"/>
      <c r="W766" s="38"/>
      <c r="X766" s="38"/>
      <c r="Y766" s="38"/>
      <c r="Z766" s="38"/>
    </row>
    <row r="767" spans="6:26" ht="15" thickBot="1">
      <c r="F767" s="38"/>
      <c r="G767" s="38"/>
      <c r="H767" s="38"/>
      <c r="I767" s="38"/>
      <c r="J767" s="38"/>
      <c r="K767" s="38"/>
      <c r="L767" s="38"/>
      <c r="M767" s="38"/>
      <c r="N767" s="38"/>
      <c r="O767" s="38"/>
      <c r="P767" s="38"/>
      <c r="Q767" s="38"/>
      <c r="R767" s="38"/>
      <c r="S767" s="38"/>
      <c r="T767" s="38"/>
      <c r="U767" s="38"/>
      <c r="V767" s="38"/>
      <c r="W767" s="38"/>
      <c r="X767" s="38"/>
      <c r="Y767" s="38"/>
      <c r="Z767" s="38"/>
    </row>
    <row r="768" spans="6:26" ht="15" thickBot="1">
      <c r="F768" s="38"/>
      <c r="G768" s="38"/>
      <c r="H768" s="38"/>
      <c r="I768" s="38"/>
      <c r="J768" s="38"/>
      <c r="K768" s="38"/>
      <c r="L768" s="38"/>
      <c r="M768" s="38"/>
      <c r="N768" s="38"/>
      <c r="O768" s="38"/>
      <c r="P768" s="38"/>
      <c r="Q768" s="38"/>
      <c r="R768" s="38"/>
      <c r="S768" s="38"/>
      <c r="T768" s="38"/>
      <c r="U768" s="38"/>
      <c r="V768" s="38"/>
      <c r="W768" s="38"/>
      <c r="X768" s="38"/>
      <c r="Y768" s="38"/>
      <c r="Z768" s="38"/>
    </row>
    <row r="769" spans="6:26" ht="15" thickBot="1">
      <c r="F769" s="38"/>
      <c r="G769" s="38"/>
      <c r="H769" s="38"/>
      <c r="I769" s="38"/>
      <c r="J769" s="38"/>
      <c r="K769" s="38"/>
      <c r="L769" s="38"/>
      <c r="M769" s="38"/>
      <c r="N769" s="38"/>
      <c r="O769" s="38"/>
      <c r="P769" s="38"/>
      <c r="Q769" s="38"/>
      <c r="R769" s="38"/>
      <c r="S769" s="38"/>
      <c r="T769" s="38"/>
      <c r="U769" s="38"/>
      <c r="V769" s="38"/>
      <c r="W769" s="38"/>
      <c r="X769" s="38"/>
      <c r="Y769" s="38"/>
      <c r="Z769" s="38"/>
    </row>
    <row r="770" spans="6:26" ht="15" thickBot="1">
      <c r="F770" s="38"/>
      <c r="G770" s="38"/>
      <c r="H770" s="38"/>
      <c r="I770" s="38"/>
      <c r="J770" s="38"/>
      <c r="K770" s="38"/>
      <c r="L770" s="38"/>
      <c r="M770" s="38"/>
      <c r="N770" s="38"/>
      <c r="O770" s="38"/>
      <c r="P770" s="38"/>
      <c r="Q770" s="38"/>
      <c r="R770" s="38"/>
      <c r="S770" s="38"/>
      <c r="T770" s="38"/>
      <c r="U770" s="38"/>
      <c r="V770" s="38"/>
      <c r="W770" s="38"/>
      <c r="X770" s="38"/>
      <c r="Y770" s="38"/>
      <c r="Z770" s="38"/>
    </row>
    <row r="771" spans="6:26" ht="15" thickBot="1">
      <c r="F771" s="38"/>
      <c r="G771" s="38"/>
      <c r="H771" s="38"/>
      <c r="I771" s="38"/>
      <c r="J771" s="38"/>
      <c r="K771" s="38"/>
      <c r="L771" s="38"/>
      <c r="M771" s="38"/>
      <c r="N771" s="38"/>
      <c r="O771" s="38"/>
      <c r="P771" s="38"/>
      <c r="Q771" s="38"/>
      <c r="R771" s="38"/>
      <c r="S771" s="38"/>
      <c r="T771" s="38"/>
      <c r="U771" s="38"/>
      <c r="V771" s="38"/>
      <c r="W771" s="38"/>
      <c r="X771" s="38"/>
      <c r="Y771" s="38"/>
      <c r="Z771" s="38"/>
    </row>
    <row r="772" spans="6:26" ht="15" thickBot="1">
      <c r="F772" s="38"/>
      <c r="G772" s="38"/>
      <c r="H772" s="38"/>
      <c r="I772" s="38"/>
      <c r="J772" s="38"/>
      <c r="K772" s="38"/>
      <c r="L772" s="38"/>
      <c r="M772" s="38"/>
      <c r="N772" s="38"/>
      <c r="O772" s="38"/>
      <c r="P772" s="38"/>
      <c r="Q772" s="38"/>
      <c r="R772" s="38"/>
      <c r="S772" s="38"/>
      <c r="T772" s="38"/>
      <c r="U772" s="38"/>
      <c r="V772" s="38"/>
      <c r="W772" s="38"/>
      <c r="X772" s="38"/>
      <c r="Y772" s="38"/>
      <c r="Z772" s="38"/>
    </row>
    <row r="773" spans="6:26" ht="15" thickBot="1">
      <c r="F773" s="38"/>
      <c r="G773" s="38"/>
      <c r="H773" s="38"/>
      <c r="I773" s="38"/>
      <c r="J773" s="38"/>
      <c r="K773" s="38"/>
      <c r="L773" s="38"/>
      <c r="M773" s="38"/>
      <c r="N773" s="38"/>
      <c r="O773" s="38"/>
      <c r="P773" s="38"/>
      <c r="Q773" s="38"/>
      <c r="R773" s="38"/>
      <c r="S773" s="38"/>
      <c r="T773" s="38"/>
      <c r="U773" s="38"/>
      <c r="V773" s="38"/>
      <c r="W773" s="38"/>
      <c r="X773" s="38"/>
      <c r="Y773" s="38"/>
      <c r="Z773" s="38"/>
    </row>
    <row r="774" spans="6:26" ht="15" thickBot="1">
      <c r="F774" s="38"/>
      <c r="G774" s="38"/>
      <c r="H774" s="38"/>
      <c r="I774" s="38"/>
      <c r="J774" s="38"/>
      <c r="K774" s="38"/>
      <c r="L774" s="38"/>
      <c r="M774" s="38"/>
      <c r="N774" s="38"/>
      <c r="O774" s="38"/>
      <c r="P774" s="38"/>
      <c r="Q774" s="38"/>
      <c r="R774" s="38"/>
      <c r="S774" s="38"/>
      <c r="T774" s="38"/>
      <c r="U774" s="38"/>
      <c r="V774" s="38"/>
      <c r="W774" s="38"/>
      <c r="X774" s="38"/>
      <c r="Y774" s="38"/>
      <c r="Z774" s="38"/>
    </row>
    <row r="775" spans="6:26" ht="15" thickBot="1">
      <c r="F775" s="38"/>
      <c r="G775" s="38"/>
      <c r="H775" s="38"/>
      <c r="I775" s="38"/>
      <c r="J775" s="38"/>
      <c r="K775" s="38"/>
      <c r="L775" s="38"/>
      <c r="M775" s="38"/>
      <c r="N775" s="38"/>
      <c r="O775" s="38"/>
      <c r="P775" s="38"/>
      <c r="Q775" s="38"/>
      <c r="R775" s="38"/>
      <c r="S775" s="38"/>
      <c r="T775" s="38"/>
      <c r="U775" s="38"/>
      <c r="V775" s="38"/>
      <c r="W775" s="38"/>
      <c r="X775" s="38"/>
      <c r="Y775" s="38"/>
      <c r="Z775" s="38"/>
    </row>
    <row r="776" spans="6:26" ht="15" thickBot="1">
      <c r="F776" s="38"/>
      <c r="G776" s="38"/>
      <c r="H776" s="38"/>
      <c r="I776" s="38"/>
      <c r="J776" s="38"/>
      <c r="K776" s="38"/>
      <c r="L776" s="38"/>
      <c r="M776" s="38"/>
      <c r="N776" s="38"/>
      <c r="O776" s="38"/>
      <c r="P776" s="38"/>
      <c r="Q776" s="38"/>
      <c r="R776" s="38"/>
      <c r="S776" s="38"/>
      <c r="T776" s="38"/>
      <c r="U776" s="38"/>
      <c r="V776" s="38"/>
      <c r="W776" s="38"/>
      <c r="X776" s="38"/>
      <c r="Y776" s="38"/>
      <c r="Z776" s="38"/>
    </row>
    <row r="777" spans="6:26" ht="15" thickBot="1">
      <c r="F777" s="38"/>
      <c r="G777" s="38"/>
      <c r="H777" s="38"/>
      <c r="I777" s="38"/>
      <c r="J777" s="38"/>
      <c r="K777" s="38"/>
      <c r="L777" s="38"/>
      <c r="M777" s="38"/>
      <c r="N777" s="38"/>
      <c r="O777" s="38"/>
      <c r="P777" s="38"/>
      <c r="Q777" s="38"/>
      <c r="R777" s="38"/>
      <c r="S777" s="38"/>
      <c r="T777" s="38"/>
      <c r="U777" s="38"/>
      <c r="V777" s="38"/>
      <c r="W777" s="38"/>
      <c r="X777" s="38"/>
      <c r="Y777" s="38"/>
      <c r="Z777" s="38"/>
    </row>
    <row r="778" spans="6:26" ht="15" thickBot="1">
      <c r="F778" s="38"/>
      <c r="G778" s="38"/>
      <c r="H778" s="38"/>
      <c r="I778" s="38"/>
      <c r="J778" s="38"/>
      <c r="K778" s="38"/>
      <c r="L778" s="38"/>
      <c r="M778" s="38"/>
      <c r="N778" s="38"/>
      <c r="O778" s="38"/>
      <c r="P778" s="38"/>
      <c r="Q778" s="38"/>
      <c r="R778" s="38"/>
      <c r="S778" s="38"/>
      <c r="T778" s="38"/>
      <c r="U778" s="38"/>
      <c r="V778" s="38"/>
      <c r="W778" s="38"/>
      <c r="X778" s="38"/>
      <c r="Y778" s="38"/>
      <c r="Z778" s="38"/>
    </row>
    <row r="779" spans="6:26" ht="15" thickBot="1">
      <c r="F779" s="38"/>
      <c r="G779" s="38"/>
      <c r="H779" s="38"/>
      <c r="I779" s="38"/>
      <c r="J779" s="38"/>
      <c r="K779" s="38"/>
      <c r="L779" s="38"/>
      <c r="M779" s="38"/>
      <c r="N779" s="38"/>
      <c r="O779" s="38"/>
      <c r="P779" s="38"/>
      <c r="Q779" s="38"/>
      <c r="R779" s="38"/>
      <c r="S779" s="38"/>
      <c r="T779" s="38"/>
      <c r="U779" s="38"/>
      <c r="V779" s="38"/>
      <c r="W779" s="38"/>
      <c r="X779" s="38"/>
      <c r="Y779" s="38"/>
      <c r="Z779" s="38"/>
    </row>
    <row r="780" spans="6:26" ht="15" thickBot="1">
      <c r="F780" s="38"/>
      <c r="G780" s="38"/>
      <c r="H780" s="38"/>
      <c r="I780" s="38"/>
      <c r="J780" s="38"/>
      <c r="K780" s="38"/>
      <c r="L780" s="38"/>
      <c r="M780" s="38"/>
      <c r="N780" s="38"/>
      <c r="O780" s="38"/>
      <c r="P780" s="38"/>
      <c r="Q780" s="38"/>
      <c r="R780" s="38"/>
      <c r="S780" s="38"/>
      <c r="T780" s="38"/>
      <c r="U780" s="38"/>
      <c r="V780" s="38"/>
      <c r="W780" s="38"/>
      <c r="X780" s="38"/>
      <c r="Y780" s="38"/>
      <c r="Z780" s="38"/>
    </row>
    <row r="781" spans="6:26" ht="15" thickBot="1">
      <c r="F781" s="38"/>
      <c r="G781" s="38"/>
      <c r="H781" s="38"/>
      <c r="I781" s="38"/>
      <c r="J781" s="38"/>
      <c r="K781" s="38"/>
      <c r="L781" s="38"/>
      <c r="M781" s="38"/>
      <c r="N781" s="38"/>
      <c r="O781" s="38"/>
      <c r="P781" s="38"/>
      <c r="Q781" s="38"/>
      <c r="R781" s="38"/>
      <c r="S781" s="38"/>
      <c r="T781" s="38"/>
      <c r="U781" s="38"/>
      <c r="V781" s="38"/>
      <c r="W781" s="38"/>
      <c r="X781" s="38"/>
      <c r="Y781" s="38"/>
      <c r="Z781" s="38"/>
    </row>
    <row r="782" spans="6:26" ht="15" thickBot="1">
      <c r="F782" s="38"/>
      <c r="G782" s="38"/>
      <c r="H782" s="38"/>
      <c r="I782" s="38"/>
      <c r="J782" s="38"/>
      <c r="K782" s="38"/>
      <c r="L782" s="38"/>
      <c r="M782" s="38"/>
      <c r="N782" s="38"/>
      <c r="O782" s="38"/>
      <c r="P782" s="38"/>
      <c r="Q782" s="38"/>
      <c r="R782" s="38"/>
      <c r="S782" s="38"/>
      <c r="T782" s="38"/>
      <c r="U782" s="38"/>
      <c r="V782" s="38"/>
      <c r="W782" s="38"/>
      <c r="X782" s="38"/>
      <c r="Y782" s="38"/>
      <c r="Z782" s="38"/>
    </row>
    <row r="783" spans="6:26" ht="15" thickBot="1">
      <c r="F783" s="38"/>
      <c r="G783" s="38"/>
      <c r="H783" s="38"/>
      <c r="I783" s="38"/>
      <c r="J783" s="38"/>
      <c r="K783" s="38"/>
      <c r="L783" s="38"/>
      <c r="M783" s="38"/>
      <c r="N783" s="38"/>
      <c r="O783" s="38"/>
      <c r="P783" s="38"/>
      <c r="Q783" s="38"/>
      <c r="R783" s="38"/>
      <c r="S783" s="38"/>
      <c r="T783" s="38"/>
      <c r="U783" s="38"/>
      <c r="V783" s="38"/>
      <c r="W783" s="38"/>
      <c r="X783" s="38"/>
      <c r="Y783" s="38"/>
      <c r="Z783" s="38"/>
    </row>
    <row r="784" spans="6:26" ht="15" thickBot="1">
      <c r="F784" s="38"/>
      <c r="G784" s="38"/>
      <c r="H784" s="38"/>
      <c r="I784" s="38"/>
      <c r="J784" s="38"/>
      <c r="K784" s="38"/>
      <c r="L784" s="38"/>
      <c r="M784" s="38"/>
      <c r="N784" s="38"/>
      <c r="O784" s="38"/>
      <c r="P784" s="38"/>
      <c r="Q784" s="38"/>
      <c r="R784" s="38"/>
      <c r="S784" s="38"/>
      <c r="T784" s="38"/>
      <c r="U784" s="38"/>
      <c r="V784" s="38"/>
      <c r="W784" s="38"/>
      <c r="X784" s="38"/>
      <c r="Y784" s="38"/>
      <c r="Z784" s="38"/>
    </row>
    <row r="785" spans="6:26" ht="15" thickBot="1">
      <c r="F785" s="38"/>
      <c r="G785" s="38"/>
      <c r="H785" s="38"/>
      <c r="I785" s="38"/>
      <c r="J785" s="38"/>
      <c r="K785" s="38"/>
      <c r="L785" s="38"/>
      <c r="M785" s="38"/>
      <c r="N785" s="38"/>
      <c r="O785" s="38"/>
      <c r="P785" s="38"/>
      <c r="Q785" s="38"/>
      <c r="R785" s="38"/>
      <c r="S785" s="38"/>
      <c r="T785" s="38"/>
      <c r="U785" s="38"/>
      <c r="V785" s="38"/>
      <c r="W785" s="38"/>
      <c r="X785" s="38"/>
      <c r="Y785" s="38"/>
      <c r="Z785" s="38"/>
    </row>
    <row r="786" spans="6:26" ht="15" thickBot="1">
      <c r="F786" s="38"/>
      <c r="G786" s="38"/>
      <c r="H786" s="38"/>
      <c r="I786" s="38"/>
      <c r="J786" s="38"/>
      <c r="K786" s="38"/>
      <c r="L786" s="38"/>
      <c r="M786" s="38"/>
      <c r="N786" s="38"/>
      <c r="O786" s="38"/>
      <c r="P786" s="38"/>
      <c r="Q786" s="38"/>
      <c r="R786" s="38"/>
      <c r="S786" s="38"/>
      <c r="T786" s="38"/>
      <c r="U786" s="38"/>
      <c r="V786" s="38"/>
      <c r="W786" s="38"/>
      <c r="X786" s="38"/>
      <c r="Y786" s="38"/>
      <c r="Z786" s="38"/>
    </row>
    <row r="787" spans="6:26" ht="15" thickBot="1">
      <c r="F787" s="38"/>
      <c r="G787" s="38"/>
      <c r="H787" s="38"/>
      <c r="I787" s="38"/>
      <c r="J787" s="38"/>
      <c r="K787" s="38"/>
      <c r="L787" s="38"/>
      <c r="M787" s="38"/>
      <c r="N787" s="38"/>
      <c r="O787" s="38"/>
      <c r="P787" s="38"/>
      <c r="Q787" s="38"/>
      <c r="R787" s="38"/>
      <c r="S787" s="38"/>
      <c r="T787" s="38"/>
      <c r="U787" s="38"/>
      <c r="V787" s="38"/>
      <c r="W787" s="38"/>
      <c r="X787" s="38"/>
      <c r="Y787" s="38"/>
      <c r="Z787" s="38"/>
    </row>
    <row r="788" spans="6:26" ht="15" thickBot="1">
      <c r="F788" s="38"/>
      <c r="G788" s="38"/>
      <c r="H788" s="38"/>
      <c r="I788" s="38"/>
      <c r="J788" s="38"/>
      <c r="K788" s="38"/>
      <c r="L788" s="38"/>
      <c r="M788" s="38"/>
      <c r="N788" s="38"/>
      <c r="O788" s="38"/>
      <c r="P788" s="38"/>
      <c r="Q788" s="38"/>
      <c r="R788" s="38"/>
      <c r="S788" s="38"/>
      <c r="T788" s="38"/>
      <c r="U788" s="38"/>
      <c r="V788" s="38"/>
      <c r="W788" s="38"/>
      <c r="X788" s="38"/>
      <c r="Y788" s="38"/>
      <c r="Z788" s="38"/>
    </row>
    <row r="789" spans="6:26" ht="15" thickBot="1">
      <c r="F789" s="38"/>
      <c r="G789" s="38"/>
      <c r="H789" s="38"/>
      <c r="I789" s="38"/>
      <c r="J789" s="38"/>
      <c r="K789" s="38"/>
      <c r="L789" s="38"/>
      <c r="M789" s="38"/>
      <c r="N789" s="38"/>
      <c r="O789" s="38"/>
      <c r="P789" s="38"/>
      <c r="Q789" s="38"/>
      <c r="R789" s="38"/>
      <c r="S789" s="38"/>
      <c r="T789" s="38"/>
      <c r="U789" s="38"/>
      <c r="V789" s="38"/>
      <c r="W789" s="38"/>
      <c r="X789" s="38"/>
      <c r="Y789" s="38"/>
      <c r="Z789" s="38"/>
    </row>
    <row r="790" spans="6:26" ht="15" thickBot="1">
      <c r="F790" s="38"/>
      <c r="G790" s="38"/>
      <c r="H790" s="38"/>
      <c r="I790" s="38"/>
      <c r="J790" s="38"/>
      <c r="K790" s="38"/>
      <c r="L790" s="38"/>
      <c r="M790" s="38"/>
      <c r="N790" s="38"/>
      <c r="O790" s="38"/>
      <c r="P790" s="38"/>
      <c r="Q790" s="38"/>
      <c r="R790" s="38"/>
      <c r="S790" s="38"/>
      <c r="T790" s="38"/>
      <c r="U790" s="38"/>
      <c r="V790" s="38"/>
      <c r="W790" s="38"/>
      <c r="X790" s="38"/>
      <c r="Y790" s="38"/>
      <c r="Z790" s="38"/>
    </row>
    <row r="791" spans="6:26" ht="15" thickBot="1">
      <c r="F791" s="38"/>
      <c r="G791" s="38"/>
      <c r="H791" s="38"/>
      <c r="I791" s="38"/>
      <c r="J791" s="38"/>
      <c r="K791" s="38"/>
      <c r="L791" s="38"/>
      <c r="M791" s="38"/>
      <c r="N791" s="38"/>
      <c r="O791" s="38"/>
      <c r="P791" s="38"/>
      <c r="Q791" s="38"/>
      <c r="R791" s="38"/>
      <c r="S791" s="38"/>
      <c r="T791" s="38"/>
      <c r="U791" s="38"/>
      <c r="V791" s="38"/>
      <c r="W791" s="38"/>
      <c r="X791" s="38"/>
      <c r="Y791" s="38"/>
      <c r="Z791" s="38"/>
    </row>
    <row r="792" spans="6:26" ht="15" thickBot="1">
      <c r="F792" s="38"/>
      <c r="G792" s="38"/>
      <c r="H792" s="38"/>
      <c r="I792" s="38"/>
      <c r="J792" s="38"/>
      <c r="K792" s="38"/>
      <c r="L792" s="38"/>
      <c r="M792" s="38"/>
      <c r="N792" s="38"/>
      <c r="O792" s="38"/>
      <c r="P792" s="38"/>
      <c r="Q792" s="38"/>
      <c r="R792" s="38"/>
      <c r="S792" s="38"/>
      <c r="T792" s="38"/>
      <c r="U792" s="38"/>
      <c r="V792" s="38"/>
      <c r="W792" s="38"/>
      <c r="X792" s="38"/>
      <c r="Y792" s="38"/>
      <c r="Z792" s="38"/>
    </row>
    <row r="793" spans="6:26" ht="15" thickBot="1">
      <c r="F793" s="38"/>
      <c r="G793" s="38"/>
      <c r="H793" s="38"/>
      <c r="I793" s="38"/>
      <c r="J793" s="38"/>
      <c r="K793" s="38"/>
      <c r="L793" s="38"/>
      <c r="M793" s="38"/>
      <c r="N793" s="38"/>
      <c r="O793" s="38"/>
      <c r="P793" s="38"/>
      <c r="Q793" s="38"/>
      <c r="R793" s="38"/>
      <c r="S793" s="38"/>
      <c r="T793" s="38"/>
      <c r="U793" s="38"/>
      <c r="V793" s="38"/>
      <c r="W793" s="38"/>
      <c r="X793" s="38"/>
      <c r="Y793" s="38"/>
      <c r="Z793" s="38"/>
    </row>
    <row r="794" spans="6:26" ht="15" thickBot="1">
      <c r="F794" s="38"/>
      <c r="G794" s="38"/>
      <c r="H794" s="38"/>
      <c r="I794" s="38"/>
      <c r="J794" s="38"/>
      <c r="K794" s="38"/>
      <c r="L794" s="38"/>
      <c r="M794" s="38"/>
      <c r="N794" s="38"/>
      <c r="O794" s="38"/>
      <c r="P794" s="38"/>
      <c r="Q794" s="38"/>
      <c r="R794" s="38"/>
      <c r="S794" s="38"/>
      <c r="T794" s="38"/>
      <c r="U794" s="38"/>
      <c r="V794" s="38"/>
      <c r="W794" s="38"/>
      <c r="X794" s="38"/>
      <c r="Y794" s="38"/>
      <c r="Z794" s="38"/>
    </row>
    <row r="795" spans="6:26" ht="15" thickBot="1">
      <c r="F795" s="38"/>
      <c r="G795" s="38"/>
      <c r="H795" s="38"/>
      <c r="I795" s="38"/>
      <c r="J795" s="38"/>
      <c r="K795" s="38"/>
      <c r="L795" s="38"/>
      <c r="M795" s="38"/>
      <c r="N795" s="38"/>
      <c r="O795" s="38"/>
      <c r="P795" s="38"/>
      <c r="Q795" s="38"/>
      <c r="R795" s="38"/>
      <c r="S795" s="38"/>
      <c r="T795" s="38"/>
      <c r="U795" s="38"/>
      <c r="V795" s="38"/>
      <c r="W795" s="38"/>
      <c r="X795" s="38"/>
      <c r="Y795" s="38"/>
      <c r="Z795" s="38"/>
    </row>
    <row r="796" spans="6:26" ht="15" thickBot="1">
      <c r="F796" s="38"/>
      <c r="G796" s="38"/>
      <c r="H796" s="38"/>
      <c r="I796" s="38"/>
      <c r="J796" s="38"/>
      <c r="K796" s="38"/>
      <c r="L796" s="38"/>
      <c r="M796" s="38"/>
      <c r="N796" s="38"/>
      <c r="O796" s="38"/>
      <c r="P796" s="38"/>
      <c r="Q796" s="38"/>
      <c r="R796" s="38"/>
      <c r="S796" s="38"/>
      <c r="T796" s="38"/>
      <c r="U796" s="38"/>
      <c r="V796" s="38"/>
      <c r="W796" s="38"/>
      <c r="X796" s="38"/>
      <c r="Y796" s="38"/>
      <c r="Z796" s="38"/>
    </row>
    <row r="797" spans="6:26" ht="15" thickBot="1">
      <c r="F797" s="38"/>
      <c r="G797" s="38"/>
      <c r="H797" s="38"/>
      <c r="I797" s="38"/>
      <c r="J797" s="38"/>
      <c r="K797" s="38"/>
      <c r="L797" s="38"/>
      <c r="M797" s="38"/>
      <c r="N797" s="38"/>
      <c r="O797" s="38"/>
      <c r="P797" s="38"/>
      <c r="Q797" s="38"/>
      <c r="R797" s="38"/>
      <c r="S797" s="38"/>
      <c r="T797" s="38"/>
      <c r="U797" s="38"/>
      <c r="V797" s="38"/>
      <c r="W797" s="38"/>
      <c r="X797" s="38"/>
      <c r="Y797" s="38"/>
      <c r="Z797" s="38"/>
    </row>
    <row r="798" spans="6:26" ht="15" thickBot="1">
      <c r="F798" s="38"/>
      <c r="G798" s="38"/>
      <c r="H798" s="38"/>
      <c r="I798" s="38"/>
      <c r="J798" s="38"/>
      <c r="K798" s="38"/>
      <c r="L798" s="38"/>
      <c r="M798" s="38"/>
      <c r="N798" s="38"/>
      <c r="O798" s="38"/>
      <c r="P798" s="38"/>
      <c r="Q798" s="38"/>
      <c r="R798" s="38"/>
      <c r="S798" s="38"/>
      <c r="T798" s="38"/>
      <c r="U798" s="38"/>
      <c r="V798" s="38"/>
      <c r="W798" s="38"/>
      <c r="X798" s="38"/>
      <c r="Y798" s="38"/>
      <c r="Z798" s="38"/>
    </row>
    <row r="799" spans="6:26" ht="15" thickBot="1">
      <c r="F799" s="38"/>
      <c r="G799" s="38"/>
      <c r="H799" s="38"/>
      <c r="I799" s="38"/>
      <c r="J799" s="38"/>
      <c r="K799" s="38"/>
      <c r="L799" s="38"/>
      <c r="M799" s="38"/>
      <c r="N799" s="38"/>
      <c r="O799" s="38"/>
      <c r="P799" s="38"/>
      <c r="Q799" s="38"/>
      <c r="R799" s="38"/>
      <c r="S799" s="38"/>
      <c r="T799" s="38"/>
      <c r="U799" s="38"/>
      <c r="V799" s="38"/>
      <c r="W799" s="38"/>
      <c r="X799" s="38"/>
      <c r="Y799" s="38"/>
      <c r="Z799" s="38"/>
    </row>
    <row r="800" spans="6:26" ht="15" thickBot="1">
      <c r="F800" s="38"/>
      <c r="G800" s="38"/>
      <c r="H800" s="38"/>
      <c r="I800" s="38"/>
      <c r="J800" s="38"/>
      <c r="K800" s="38"/>
      <c r="L800" s="38"/>
      <c r="M800" s="38"/>
      <c r="N800" s="38"/>
      <c r="O800" s="38"/>
      <c r="P800" s="38"/>
      <c r="Q800" s="38"/>
      <c r="R800" s="38"/>
      <c r="S800" s="38"/>
      <c r="T800" s="38"/>
      <c r="U800" s="38"/>
      <c r="V800" s="38"/>
      <c r="W800" s="38"/>
      <c r="X800" s="38"/>
      <c r="Y800" s="38"/>
      <c r="Z800" s="38"/>
    </row>
    <row r="801" spans="6:26" ht="15" thickBot="1">
      <c r="F801" s="38"/>
      <c r="G801" s="38"/>
      <c r="H801" s="38"/>
      <c r="I801" s="38"/>
      <c r="J801" s="38"/>
      <c r="K801" s="38"/>
      <c r="L801" s="38"/>
      <c r="M801" s="38"/>
      <c r="N801" s="38"/>
      <c r="O801" s="38"/>
      <c r="P801" s="38"/>
      <c r="Q801" s="38"/>
      <c r="R801" s="38"/>
      <c r="S801" s="38"/>
      <c r="T801" s="38"/>
      <c r="U801" s="38"/>
      <c r="V801" s="38"/>
      <c r="W801" s="38"/>
      <c r="X801" s="38"/>
      <c r="Y801" s="38"/>
      <c r="Z801" s="38"/>
    </row>
    <row r="802" spans="6:26" ht="15" thickBot="1">
      <c r="F802" s="38"/>
      <c r="G802" s="38"/>
      <c r="H802" s="38"/>
      <c r="I802" s="38"/>
      <c r="J802" s="38"/>
      <c r="K802" s="38"/>
      <c r="L802" s="38"/>
      <c r="M802" s="38"/>
      <c r="N802" s="38"/>
      <c r="O802" s="38"/>
      <c r="P802" s="38"/>
      <c r="Q802" s="38"/>
      <c r="R802" s="38"/>
      <c r="S802" s="38"/>
      <c r="T802" s="38"/>
      <c r="U802" s="38"/>
      <c r="V802" s="38"/>
      <c r="W802" s="38"/>
      <c r="X802" s="38"/>
      <c r="Y802" s="38"/>
      <c r="Z802" s="38"/>
    </row>
    <row r="803" spans="6:26" ht="15" thickBot="1">
      <c r="F803" s="38"/>
      <c r="G803" s="38"/>
      <c r="H803" s="38"/>
      <c r="I803" s="38"/>
      <c r="J803" s="38"/>
      <c r="K803" s="38"/>
      <c r="L803" s="38"/>
      <c r="M803" s="38"/>
      <c r="N803" s="38"/>
      <c r="O803" s="38"/>
      <c r="P803" s="38"/>
      <c r="Q803" s="38"/>
      <c r="R803" s="38"/>
      <c r="S803" s="38"/>
      <c r="T803" s="38"/>
      <c r="U803" s="38"/>
      <c r="V803" s="38"/>
      <c r="W803" s="38"/>
      <c r="X803" s="38"/>
      <c r="Y803" s="38"/>
      <c r="Z803" s="38"/>
    </row>
    <row r="804" spans="6:26" ht="15" thickBot="1">
      <c r="F804" s="38"/>
      <c r="G804" s="38"/>
      <c r="H804" s="38"/>
      <c r="I804" s="38"/>
      <c r="J804" s="38"/>
      <c r="K804" s="38"/>
      <c r="L804" s="38"/>
      <c r="M804" s="38"/>
      <c r="N804" s="38"/>
      <c r="O804" s="38"/>
      <c r="P804" s="38"/>
      <c r="Q804" s="38"/>
      <c r="R804" s="38"/>
      <c r="S804" s="38"/>
      <c r="T804" s="38"/>
      <c r="U804" s="38"/>
      <c r="V804" s="38"/>
      <c r="W804" s="38"/>
      <c r="X804" s="38"/>
      <c r="Y804" s="38"/>
      <c r="Z804" s="38"/>
    </row>
    <row r="805" spans="6:26" ht="15" thickBot="1">
      <c r="F805" s="38"/>
      <c r="G805" s="38"/>
      <c r="H805" s="38"/>
      <c r="I805" s="38"/>
      <c r="J805" s="38"/>
      <c r="K805" s="38"/>
      <c r="L805" s="38"/>
      <c r="M805" s="38"/>
      <c r="N805" s="38"/>
      <c r="O805" s="38"/>
      <c r="P805" s="38"/>
      <c r="Q805" s="38"/>
      <c r="R805" s="38"/>
      <c r="S805" s="38"/>
      <c r="T805" s="38"/>
      <c r="U805" s="38"/>
      <c r="V805" s="38"/>
      <c r="W805" s="38"/>
      <c r="X805" s="38"/>
      <c r="Y805" s="38"/>
      <c r="Z805" s="38"/>
    </row>
    <row r="806" spans="6:26" ht="15" thickBot="1">
      <c r="F806" s="38"/>
      <c r="G806" s="38"/>
      <c r="H806" s="38"/>
      <c r="I806" s="38"/>
      <c r="J806" s="38"/>
      <c r="K806" s="38"/>
      <c r="L806" s="38"/>
      <c r="M806" s="38"/>
      <c r="N806" s="38"/>
      <c r="O806" s="38"/>
      <c r="P806" s="38"/>
      <c r="Q806" s="38"/>
      <c r="R806" s="38"/>
      <c r="S806" s="38"/>
      <c r="T806" s="38"/>
      <c r="U806" s="38"/>
      <c r="V806" s="38"/>
      <c r="W806" s="38"/>
      <c r="X806" s="38"/>
      <c r="Y806" s="38"/>
      <c r="Z806" s="38"/>
    </row>
    <row r="807" spans="6:26" ht="15" thickBot="1">
      <c r="F807" s="38"/>
      <c r="G807" s="38"/>
      <c r="H807" s="38"/>
      <c r="I807" s="38"/>
      <c r="J807" s="38"/>
      <c r="K807" s="38"/>
      <c r="L807" s="38"/>
      <c r="M807" s="38"/>
      <c r="N807" s="38"/>
      <c r="O807" s="38"/>
      <c r="P807" s="38"/>
      <c r="Q807" s="38"/>
      <c r="R807" s="38"/>
      <c r="S807" s="38"/>
      <c r="T807" s="38"/>
      <c r="U807" s="38"/>
      <c r="V807" s="38"/>
      <c r="W807" s="38"/>
      <c r="X807" s="38"/>
      <c r="Y807" s="38"/>
      <c r="Z807" s="38"/>
    </row>
    <row r="808" spans="6:26" ht="15" thickBot="1">
      <c r="F808" s="38"/>
      <c r="G808" s="38"/>
      <c r="H808" s="38"/>
      <c r="I808" s="38"/>
      <c r="J808" s="38"/>
      <c r="K808" s="38"/>
      <c r="L808" s="38"/>
      <c r="M808" s="38"/>
      <c r="N808" s="38"/>
      <c r="O808" s="38"/>
      <c r="P808" s="38"/>
      <c r="Q808" s="38"/>
      <c r="R808" s="38"/>
      <c r="S808" s="38"/>
      <c r="T808" s="38"/>
      <c r="U808" s="38"/>
      <c r="V808" s="38"/>
      <c r="W808" s="38"/>
      <c r="X808" s="38"/>
      <c r="Y808" s="38"/>
      <c r="Z808" s="38"/>
    </row>
    <row r="809" spans="6:26" ht="15" thickBot="1">
      <c r="F809" s="38"/>
      <c r="G809" s="38"/>
      <c r="H809" s="38"/>
      <c r="I809" s="38"/>
      <c r="J809" s="38"/>
      <c r="K809" s="38"/>
      <c r="L809" s="38"/>
      <c r="M809" s="38"/>
      <c r="N809" s="38"/>
      <c r="O809" s="38"/>
      <c r="P809" s="38"/>
      <c r="Q809" s="38"/>
      <c r="R809" s="38"/>
      <c r="S809" s="38"/>
      <c r="T809" s="38"/>
      <c r="U809" s="38"/>
      <c r="V809" s="38"/>
      <c r="W809" s="38"/>
      <c r="X809" s="38"/>
      <c r="Y809" s="38"/>
      <c r="Z809" s="38"/>
    </row>
    <row r="810" spans="6:26" ht="15" thickBot="1">
      <c r="F810" s="38"/>
      <c r="G810" s="38"/>
      <c r="H810" s="38"/>
      <c r="I810" s="38"/>
      <c r="J810" s="38"/>
      <c r="K810" s="38"/>
      <c r="L810" s="38"/>
      <c r="M810" s="38"/>
      <c r="N810" s="38"/>
      <c r="O810" s="38"/>
      <c r="P810" s="38"/>
      <c r="Q810" s="38"/>
      <c r="R810" s="38"/>
      <c r="S810" s="38"/>
      <c r="T810" s="38"/>
      <c r="U810" s="38"/>
      <c r="V810" s="38"/>
      <c r="W810" s="38"/>
      <c r="X810" s="38"/>
      <c r="Y810" s="38"/>
      <c r="Z810" s="38"/>
    </row>
    <row r="811" spans="6:26" ht="15" thickBot="1">
      <c r="F811" s="38"/>
      <c r="G811" s="38"/>
      <c r="H811" s="38"/>
      <c r="I811" s="38"/>
      <c r="J811" s="38"/>
      <c r="K811" s="38"/>
      <c r="L811" s="38"/>
      <c r="M811" s="38"/>
      <c r="N811" s="38"/>
      <c r="O811" s="38"/>
      <c r="P811" s="38"/>
      <c r="Q811" s="38"/>
      <c r="R811" s="38"/>
      <c r="S811" s="38"/>
      <c r="T811" s="38"/>
      <c r="U811" s="38"/>
      <c r="V811" s="38"/>
      <c r="W811" s="38"/>
      <c r="X811" s="38"/>
      <c r="Y811" s="38"/>
      <c r="Z811" s="38"/>
    </row>
    <row r="812" spans="6:26" ht="15" thickBot="1">
      <c r="F812" s="38"/>
      <c r="G812" s="38"/>
      <c r="H812" s="38"/>
      <c r="I812" s="38"/>
      <c r="J812" s="38"/>
      <c r="K812" s="38"/>
      <c r="L812" s="38"/>
      <c r="M812" s="38"/>
      <c r="N812" s="38"/>
      <c r="O812" s="38"/>
      <c r="P812" s="38"/>
      <c r="Q812" s="38"/>
      <c r="R812" s="38"/>
      <c r="S812" s="38"/>
      <c r="T812" s="38"/>
      <c r="U812" s="38"/>
      <c r="V812" s="38"/>
      <c r="W812" s="38"/>
      <c r="X812" s="38"/>
      <c r="Y812" s="38"/>
      <c r="Z812" s="38"/>
    </row>
    <row r="813" spans="6:26" ht="15" thickBot="1">
      <c r="F813" s="38"/>
      <c r="G813" s="38"/>
      <c r="H813" s="38"/>
      <c r="I813" s="38"/>
      <c r="J813" s="38"/>
      <c r="K813" s="38"/>
      <c r="L813" s="38"/>
      <c r="M813" s="38"/>
      <c r="N813" s="38"/>
      <c r="O813" s="38"/>
      <c r="P813" s="38"/>
      <c r="Q813" s="38"/>
      <c r="R813" s="38"/>
      <c r="S813" s="38"/>
      <c r="T813" s="38"/>
      <c r="U813" s="38"/>
      <c r="V813" s="38"/>
      <c r="W813" s="38"/>
      <c r="X813" s="38"/>
      <c r="Y813" s="38"/>
      <c r="Z813" s="38"/>
    </row>
    <row r="814" spans="6:26" ht="15" thickBot="1">
      <c r="F814" s="38"/>
      <c r="G814" s="38"/>
      <c r="H814" s="38"/>
      <c r="I814" s="38"/>
      <c r="J814" s="38"/>
      <c r="K814" s="38"/>
      <c r="L814" s="38"/>
      <c r="M814" s="38"/>
      <c r="N814" s="38"/>
      <c r="O814" s="38"/>
      <c r="P814" s="38"/>
      <c r="Q814" s="38"/>
      <c r="R814" s="38"/>
      <c r="S814" s="38"/>
      <c r="T814" s="38"/>
      <c r="U814" s="38"/>
      <c r="V814" s="38"/>
      <c r="W814" s="38"/>
      <c r="X814" s="38"/>
      <c r="Y814" s="38"/>
      <c r="Z814" s="38"/>
    </row>
    <row r="815" spans="6:26" ht="15" thickBot="1">
      <c r="F815" s="38"/>
      <c r="G815" s="38"/>
      <c r="H815" s="38"/>
      <c r="I815" s="38"/>
      <c r="J815" s="38"/>
      <c r="K815" s="38"/>
      <c r="L815" s="38"/>
      <c r="M815" s="38"/>
      <c r="N815" s="38"/>
      <c r="O815" s="38"/>
      <c r="P815" s="38"/>
      <c r="Q815" s="38"/>
      <c r="R815" s="38"/>
      <c r="S815" s="38"/>
      <c r="T815" s="38"/>
      <c r="U815" s="38"/>
      <c r="V815" s="38"/>
      <c r="W815" s="38"/>
      <c r="X815" s="38"/>
      <c r="Y815" s="38"/>
      <c r="Z815" s="38"/>
    </row>
    <row r="816" spans="6:26" ht="15" thickBot="1">
      <c r="F816" s="38"/>
      <c r="G816" s="38"/>
      <c r="H816" s="38"/>
      <c r="I816" s="38"/>
      <c r="J816" s="38"/>
      <c r="K816" s="38"/>
      <c r="L816" s="38"/>
      <c r="M816" s="38"/>
      <c r="N816" s="38"/>
      <c r="O816" s="38"/>
      <c r="P816" s="38"/>
      <c r="Q816" s="38"/>
      <c r="R816" s="38"/>
      <c r="S816" s="38"/>
      <c r="T816" s="38"/>
      <c r="U816" s="38"/>
      <c r="V816" s="38"/>
      <c r="W816" s="38"/>
      <c r="X816" s="38"/>
      <c r="Y816" s="38"/>
      <c r="Z816" s="38"/>
    </row>
    <row r="817" spans="6:26" ht="15" thickBot="1">
      <c r="F817" s="38"/>
      <c r="G817" s="38"/>
      <c r="H817" s="38"/>
      <c r="I817" s="38"/>
      <c r="J817" s="38"/>
      <c r="K817" s="38"/>
      <c r="L817" s="38"/>
      <c r="M817" s="38"/>
      <c r="N817" s="38"/>
      <c r="O817" s="38"/>
      <c r="P817" s="38"/>
      <c r="Q817" s="38"/>
      <c r="R817" s="38"/>
      <c r="S817" s="38"/>
      <c r="T817" s="38"/>
      <c r="U817" s="38"/>
      <c r="V817" s="38"/>
      <c r="W817" s="38"/>
      <c r="X817" s="38"/>
      <c r="Y817" s="38"/>
      <c r="Z817" s="38"/>
    </row>
    <row r="818" spans="6:26" ht="15" thickBot="1">
      <c r="F818" s="38"/>
      <c r="G818" s="38"/>
      <c r="H818" s="38"/>
      <c r="I818" s="38"/>
      <c r="J818" s="38"/>
      <c r="K818" s="38"/>
      <c r="L818" s="38"/>
      <c r="M818" s="38"/>
      <c r="N818" s="38"/>
      <c r="O818" s="38"/>
      <c r="P818" s="38"/>
      <c r="Q818" s="38"/>
      <c r="R818" s="38"/>
      <c r="S818" s="38"/>
      <c r="T818" s="38"/>
      <c r="U818" s="38"/>
      <c r="V818" s="38"/>
      <c r="W818" s="38"/>
      <c r="X818" s="38"/>
      <c r="Y818" s="38"/>
      <c r="Z818" s="38"/>
    </row>
    <row r="819" spans="6:26" ht="15" thickBot="1">
      <c r="F819" s="38"/>
      <c r="G819" s="38"/>
      <c r="H819" s="38"/>
      <c r="I819" s="38"/>
      <c r="J819" s="38"/>
      <c r="K819" s="38"/>
      <c r="L819" s="38"/>
      <c r="M819" s="38"/>
      <c r="N819" s="38"/>
      <c r="O819" s="38"/>
      <c r="P819" s="38"/>
      <c r="Q819" s="38"/>
      <c r="R819" s="38"/>
      <c r="S819" s="38"/>
      <c r="T819" s="38"/>
      <c r="U819" s="38"/>
      <c r="V819" s="38"/>
      <c r="W819" s="38"/>
      <c r="X819" s="38"/>
      <c r="Y819" s="38"/>
      <c r="Z819" s="38"/>
    </row>
    <row r="820" spans="6:26" ht="15" thickBot="1">
      <c r="F820" s="38"/>
      <c r="G820" s="38"/>
      <c r="H820" s="38"/>
      <c r="I820" s="38"/>
      <c r="J820" s="38"/>
      <c r="K820" s="38"/>
      <c r="L820" s="38"/>
      <c r="M820" s="38"/>
      <c r="N820" s="38"/>
      <c r="O820" s="38"/>
      <c r="P820" s="38"/>
      <c r="Q820" s="38"/>
      <c r="R820" s="38"/>
      <c r="S820" s="38"/>
      <c r="T820" s="38"/>
      <c r="U820" s="38"/>
      <c r="V820" s="38"/>
      <c r="W820" s="38"/>
      <c r="X820" s="38"/>
      <c r="Y820" s="38"/>
      <c r="Z820" s="38"/>
    </row>
    <row r="821" spans="6:26" ht="15" thickBot="1">
      <c r="F821" s="38"/>
      <c r="G821" s="38"/>
      <c r="H821" s="38"/>
      <c r="I821" s="38"/>
      <c r="J821" s="38"/>
      <c r="K821" s="38"/>
      <c r="L821" s="38"/>
      <c r="M821" s="38"/>
      <c r="N821" s="38"/>
      <c r="O821" s="38"/>
      <c r="P821" s="38"/>
      <c r="Q821" s="38"/>
      <c r="R821" s="38"/>
      <c r="S821" s="38"/>
      <c r="T821" s="38"/>
      <c r="U821" s="38"/>
      <c r="V821" s="38"/>
      <c r="W821" s="38"/>
      <c r="X821" s="38"/>
      <c r="Y821" s="38"/>
      <c r="Z821" s="38"/>
    </row>
    <row r="822" spans="6:26" ht="15" thickBot="1">
      <c r="F822" s="38"/>
      <c r="G822" s="38"/>
      <c r="H822" s="38"/>
      <c r="I822" s="38"/>
      <c r="J822" s="38"/>
      <c r="K822" s="38"/>
      <c r="L822" s="38"/>
      <c r="M822" s="38"/>
      <c r="N822" s="38"/>
      <c r="O822" s="38"/>
      <c r="P822" s="38"/>
      <c r="Q822" s="38"/>
      <c r="R822" s="38"/>
      <c r="S822" s="38"/>
      <c r="T822" s="38"/>
      <c r="U822" s="38"/>
      <c r="V822" s="38"/>
      <c r="W822" s="38"/>
      <c r="X822" s="38"/>
      <c r="Y822" s="38"/>
      <c r="Z822" s="38"/>
    </row>
    <row r="823" spans="6:26" ht="15" thickBot="1">
      <c r="F823" s="38"/>
      <c r="G823" s="38"/>
      <c r="H823" s="38"/>
      <c r="I823" s="38"/>
      <c r="J823" s="38"/>
      <c r="K823" s="38"/>
      <c r="L823" s="38"/>
      <c r="M823" s="38"/>
      <c r="N823" s="38"/>
      <c r="O823" s="38"/>
      <c r="P823" s="38"/>
      <c r="Q823" s="38"/>
      <c r="R823" s="38"/>
      <c r="S823" s="38"/>
      <c r="T823" s="38"/>
      <c r="U823" s="38"/>
      <c r="V823" s="38"/>
      <c r="W823" s="38"/>
      <c r="X823" s="38"/>
      <c r="Y823" s="38"/>
      <c r="Z823" s="38"/>
    </row>
    <row r="824" spans="6:26" ht="15" thickBot="1">
      <c r="F824" s="38"/>
      <c r="G824" s="38"/>
      <c r="H824" s="38"/>
      <c r="I824" s="38"/>
      <c r="J824" s="38"/>
      <c r="K824" s="38"/>
      <c r="L824" s="38"/>
      <c r="M824" s="38"/>
      <c r="N824" s="38"/>
      <c r="O824" s="38"/>
      <c r="P824" s="38"/>
      <c r="Q824" s="38"/>
      <c r="R824" s="38"/>
      <c r="S824" s="38"/>
      <c r="T824" s="38"/>
      <c r="U824" s="38"/>
      <c r="V824" s="38"/>
      <c r="W824" s="38"/>
      <c r="X824" s="38"/>
      <c r="Y824" s="38"/>
      <c r="Z824" s="38"/>
    </row>
    <row r="825" spans="6:26" ht="15" thickBot="1">
      <c r="F825" s="38"/>
      <c r="G825" s="38"/>
      <c r="H825" s="38"/>
      <c r="I825" s="38"/>
      <c r="J825" s="38"/>
      <c r="K825" s="38"/>
      <c r="L825" s="38"/>
      <c r="M825" s="38"/>
      <c r="N825" s="38"/>
      <c r="O825" s="38"/>
      <c r="P825" s="38"/>
      <c r="Q825" s="38"/>
      <c r="R825" s="38"/>
      <c r="S825" s="38"/>
      <c r="T825" s="38"/>
      <c r="U825" s="38"/>
      <c r="V825" s="38"/>
      <c r="W825" s="38"/>
      <c r="X825" s="38"/>
      <c r="Y825" s="38"/>
      <c r="Z825" s="38"/>
    </row>
    <row r="826" spans="6:26" ht="15" thickBot="1">
      <c r="F826" s="38"/>
      <c r="G826" s="38"/>
      <c r="H826" s="38"/>
      <c r="I826" s="38"/>
      <c r="J826" s="38"/>
      <c r="K826" s="38"/>
      <c r="L826" s="38"/>
      <c r="M826" s="38"/>
      <c r="N826" s="38"/>
      <c r="O826" s="38"/>
      <c r="P826" s="38"/>
      <c r="Q826" s="38"/>
      <c r="R826" s="38"/>
      <c r="S826" s="38"/>
      <c r="T826" s="38"/>
      <c r="U826" s="38"/>
      <c r="V826" s="38"/>
      <c r="W826" s="38"/>
      <c r="X826" s="38"/>
      <c r="Y826" s="38"/>
      <c r="Z826" s="38"/>
    </row>
    <row r="827" spans="6:26" ht="15" thickBot="1">
      <c r="F827" s="38"/>
      <c r="G827" s="38"/>
      <c r="H827" s="38"/>
      <c r="I827" s="38"/>
      <c r="J827" s="38"/>
      <c r="K827" s="38"/>
      <c r="L827" s="38"/>
      <c r="M827" s="38"/>
      <c r="N827" s="38"/>
      <c r="O827" s="38"/>
      <c r="P827" s="38"/>
      <c r="Q827" s="38"/>
      <c r="R827" s="38"/>
      <c r="S827" s="38"/>
      <c r="T827" s="38"/>
      <c r="U827" s="38"/>
      <c r="V827" s="38"/>
      <c r="W827" s="38"/>
      <c r="X827" s="38"/>
      <c r="Y827" s="38"/>
      <c r="Z827" s="38"/>
    </row>
    <row r="828" spans="6:26" ht="15" thickBot="1">
      <c r="F828" s="38"/>
      <c r="G828" s="38"/>
      <c r="H828" s="38"/>
      <c r="I828" s="38"/>
      <c r="J828" s="38"/>
      <c r="K828" s="38"/>
      <c r="L828" s="38"/>
      <c r="M828" s="38"/>
      <c r="N828" s="38"/>
      <c r="O828" s="38"/>
      <c r="P828" s="38"/>
      <c r="Q828" s="38"/>
      <c r="R828" s="38"/>
      <c r="S828" s="38"/>
      <c r="T828" s="38"/>
      <c r="U828" s="38"/>
      <c r="V828" s="38"/>
      <c r="W828" s="38"/>
      <c r="X828" s="38"/>
      <c r="Y828" s="38"/>
      <c r="Z828" s="38"/>
    </row>
    <row r="829" spans="6:26" ht="15" thickBot="1">
      <c r="F829" s="38"/>
      <c r="G829" s="38"/>
      <c r="H829" s="38"/>
      <c r="I829" s="38"/>
      <c r="J829" s="38"/>
      <c r="K829" s="38"/>
      <c r="L829" s="38"/>
      <c r="M829" s="38"/>
      <c r="N829" s="38"/>
      <c r="O829" s="38"/>
      <c r="P829" s="38"/>
      <c r="Q829" s="38"/>
      <c r="R829" s="38"/>
      <c r="S829" s="38"/>
      <c r="T829" s="38"/>
      <c r="U829" s="38"/>
      <c r="V829" s="38"/>
      <c r="W829" s="38"/>
      <c r="X829" s="38"/>
      <c r="Y829" s="38"/>
      <c r="Z829" s="38"/>
    </row>
    <row r="830" spans="6:26" ht="15" thickBot="1">
      <c r="F830" s="38"/>
      <c r="G830" s="38"/>
      <c r="H830" s="38"/>
      <c r="I830" s="38"/>
      <c r="J830" s="38"/>
      <c r="K830" s="38"/>
      <c r="L830" s="38"/>
      <c r="M830" s="38"/>
      <c r="N830" s="38"/>
      <c r="O830" s="38"/>
      <c r="P830" s="38"/>
      <c r="Q830" s="38"/>
      <c r="R830" s="38"/>
      <c r="S830" s="38"/>
      <c r="T830" s="38"/>
      <c r="U830" s="38"/>
      <c r="V830" s="38"/>
      <c r="W830" s="38"/>
      <c r="X830" s="38"/>
      <c r="Y830" s="38"/>
      <c r="Z830" s="38"/>
    </row>
    <row r="831" spans="6:26" ht="15" thickBot="1">
      <c r="F831" s="38"/>
      <c r="G831" s="38"/>
      <c r="H831" s="38"/>
      <c r="I831" s="38"/>
      <c r="J831" s="38"/>
      <c r="K831" s="38"/>
      <c r="L831" s="38"/>
      <c r="M831" s="38"/>
      <c r="N831" s="38"/>
      <c r="O831" s="38"/>
      <c r="P831" s="38"/>
      <c r="Q831" s="38"/>
      <c r="R831" s="38"/>
      <c r="S831" s="38"/>
      <c r="T831" s="38"/>
      <c r="U831" s="38"/>
      <c r="V831" s="38"/>
      <c r="W831" s="38"/>
      <c r="X831" s="38"/>
      <c r="Y831" s="38"/>
      <c r="Z831" s="38"/>
    </row>
    <row r="832" spans="6:26" ht="15" thickBot="1">
      <c r="F832" s="38"/>
      <c r="G832" s="38"/>
      <c r="H832" s="38"/>
      <c r="I832" s="38"/>
      <c r="J832" s="38"/>
      <c r="K832" s="38"/>
      <c r="L832" s="38"/>
      <c r="M832" s="38"/>
      <c r="N832" s="38"/>
      <c r="O832" s="38"/>
      <c r="P832" s="38"/>
      <c r="Q832" s="38"/>
      <c r="R832" s="38"/>
      <c r="S832" s="38"/>
      <c r="T832" s="38"/>
      <c r="U832" s="38"/>
      <c r="V832" s="38"/>
      <c r="W832" s="38"/>
      <c r="X832" s="38"/>
      <c r="Y832" s="38"/>
      <c r="Z832" s="38"/>
    </row>
    <row r="833" spans="6:26" ht="15" thickBot="1">
      <c r="F833" s="38"/>
      <c r="G833" s="38"/>
      <c r="H833" s="38"/>
      <c r="I833" s="38"/>
      <c r="J833" s="38"/>
      <c r="K833" s="38"/>
      <c r="L833" s="38"/>
      <c r="M833" s="38"/>
      <c r="N833" s="38"/>
      <c r="O833" s="38"/>
      <c r="P833" s="38"/>
      <c r="Q833" s="38"/>
      <c r="R833" s="38"/>
      <c r="S833" s="38"/>
      <c r="T833" s="38"/>
      <c r="U833" s="38"/>
      <c r="V833" s="38"/>
      <c r="W833" s="38"/>
      <c r="X833" s="38"/>
      <c r="Y833" s="38"/>
      <c r="Z833" s="38"/>
    </row>
    <row r="834" spans="6:26" ht="15" thickBot="1">
      <c r="F834" s="38"/>
      <c r="G834" s="38"/>
      <c r="H834" s="38"/>
      <c r="I834" s="38"/>
      <c r="J834" s="38"/>
      <c r="K834" s="38"/>
      <c r="L834" s="38"/>
      <c r="M834" s="38"/>
      <c r="N834" s="38"/>
      <c r="O834" s="38"/>
      <c r="P834" s="38"/>
      <c r="Q834" s="38"/>
      <c r="R834" s="38"/>
      <c r="S834" s="38"/>
      <c r="T834" s="38"/>
      <c r="U834" s="38"/>
      <c r="V834" s="38"/>
      <c r="W834" s="38"/>
      <c r="X834" s="38"/>
      <c r="Y834" s="38"/>
      <c r="Z834" s="38"/>
    </row>
    <row r="835" spans="6:26" ht="15" thickBot="1">
      <c r="F835" s="38"/>
      <c r="G835" s="38"/>
      <c r="H835" s="38"/>
      <c r="I835" s="38"/>
      <c r="J835" s="38"/>
      <c r="K835" s="38"/>
      <c r="L835" s="38"/>
      <c r="M835" s="38"/>
      <c r="N835" s="38"/>
      <c r="O835" s="38"/>
      <c r="P835" s="38"/>
      <c r="Q835" s="38"/>
      <c r="R835" s="38"/>
      <c r="S835" s="38"/>
      <c r="T835" s="38"/>
      <c r="U835" s="38"/>
      <c r="V835" s="38"/>
      <c r="W835" s="38"/>
      <c r="X835" s="38"/>
      <c r="Y835" s="38"/>
      <c r="Z835" s="38"/>
    </row>
    <row r="836" spans="6:26" ht="15" thickBot="1">
      <c r="F836" s="38"/>
      <c r="G836" s="38"/>
      <c r="H836" s="38"/>
      <c r="I836" s="38"/>
      <c r="J836" s="38"/>
      <c r="K836" s="38"/>
      <c r="L836" s="38"/>
      <c r="M836" s="38"/>
      <c r="N836" s="38"/>
      <c r="O836" s="38"/>
      <c r="P836" s="38"/>
      <c r="Q836" s="38"/>
      <c r="R836" s="38"/>
      <c r="S836" s="38"/>
      <c r="T836" s="38"/>
      <c r="U836" s="38"/>
      <c r="V836" s="38"/>
      <c r="W836" s="38"/>
      <c r="X836" s="38"/>
      <c r="Y836" s="38"/>
      <c r="Z836" s="38"/>
    </row>
    <row r="837" spans="6:26" ht="15" thickBot="1">
      <c r="F837" s="38"/>
      <c r="G837" s="38"/>
      <c r="H837" s="38"/>
      <c r="I837" s="38"/>
      <c r="J837" s="38"/>
      <c r="K837" s="38"/>
      <c r="L837" s="38"/>
      <c r="M837" s="38"/>
      <c r="N837" s="38"/>
      <c r="O837" s="38"/>
      <c r="P837" s="38"/>
      <c r="Q837" s="38"/>
      <c r="R837" s="38"/>
      <c r="S837" s="38"/>
      <c r="T837" s="38"/>
      <c r="U837" s="38"/>
      <c r="V837" s="38"/>
      <c r="W837" s="38"/>
      <c r="X837" s="38"/>
      <c r="Y837" s="38"/>
      <c r="Z837" s="38"/>
    </row>
    <row r="838" spans="6:26" ht="15" thickBot="1">
      <c r="F838" s="38"/>
      <c r="G838" s="38"/>
      <c r="H838" s="38"/>
      <c r="I838" s="38"/>
      <c r="J838" s="38"/>
      <c r="K838" s="38"/>
      <c r="L838" s="38"/>
      <c r="M838" s="38"/>
      <c r="N838" s="38"/>
      <c r="O838" s="38"/>
      <c r="P838" s="38"/>
      <c r="Q838" s="38"/>
      <c r="R838" s="38"/>
      <c r="S838" s="38"/>
      <c r="T838" s="38"/>
      <c r="U838" s="38"/>
      <c r="V838" s="38"/>
      <c r="W838" s="38"/>
      <c r="X838" s="38"/>
      <c r="Y838" s="38"/>
      <c r="Z838" s="38"/>
    </row>
    <row r="839" spans="6:26" ht="15" thickBot="1">
      <c r="F839" s="38"/>
      <c r="G839" s="38"/>
      <c r="H839" s="38"/>
      <c r="I839" s="38"/>
      <c r="J839" s="38"/>
      <c r="K839" s="38"/>
      <c r="L839" s="38"/>
      <c r="M839" s="38"/>
      <c r="N839" s="38"/>
      <c r="O839" s="38"/>
      <c r="P839" s="38"/>
      <c r="Q839" s="38"/>
      <c r="R839" s="38"/>
      <c r="S839" s="38"/>
      <c r="T839" s="38"/>
      <c r="U839" s="38"/>
      <c r="V839" s="38"/>
      <c r="W839" s="38"/>
      <c r="X839" s="38"/>
      <c r="Y839" s="38"/>
      <c r="Z839" s="38"/>
    </row>
    <row r="840" spans="6:26" ht="15" thickBot="1">
      <c r="F840" s="38"/>
      <c r="G840" s="38"/>
      <c r="H840" s="38"/>
      <c r="I840" s="38"/>
      <c r="J840" s="38"/>
      <c r="K840" s="38"/>
      <c r="L840" s="38"/>
      <c r="M840" s="38"/>
      <c r="N840" s="38"/>
      <c r="O840" s="38"/>
      <c r="P840" s="38"/>
      <c r="Q840" s="38"/>
      <c r="R840" s="38"/>
      <c r="S840" s="38"/>
      <c r="T840" s="38"/>
      <c r="U840" s="38"/>
      <c r="V840" s="38"/>
      <c r="W840" s="38"/>
      <c r="X840" s="38"/>
      <c r="Y840" s="38"/>
      <c r="Z840" s="38"/>
    </row>
    <row r="841" spans="6:26" ht="15" thickBot="1">
      <c r="F841" s="38"/>
      <c r="G841" s="38"/>
      <c r="H841" s="38"/>
      <c r="I841" s="38"/>
      <c r="J841" s="38"/>
      <c r="K841" s="38"/>
      <c r="L841" s="38"/>
      <c r="M841" s="38"/>
      <c r="N841" s="38"/>
      <c r="O841" s="38"/>
      <c r="P841" s="38"/>
      <c r="Q841" s="38"/>
      <c r="R841" s="38"/>
      <c r="S841" s="38"/>
      <c r="T841" s="38"/>
      <c r="U841" s="38"/>
      <c r="V841" s="38"/>
      <c r="W841" s="38"/>
      <c r="X841" s="38"/>
      <c r="Y841" s="38"/>
      <c r="Z841" s="38"/>
    </row>
    <row r="842" spans="6:26" ht="15" thickBot="1">
      <c r="F842" s="38"/>
      <c r="G842" s="38"/>
      <c r="H842" s="38"/>
      <c r="I842" s="38"/>
      <c r="J842" s="38"/>
      <c r="K842" s="38"/>
      <c r="L842" s="38"/>
      <c r="M842" s="38"/>
      <c r="N842" s="38"/>
      <c r="O842" s="38"/>
      <c r="P842" s="38"/>
      <c r="Q842" s="38"/>
      <c r="R842" s="38"/>
      <c r="S842" s="38"/>
      <c r="T842" s="38"/>
      <c r="U842" s="38"/>
      <c r="V842" s="38"/>
      <c r="W842" s="38"/>
      <c r="X842" s="38"/>
      <c r="Y842" s="38"/>
      <c r="Z842" s="38"/>
    </row>
    <row r="843" spans="6:26" ht="15" thickBot="1">
      <c r="F843" s="38"/>
      <c r="G843" s="38"/>
      <c r="H843" s="38"/>
      <c r="I843" s="38"/>
      <c r="J843" s="38"/>
      <c r="K843" s="38"/>
      <c r="L843" s="38"/>
      <c r="M843" s="38"/>
      <c r="N843" s="38"/>
      <c r="O843" s="38"/>
      <c r="P843" s="38"/>
      <c r="Q843" s="38"/>
      <c r="R843" s="38"/>
      <c r="S843" s="38"/>
      <c r="T843" s="38"/>
      <c r="U843" s="38"/>
      <c r="V843" s="38"/>
      <c r="W843" s="38"/>
      <c r="X843" s="38"/>
      <c r="Y843" s="38"/>
      <c r="Z843" s="38"/>
    </row>
    <row r="844" spans="6:26" ht="15" thickBot="1">
      <c r="F844" s="38"/>
      <c r="G844" s="38"/>
      <c r="H844" s="38"/>
      <c r="I844" s="38"/>
      <c r="J844" s="38"/>
      <c r="K844" s="38"/>
      <c r="L844" s="38"/>
      <c r="M844" s="38"/>
      <c r="N844" s="38"/>
      <c r="O844" s="38"/>
      <c r="P844" s="38"/>
      <c r="Q844" s="38"/>
      <c r="R844" s="38"/>
      <c r="S844" s="38"/>
      <c r="T844" s="38"/>
      <c r="U844" s="38"/>
      <c r="V844" s="38"/>
      <c r="W844" s="38"/>
      <c r="X844" s="38"/>
      <c r="Y844" s="38"/>
      <c r="Z844" s="38"/>
    </row>
    <row r="845" spans="6:26" ht="15" thickBot="1">
      <c r="F845" s="38"/>
      <c r="G845" s="38"/>
      <c r="H845" s="38"/>
      <c r="I845" s="38"/>
      <c r="J845" s="38"/>
      <c r="K845" s="38"/>
      <c r="L845" s="38"/>
      <c r="M845" s="38"/>
      <c r="N845" s="38"/>
      <c r="O845" s="38"/>
      <c r="P845" s="38"/>
      <c r="Q845" s="38"/>
      <c r="R845" s="38"/>
      <c r="S845" s="38"/>
      <c r="T845" s="38"/>
      <c r="U845" s="38"/>
      <c r="V845" s="38"/>
      <c r="W845" s="38"/>
      <c r="X845" s="38"/>
      <c r="Y845" s="38"/>
      <c r="Z845" s="38"/>
    </row>
    <row r="846" spans="6:26" ht="15" thickBot="1">
      <c r="F846" s="38"/>
      <c r="G846" s="38"/>
      <c r="H846" s="38"/>
      <c r="I846" s="38"/>
      <c r="J846" s="38"/>
      <c r="K846" s="38"/>
      <c r="L846" s="38"/>
      <c r="M846" s="38"/>
      <c r="N846" s="38"/>
      <c r="O846" s="38"/>
      <c r="P846" s="38"/>
      <c r="Q846" s="38"/>
      <c r="R846" s="38"/>
      <c r="S846" s="38"/>
      <c r="T846" s="38"/>
      <c r="U846" s="38"/>
      <c r="V846" s="38"/>
      <c r="W846" s="38"/>
      <c r="X846" s="38"/>
      <c r="Y846" s="38"/>
      <c r="Z846" s="38"/>
    </row>
    <row r="847" spans="6:26" ht="15" thickBot="1">
      <c r="F847" s="38"/>
      <c r="G847" s="38"/>
      <c r="H847" s="38"/>
      <c r="I847" s="38"/>
      <c r="J847" s="38"/>
      <c r="K847" s="38"/>
      <c r="L847" s="38"/>
      <c r="M847" s="38"/>
      <c r="N847" s="38"/>
      <c r="O847" s="38"/>
      <c r="P847" s="38"/>
      <c r="Q847" s="38"/>
      <c r="R847" s="38"/>
      <c r="S847" s="38"/>
      <c r="T847" s="38"/>
      <c r="U847" s="38"/>
      <c r="V847" s="38"/>
      <c r="W847" s="38"/>
      <c r="X847" s="38"/>
      <c r="Y847" s="38"/>
      <c r="Z847" s="38"/>
    </row>
    <row r="848" spans="6:26" ht="15" thickBot="1">
      <c r="F848" s="38"/>
      <c r="G848" s="38"/>
      <c r="H848" s="38"/>
      <c r="I848" s="38"/>
      <c r="J848" s="38"/>
      <c r="K848" s="38"/>
      <c r="L848" s="38"/>
      <c r="M848" s="38"/>
      <c r="N848" s="38"/>
      <c r="O848" s="38"/>
      <c r="P848" s="38"/>
      <c r="Q848" s="38"/>
      <c r="R848" s="38"/>
      <c r="S848" s="38"/>
      <c r="T848" s="38"/>
      <c r="U848" s="38"/>
      <c r="V848" s="38"/>
      <c r="W848" s="38"/>
      <c r="X848" s="38"/>
      <c r="Y848" s="38"/>
      <c r="Z848" s="38"/>
    </row>
    <row r="849" spans="6:26" ht="15" thickBot="1">
      <c r="F849" s="38"/>
      <c r="G849" s="38"/>
      <c r="H849" s="38"/>
      <c r="I849" s="38"/>
      <c r="J849" s="38"/>
      <c r="K849" s="38"/>
      <c r="L849" s="38"/>
      <c r="M849" s="38"/>
      <c r="N849" s="38"/>
      <c r="O849" s="38"/>
      <c r="P849" s="38"/>
      <c r="Q849" s="38"/>
      <c r="R849" s="38"/>
      <c r="S849" s="38"/>
      <c r="T849" s="38"/>
      <c r="U849" s="38"/>
      <c r="V849" s="38"/>
      <c r="W849" s="38"/>
      <c r="X849" s="38"/>
      <c r="Y849" s="38"/>
      <c r="Z849" s="38"/>
    </row>
    <row r="850" spans="6:26" ht="15" thickBot="1">
      <c r="F850" s="38"/>
      <c r="G850" s="38"/>
      <c r="H850" s="38"/>
      <c r="I850" s="38"/>
      <c r="J850" s="38"/>
      <c r="K850" s="38"/>
      <c r="L850" s="38"/>
      <c r="M850" s="38"/>
      <c r="N850" s="38"/>
      <c r="O850" s="38"/>
      <c r="P850" s="38"/>
      <c r="Q850" s="38"/>
      <c r="R850" s="38"/>
      <c r="S850" s="38"/>
      <c r="T850" s="38"/>
      <c r="U850" s="38"/>
      <c r="V850" s="38"/>
      <c r="W850" s="38"/>
      <c r="X850" s="38"/>
      <c r="Y850" s="38"/>
      <c r="Z850" s="38"/>
    </row>
    <row r="851" spans="6:26" ht="15" thickBot="1">
      <c r="F851" s="38"/>
      <c r="G851" s="38"/>
      <c r="H851" s="38"/>
      <c r="I851" s="38"/>
      <c r="J851" s="38"/>
      <c r="K851" s="38"/>
      <c r="L851" s="38"/>
      <c r="M851" s="38"/>
      <c r="N851" s="38"/>
      <c r="O851" s="38"/>
      <c r="P851" s="38"/>
      <c r="Q851" s="38"/>
      <c r="R851" s="38"/>
      <c r="S851" s="38"/>
      <c r="T851" s="38"/>
      <c r="U851" s="38"/>
      <c r="V851" s="38"/>
      <c r="W851" s="38"/>
      <c r="X851" s="38"/>
      <c r="Y851" s="38"/>
      <c r="Z851" s="38"/>
    </row>
    <row r="852" spans="6:26" ht="15" thickBot="1">
      <c r="F852" s="38"/>
      <c r="G852" s="38"/>
      <c r="H852" s="38"/>
      <c r="I852" s="38"/>
      <c r="J852" s="38"/>
      <c r="K852" s="38"/>
      <c r="L852" s="38"/>
      <c r="M852" s="38"/>
      <c r="N852" s="38"/>
      <c r="O852" s="38"/>
      <c r="P852" s="38"/>
      <c r="Q852" s="38"/>
      <c r="R852" s="38"/>
      <c r="S852" s="38"/>
      <c r="T852" s="38"/>
      <c r="U852" s="38"/>
      <c r="V852" s="38"/>
      <c r="W852" s="38"/>
      <c r="X852" s="38"/>
      <c r="Y852" s="38"/>
      <c r="Z852" s="38"/>
    </row>
    <row r="853" spans="6:26" ht="15" thickBot="1">
      <c r="F853" s="38"/>
      <c r="G853" s="38"/>
      <c r="H853" s="38"/>
      <c r="I853" s="38"/>
      <c r="J853" s="38"/>
      <c r="K853" s="38"/>
      <c r="L853" s="38"/>
      <c r="M853" s="38"/>
      <c r="N853" s="38"/>
      <c r="O853" s="38"/>
      <c r="P853" s="38"/>
      <c r="Q853" s="38"/>
      <c r="R853" s="38"/>
      <c r="S853" s="38"/>
      <c r="T853" s="38"/>
      <c r="U853" s="38"/>
      <c r="V853" s="38"/>
      <c r="W853" s="38"/>
      <c r="X853" s="38"/>
      <c r="Y853" s="38"/>
      <c r="Z853" s="38"/>
    </row>
    <row r="854" spans="6:26" ht="15" thickBot="1">
      <c r="F854" s="38"/>
      <c r="G854" s="38"/>
      <c r="H854" s="38"/>
      <c r="I854" s="38"/>
      <c r="J854" s="38"/>
      <c r="K854" s="38"/>
      <c r="L854" s="38"/>
      <c r="M854" s="38"/>
      <c r="N854" s="38"/>
      <c r="O854" s="38"/>
      <c r="P854" s="38"/>
      <c r="Q854" s="38"/>
      <c r="R854" s="38"/>
      <c r="S854" s="38"/>
      <c r="T854" s="38"/>
      <c r="U854" s="38"/>
      <c r="V854" s="38"/>
      <c r="W854" s="38"/>
      <c r="X854" s="38"/>
      <c r="Y854" s="38"/>
      <c r="Z854" s="38"/>
    </row>
    <row r="855" spans="6:26" ht="15" thickBot="1">
      <c r="F855" s="38"/>
      <c r="G855" s="38"/>
      <c r="H855" s="38"/>
      <c r="I855" s="38"/>
      <c r="J855" s="38"/>
      <c r="K855" s="38"/>
      <c r="L855" s="38"/>
      <c r="M855" s="38"/>
      <c r="N855" s="38"/>
      <c r="O855" s="38"/>
      <c r="P855" s="38"/>
      <c r="Q855" s="38"/>
      <c r="R855" s="38"/>
      <c r="S855" s="38"/>
      <c r="T855" s="38"/>
      <c r="U855" s="38"/>
      <c r="V855" s="38"/>
      <c r="W855" s="38"/>
      <c r="X855" s="38"/>
      <c r="Y855" s="38"/>
      <c r="Z855" s="38"/>
    </row>
    <row r="856" spans="6:26" ht="15" thickBot="1">
      <c r="F856" s="38"/>
      <c r="G856" s="38"/>
      <c r="H856" s="38"/>
      <c r="I856" s="38"/>
      <c r="J856" s="38"/>
      <c r="K856" s="38"/>
      <c r="L856" s="38"/>
      <c r="M856" s="38"/>
      <c r="N856" s="38"/>
      <c r="O856" s="38"/>
      <c r="P856" s="38"/>
      <c r="Q856" s="38"/>
      <c r="R856" s="38"/>
      <c r="S856" s="38"/>
      <c r="T856" s="38"/>
      <c r="U856" s="38"/>
      <c r="V856" s="38"/>
      <c r="W856" s="38"/>
      <c r="X856" s="38"/>
      <c r="Y856" s="38"/>
      <c r="Z856" s="38"/>
    </row>
    <row r="857" spans="6:26" ht="15" thickBot="1">
      <c r="F857" s="38"/>
      <c r="G857" s="38"/>
      <c r="H857" s="38"/>
      <c r="I857" s="38"/>
      <c r="J857" s="38"/>
      <c r="K857" s="38"/>
      <c r="L857" s="38"/>
      <c r="M857" s="38"/>
      <c r="N857" s="38"/>
      <c r="O857" s="38"/>
      <c r="P857" s="38"/>
      <c r="Q857" s="38"/>
      <c r="R857" s="38"/>
      <c r="S857" s="38"/>
      <c r="T857" s="38"/>
      <c r="U857" s="38"/>
      <c r="V857" s="38"/>
      <c r="W857" s="38"/>
      <c r="X857" s="38"/>
      <c r="Y857" s="38"/>
      <c r="Z857" s="38"/>
    </row>
    <row r="858" spans="6:26" ht="15" thickBot="1">
      <c r="F858" s="38"/>
      <c r="G858" s="38"/>
      <c r="H858" s="38"/>
      <c r="I858" s="38"/>
      <c r="J858" s="38"/>
      <c r="K858" s="38"/>
      <c r="L858" s="38"/>
      <c r="M858" s="38"/>
      <c r="N858" s="38"/>
      <c r="O858" s="38"/>
      <c r="P858" s="38"/>
      <c r="Q858" s="38"/>
      <c r="R858" s="38"/>
      <c r="S858" s="38"/>
      <c r="T858" s="38"/>
      <c r="U858" s="38"/>
      <c r="V858" s="38"/>
      <c r="W858" s="38"/>
      <c r="X858" s="38"/>
      <c r="Y858" s="38"/>
      <c r="Z858" s="38"/>
    </row>
    <row r="859" spans="6:26" ht="15" thickBot="1">
      <c r="F859" s="38"/>
      <c r="G859" s="38"/>
      <c r="H859" s="38"/>
      <c r="I859" s="38"/>
      <c r="J859" s="38"/>
      <c r="K859" s="38"/>
      <c r="L859" s="38"/>
      <c r="M859" s="38"/>
      <c r="N859" s="38"/>
      <c r="O859" s="38"/>
      <c r="P859" s="38"/>
      <c r="Q859" s="38"/>
      <c r="R859" s="38"/>
      <c r="S859" s="38"/>
      <c r="T859" s="38"/>
      <c r="U859" s="38"/>
      <c r="V859" s="38"/>
      <c r="W859" s="38"/>
      <c r="X859" s="38"/>
      <c r="Y859" s="38"/>
      <c r="Z859" s="38"/>
    </row>
    <row r="860" spans="6:26" ht="15" thickBot="1">
      <c r="F860" s="38"/>
      <c r="G860" s="38"/>
      <c r="H860" s="38"/>
      <c r="I860" s="38"/>
      <c r="J860" s="38"/>
      <c r="K860" s="38"/>
      <c r="L860" s="38"/>
      <c r="M860" s="38"/>
      <c r="N860" s="38"/>
      <c r="O860" s="38"/>
      <c r="P860" s="38"/>
      <c r="Q860" s="38"/>
      <c r="R860" s="38"/>
      <c r="S860" s="38"/>
      <c r="T860" s="38"/>
      <c r="U860" s="38"/>
      <c r="V860" s="38"/>
      <c r="W860" s="38"/>
      <c r="X860" s="38"/>
      <c r="Y860" s="38"/>
      <c r="Z860" s="38"/>
    </row>
    <row r="861" spans="6:26" ht="15" thickBot="1">
      <c r="F861" s="38"/>
      <c r="G861" s="38"/>
      <c r="H861" s="38"/>
      <c r="I861" s="38"/>
      <c r="J861" s="38"/>
      <c r="K861" s="38"/>
      <c r="L861" s="38"/>
      <c r="M861" s="38"/>
      <c r="N861" s="38"/>
      <c r="O861" s="38"/>
      <c r="P861" s="38"/>
      <c r="Q861" s="38"/>
      <c r="R861" s="38"/>
      <c r="S861" s="38"/>
      <c r="T861" s="38"/>
      <c r="U861" s="38"/>
      <c r="V861" s="38"/>
      <c r="W861" s="38"/>
      <c r="X861" s="38"/>
      <c r="Y861" s="38"/>
      <c r="Z861" s="38"/>
    </row>
    <row r="862" spans="6:26" ht="15" thickBot="1">
      <c r="F862" s="38"/>
      <c r="G862" s="38"/>
      <c r="H862" s="38"/>
      <c r="I862" s="38"/>
      <c r="J862" s="38"/>
      <c r="K862" s="38"/>
      <c r="L862" s="38"/>
      <c r="M862" s="38"/>
      <c r="N862" s="38"/>
      <c r="O862" s="38"/>
      <c r="P862" s="38"/>
      <c r="Q862" s="38"/>
      <c r="R862" s="38"/>
      <c r="S862" s="38"/>
      <c r="T862" s="38"/>
      <c r="U862" s="38"/>
      <c r="V862" s="38"/>
      <c r="W862" s="38"/>
      <c r="X862" s="38"/>
      <c r="Y862" s="38"/>
      <c r="Z862" s="38"/>
    </row>
    <row r="863" spans="6:26" ht="15" thickBot="1">
      <c r="F863" s="38"/>
      <c r="G863" s="38"/>
      <c r="H863" s="38"/>
      <c r="I863" s="38"/>
      <c r="J863" s="38"/>
      <c r="K863" s="38"/>
      <c r="L863" s="38"/>
      <c r="M863" s="38"/>
      <c r="N863" s="38"/>
      <c r="O863" s="38"/>
      <c r="P863" s="38"/>
      <c r="Q863" s="38"/>
      <c r="R863" s="38"/>
      <c r="S863" s="38"/>
      <c r="T863" s="38"/>
      <c r="U863" s="38"/>
      <c r="V863" s="38"/>
      <c r="W863" s="38"/>
      <c r="X863" s="38"/>
      <c r="Y863" s="38"/>
      <c r="Z863" s="38"/>
    </row>
    <row r="864" spans="6:26" ht="15" thickBot="1">
      <c r="F864" s="38"/>
      <c r="G864" s="38"/>
      <c r="H864" s="38"/>
      <c r="I864" s="38"/>
      <c r="J864" s="38"/>
      <c r="K864" s="38"/>
      <c r="L864" s="38"/>
      <c r="M864" s="38"/>
      <c r="N864" s="38"/>
      <c r="O864" s="38"/>
      <c r="P864" s="38"/>
      <c r="Q864" s="38"/>
      <c r="R864" s="38"/>
      <c r="S864" s="38"/>
      <c r="T864" s="38"/>
      <c r="U864" s="38"/>
      <c r="V864" s="38"/>
      <c r="W864" s="38"/>
      <c r="X864" s="38"/>
      <c r="Y864" s="38"/>
      <c r="Z864" s="38"/>
    </row>
    <row r="865" spans="6:26" ht="15" thickBot="1">
      <c r="F865" s="38"/>
      <c r="G865" s="38"/>
      <c r="H865" s="38"/>
      <c r="I865" s="38"/>
      <c r="J865" s="38"/>
      <c r="K865" s="38"/>
      <c r="L865" s="38"/>
      <c r="M865" s="38"/>
      <c r="N865" s="38"/>
      <c r="O865" s="38"/>
      <c r="P865" s="38"/>
      <c r="Q865" s="38"/>
      <c r="R865" s="38"/>
      <c r="S865" s="38"/>
      <c r="T865" s="38"/>
      <c r="U865" s="38"/>
      <c r="V865" s="38"/>
      <c r="W865" s="38"/>
      <c r="X865" s="38"/>
      <c r="Y865" s="38"/>
      <c r="Z865" s="38"/>
    </row>
    <row r="866" spans="6:26" ht="15" thickBot="1">
      <c r="F866" s="38"/>
      <c r="G866" s="38"/>
      <c r="H866" s="38"/>
      <c r="I866" s="38"/>
      <c r="J866" s="38"/>
      <c r="K866" s="38"/>
      <c r="L866" s="38"/>
      <c r="M866" s="38"/>
      <c r="N866" s="38"/>
      <c r="O866" s="38"/>
      <c r="P866" s="38"/>
      <c r="Q866" s="38"/>
      <c r="R866" s="38"/>
      <c r="S866" s="38"/>
      <c r="T866" s="38"/>
      <c r="U866" s="38"/>
      <c r="V866" s="38"/>
      <c r="W866" s="38"/>
      <c r="X866" s="38"/>
      <c r="Y866" s="38"/>
      <c r="Z866" s="38"/>
    </row>
    <row r="867" spans="6:26" ht="15" thickBot="1">
      <c r="F867" s="38"/>
      <c r="G867" s="38"/>
      <c r="H867" s="38"/>
      <c r="I867" s="38"/>
      <c r="J867" s="38"/>
      <c r="K867" s="38"/>
      <c r="L867" s="38"/>
      <c r="M867" s="38"/>
      <c r="N867" s="38"/>
      <c r="O867" s="38"/>
      <c r="P867" s="38"/>
      <c r="Q867" s="38"/>
      <c r="R867" s="38"/>
      <c r="S867" s="38"/>
      <c r="T867" s="38"/>
      <c r="U867" s="38"/>
      <c r="V867" s="38"/>
      <c r="W867" s="38"/>
      <c r="X867" s="38"/>
      <c r="Y867" s="38"/>
      <c r="Z867" s="38"/>
    </row>
    <row r="868" spans="6:26" ht="15" thickBot="1">
      <c r="F868" s="38"/>
      <c r="G868" s="38"/>
      <c r="H868" s="38"/>
      <c r="I868" s="38"/>
      <c r="J868" s="38"/>
      <c r="K868" s="38"/>
      <c r="L868" s="38"/>
      <c r="M868" s="38"/>
      <c r="N868" s="38"/>
      <c r="O868" s="38"/>
      <c r="P868" s="38"/>
      <c r="Q868" s="38"/>
      <c r="R868" s="38"/>
      <c r="S868" s="38"/>
      <c r="T868" s="38"/>
      <c r="U868" s="38"/>
      <c r="V868" s="38"/>
      <c r="W868" s="38"/>
      <c r="X868" s="38"/>
      <c r="Y868" s="38"/>
      <c r="Z868" s="38"/>
    </row>
    <row r="869" spans="6:26" ht="15" thickBot="1">
      <c r="F869" s="38"/>
      <c r="G869" s="38"/>
      <c r="H869" s="38"/>
      <c r="I869" s="38"/>
      <c r="J869" s="38"/>
      <c r="K869" s="38"/>
      <c r="L869" s="38"/>
      <c r="M869" s="38"/>
      <c r="N869" s="38"/>
      <c r="O869" s="38"/>
      <c r="P869" s="38"/>
      <c r="Q869" s="38"/>
      <c r="R869" s="38"/>
      <c r="S869" s="38"/>
      <c r="T869" s="38"/>
      <c r="U869" s="38"/>
      <c r="V869" s="38"/>
      <c r="W869" s="38"/>
      <c r="X869" s="38"/>
      <c r="Y869" s="38"/>
      <c r="Z869" s="38"/>
    </row>
    <row r="870" spans="6:26" ht="15" thickBot="1">
      <c r="F870" s="38"/>
      <c r="G870" s="38"/>
      <c r="H870" s="38"/>
      <c r="I870" s="38"/>
      <c r="J870" s="38"/>
      <c r="K870" s="38"/>
      <c r="L870" s="38"/>
      <c r="M870" s="38"/>
      <c r="N870" s="38"/>
      <c r="O870" s="38"/>
      <c r="P870" s="38"/>
      <c r="Q870" s="38"/>
      <c r="R870" s="38"/>
      <c r="S870" s="38"/>
      <c r="T870" s="38"/>
      <c r="U870" s="38"/>
      <c r="V870" s="38"/>
      <c r="W870" s="38"/>
      <c r="X870" s="38"/>
      <c r="Y870" s="38"/>
      <c r="Z870" s="38"/>
    </row>
    <row r="871" spans="6:26" ht="15" thickBot="1">
      <c r="F871" s="38"/>
      <c r="G871" s="38"/>
      <c r="H871" s="38"/>
      <c r="I871" s="38"/>
      <c r="J871" s="38"/>
      <c r="K871" s="38"/>
      <c r="L871" s="38"/>
      <c r="M871" s="38"/>
      <c r="N871" s="38"/>
      <c r="O871" s="38"/>
      <c r="P871" s="38"/>
      <c r="Q871" s="38"/>
      <c r="R871" s="38"/>
      <c r="S871" s="38"/>
      <c r="T871" s="38"/>
      <c r="U871" s="38"/>
      <c r="V871" s="38"/>
      <c r="W871" s="38"/>
      <c r="X871" s="38"/>
      <c r="Y871" s="38"/>
      <c r="Z871" s="38"/>
    </row>
    <row r="872" spans="6:26" ht="15" thickBot="1">
      <c r="F872" s="38"/>
      <c r="G872" s="38"/>
      <c r="H872" s="38"/>
      <c r="I872" s="38"/>
      <c r="J872" s="38"/>
      <c r="K872" s="38"/>
      <c r="L872" s="38"/>
      <c r="M872" s="38"/>
      <c r="N872" s="38"/>
      <c r="O872" s="38"/>
      <c r="P872" s="38"/>
      <c r="Q872" s="38"/>
      <c r="R872" s="38"/>
      <c r="S872" s="38"/>
      <c r="T872" s="38"/>
      <c r="U872" s="38"/>
      <c r="V872" s="38"/>
      <c r="W872" s="38"/>
      <c r="X872" s="38"/>
      <c r="Y872" s="38"/>
      <c r="Z872" s="38"/>
    </row>
    <row r="873" spans="6:26" ht="15" thickBot="1">
      <c r="F873" s="38"/>
      <c r="G873" s="38"/>
      <c r="H873" s="38"/>
      <c r="I873" s="38"/>
      <c r="J873" s="38"/>
      <c r="K873" s="38"/>
      <c r="L873" s="38"/>
      <c r="M873" s="38"/>
      <c r="N873" s="38"/>
      <c r="O873" s="38"/>
      <c r="P873" s="38"/>
      <c r="Q873" s="38"/>
      <c r="R873" s="38"/>
      <c r="S873" s="38"/>
      <c r="T873" s="38"/>
      <c r="U873" s="38"/>
      <c r="V873" s="38"/>
      <c r="W873" s="38"/>
      <c r="X873" s="38"/>
      <c r="Y873" s="38"/>
      <c r="Z873" s="38"/>
    </row>
    <row r="874" spans="6:26" ht="15" thickBot="1">
      <c r="F874" s="38"/>
      <c r="G874" s="38"/>
      <c r="H874" s="38"/>
      <c r="I874" s="38"/>
      <c r="J874" s="38"/>
      <c r="K874" s="38"/>
      <c r="L874" s="38"/>
      <c r="M874" s="38"/>
      <c r="N874" s="38"/>
      <c r="O874" s="38"/>
      <c r="P874" s="38"/>
      <c r="Q874" s="38"/>
      <c r="R874" s="38"/>
      <c r="S874" s="38"/>
      <c r="T874" s="38"/>
      <c r="U874" s="38"/>
      <c r="V874" s="38"/>
      <c r="W874" s="38"/>
      <c r="X874" s="38"/>
      <c r="Y874" s="38"/>
      <c r="Z874" s="38"/>
    </row>
    <row r="875" spans="6:26" ht="15" thickBot="1">
      <c r="F875" s="38"/>
      <c r="G875" s="38"/>
      <c r="H875" s="38"/>
      <c r="I875" s="38"/>
      <c r="J875" s="38"/>
      <c r="K875" s="38"/>
      <c r="L875" s="38"/>
      <c r="M875" s="38"/>
      <c r="N875" s="38"/>
      <c r="O875" s="38"/>
      <c r="P875" s="38"/>
      <c r="Q875" s="38"/>
      <c r="R875" s="38"/>
      <c r="S875" s="38"/>
      <c r="T875" s="38"/>
      <c r="U875" s="38"/>
      <c r="V875" s="38"/>
      <c r="W875" s="38"/>
      <c r="X875" s="38"/>
      <c r="Y875" s="38"/>
      <c r="Z875" s="38"/>
    </row>
    <row r="876" spans="6:26" ht="15" thickBot="1">
      <c r="F876" s="38"/>
      <c r="G876" s="38"/>
      <c r="H876" s="38"/>
      <c r="I876" s="38"/>
      <c r="J876" s="38"/>
      <c r="K876" s="38"/>
      <c r="L876" s="38"/>
      <c r="M876" s="38"/>
      <c r="N876" s="38"/>
      <c r="O876" s="38"/>
      <c r="P876" s="38"/>
      <c r="Q876" s="38"/>
      <c r="R876" s="38"/>
      <c r="S876" s="38"/>
      <c r="T876" s="38"/>
      <c r="U876" s="38"/>
      <c r="V876" s="38"/>
      <c r="W876" s="38"/>
      <c r="X876" s="38"/>
      <c r="Y876" s="38"/>
      <c r="Z876" s="38"/>
    </row>
    <row r="877" spans="6:26" ht="15" thickBot="1">
      <c r="F877" s="38"/>
      <c r="G877" s="38"/>
      <c r="H877" s="38"/>
      <c r="I877" s="38"/>
      <c r="J877" s="38"/>
      <c r="K877" s="38"/>
      <c r="L877" s="38"/>
      <c r="M877" s="38"/>
      <c r="N877" s="38"/>
      <c r="O877" s="38"/>
      <c r="P877" s="38"/>
      <c r="Q877" s="38"/>
      <c r="R877" s="38"/>
      <c r="S877" s="38"/>
      <c r="T877" s="38"/>
      <c r="U877" s="38"/>
      <c r="V877" s="38"/>
      <c r="W877" s="38"/>
      <c r="X877" s="38"/>
      <c r="Y877" s="38"/>
      <c r="Z877" s="38"/>
    </row>
    <row r="878" spans="6:26" ht="15" thickBot="1">
      <c r="F878" s="38"/>
      <c r="G878" s="38"/>
      <c r="H878" s="38"/>
      <c r="I878" s="38"/>
      <c r="J878" s="38"/>
      <c r="K878" s="38"/>
      <c r="L878" s="38"/>
      <c r="M878" s="38"/>
      <c r="N878" s="38"/>
      <c r="O878" s="38"/>
      <c r="P878" s="38"/>
      <c r="Q878" s="38"/>
      <c r="R878" s="38"/>
      <c r="S878" s="38"/>
      <c r="T878" s="38"/>
      <c r="U878" s="38"/>
      <c r="V878" s="38"/>
      <c r="W878" s="38"/>
      <c r="X878" s="38"/>
      <c r="Y878" s="38"/>
      <c r="Z878" s="38"/>
    </row>
    <row r="879" spans="6:26" ht="15" thickBot="1">
      <c r="F879" s="38"/>
      <c r="G879" s="38"/>
      <c r="H879" s="38"/>
      <c r="I879" s="38"/>
      <c r="J879" s="38"/>
      <c r="K879" s="38"/>
      <c r="L879" s="38"/>
      <c r="M879" s="38"/>
      <c r="N879" s="38"/>
      <c r="O879" s="38"/>
      <c r="P879" s="38"/>
      <c r="Q879" s="38"/>
      <c r="R879" s="38"/>
      <c r="S879" s="38"/>
      <c r="T879" s="38"/>
      <c r="U879" s="38"/>
      <c r="V879" s="38"/>
      <c r="W879" s="38"/>
      <c r="X879" s="38"/>
      <c r="Y879" s="38"/>
      <c r="Z879" s="38"/>
    </row>
    <row r="880" spans="6:26" ht="15" thickBot="1">
      <c r="F880" s="38"/>
      <c r="G880" s="38"/>
      <c r="H880" s="38"/>
      <c r="I880" s="38"/>
      <c r="J880" s="38"/>
      <c r="K880" s="38"/>
      <c r="L880" s="38"/>
      <c r="M880" s="38"/>
      <c r="N880" s="38"/>
      <c r="O880" s="38"/>
      <c r="P880" s="38"/>
      <c r="Q880" s="38"/>
      <c r="R880" s="38"/>
      <c r="S880" s="38"/>
      <c r="T880" s="38"/>
      <c r="U880" s="38"/>
      <c r="V880" s="38"/>
      <c r="W880" s="38"/>
      <c r="X880" s="38"/>
      <c r="Y880" s="38"/>
      <c r="Z880" s="38"/>
    </row>
    <row r="881" spans="6:26" ht="15" thickBot="1">
      <c r="F881" s="38"/>
      <c r="G881" s="38"/>
      <c r="H881" s="38"/>
      <c r="I881" s="38"/>
      <c r="J881" s="38"/>
      <c r="K881" s="38"/>
      <c r="L881" s="38"/>
      <c r="M881" s="38"/>
      <c r="N881" s="38"/>
      <c r="O881" s="38"/>
      <c r="P881" s="38"/>
      <c r="Q881" s="38"/>
      <c r="R881" s="38"/>
      <c r="S881" s="38"/>
      <c r="T881" s="38"/>
      <c r="U881" s="38"/>
      <c r="V881" s="38"/>
      <c r="W881" s="38"/>
      <c r="X881" s="38"/>
      <c r="Y881" s="38"/>
      <c r="Z881" s="38"/>
    </row>
    <row r="882" spans="6:26" ht="15" thickBot="1">
      <c r="F882" s="38"/>
      <c r="G882" s="38"/>
      <c r="H882" s="38"/>
      <c r="I882" s="38"/>
      <c r="J882" s="38"/>
      <c r="K882" s="38"/>
      <c r="L882" s="38"/>
      <c r="M882" s="38"/>
      <c r="N882" s="38"/>
      <c r="O882" s="38"/>
      <c r="P882" s="38"/>
      <c r="Q882" s="38"/>
      <c r="R882" s="38"/>
      <c r="S882" s="38"/>
      <c r="T882" s="38"/>
      <c r="U882" s="38"/>
      <c r="V882" s="38"/>
      <c r="W882" s="38"/>
      <c r="X882" s="38"/>
      <c r="Y882" s="38"/>
      <c r="Z882" s="38"/>
    </row>
    <row r="883" spans="6:26" ht="15" thickBot="1">
      <c r="F883" s="38"/>
      <c r="G883" s="38"/>
      <c r="H883" s="38"/>
      <c r="I883" s="38"/>
      <c r="J883" s="38"/>
      <c r="K883" s="38"/>
      <c r="L883" s="38"/>
      <c r="M883" s="38"/>
      <c r="N883" s="38"/>
      <c r="O883" s="38"/>
      <c r="P883" s="38"/>
      <c r="Q883" s="38"/>
      <c r="R883" s="38"/>
      <c r="S883" s="38"/>
      <c r="T883" s="38"/>
      <c r="U883" s="38"/>
      <c r="V883" s="38"/>
      <c r="W883" s="38"/>
      <c r="X883" s="38"/>
      <c r="Y883" s="38"/>
      <c r="Z883" s="38"/>
    </row>
    <row r="884" spans="6:26" ht="15" thickBot="1">
      <c r="F884" s="38"/>
      <c r="G884" s="38"/>
      <c r="H884" s="38"/>
      <c r="I884" s="38"/>
      <c r="J884" s="38"/>
      <c r="K884" s="38"/>
      <c r="L884" s="38"/>
      <c r="M884" s="38"/>
      <c r="N884" s="38"/>
      <c r="O884" s="38"/>
      <c r="P884" s="38"/>
      <c r="Q884" s="38"/>
      <c r="R884" s="38"/>
      <c r="S884" s="38"/>
      <c r="T884" s="38"/>
      <c r="U884" s="38"/>
      <c r="V884" s="38"/>
      <c r="W884" s="38"/>
      <c r="X884" s="38"/>
      <c r="Y884" s="38"/>
      <c r="Z884" s="38"/>
    </row>
    <row r="885" spans="6:26" ht="15" thickBot="1">
      <c r="F885" s="38"/>
      <c r="G885" s="38"/>
      <c r="H885" s="38"/>
      <c r="I885" s="38"/>
      <c r="J885" s="38"/>
      <c r="K885" s="38"/>
      <c r="L885" s="38"/>
      <c r="M885" s="38"/>
      <c r="N885" s="38"/>
      <c r="O885" s="38"/>
      <c r="P885" s="38"/>
      <c r="Q885" s="38"/>
      <c r="R885" s="38"/>
      <c r="S885" s="38"/>
      <c r="T885" s="38"/>
      <c r="U885" s="38"/>
      <c r="V885" s="38"/>
      <c r="W885" s="38"/>
      <c r="X885" s="38"/>
      <c r="Y885" s="38"/>
      <c r="Z885" s="38"/>
    </row>
    <row r="886" spans="6:26" ht="15" thickBot="1">
      <c r="F886" s="38"/>
      <c r="G886" s="38"/>
      <c r="H886" s="38"/>
      <c r="I886" s="38"/>
      <c r="J886" s="38"/>
      <c r="K886" s="38"/>
      <c r="L886" s="38"/>
      <c r="M886" s="38"/>
      <c r="N886" s="38"/>
      <c r="O886" s="38"/>
      <c r="P886" s="38"/>
      <c r="Q886" s="38"/>
      <c r="R886" s="38"/>
      <c r="S886" s="38"/>
      <c r="T886" s="38"/>
      <c r="U886" s="38"/>
      <c r="V886" s="38"/>
      <c r="W886" s="38"/>
      <c r="X886" s="38"/>
      <c r="Y886" s="38"/>
      <c r="Z886" s="38"/>
    </row>
    <row r="887" spans="6:26" ht="15" thickBot="1">
      <c r="F887" s="38"/>
      <c r="G887" s="38"/>
      <c r="H887" s="38"/>
      <c r="I887" s="38"/>
      <c r="J887" s="38"/>
      <c r="K887" s="38"/>
      <c r="L887" s="38"/>
      <c r="M887" s="38"/>
      <c r="N887" s="38"/>
      <c r="O887" s="38"/>
      <c r="P887" s="38"/>
      <c r="Q887" s="38"/>
      <c r="R887" s="38"/>
      <c r="S887" s="38"/>
      <c r="T887" s="38"/>
      <c r="U887" s="38"/>
      <c r="V887" s="38"/>
      <c r="W887" s="38"/>
      <c r="X887" s="38"/>
      <c r="Y887" s="38"/>
      <c r="Z887" s="38"/>
    </row>
    <row r="888" spans="6:26" ht="15" thickBot="1">
      <c r="F888" s="38"/>
      <c r="G888" s="38"/>
      <c r="H888" s="38"/>
      <c r="I888" s="38"/>
      <c r="J888" s="38"/>
      <c r="K888" s="38"/>
      <c r="L888" s="38"/>
      <c r="M888" s="38"/>
      <c r="N888" s="38"/>
      <c r="O888" s="38"/>
      <c r="P888" s="38"/>
      <c r="Q888" s="38"/>
      <c r="R888" s="38"/>
      <c r="S888" s="38"/>
      <c r="T888" s="38"/>
      <c r="U888" s="38"/>
      <c r="V888" s="38"/>
      <c r="W888" s="38"/>
      <c r="X888" s="38"/>
      <c r="Y888" s="38"/>
      <c r="Z888" s="38"/>
    </row>
    <row r="889" spans="6:26" ht="15" thickBot="1">
      <c r="F889" s="38"/>
      <c r="G889" s="38"/>
      <c r="H889" s="38"/>
      <c r="I889" s="38"/>
      <c r="J889" s="38"/>
      <c r="K889" s="38"/>
      <c r="L889" s="38"/>
      <c r="M889" s="38"/>
      <c r="N889" s="38"/>
      <c r="O889" s="38"/>
      <c r="P889" s="38"/>
      <c r="Q889" s="38"/>
      <c r="R889" s="38"/>
      <c r="S889" s="38"/>
      <c r="T889" s="38"/>
      <c r="U889" s="38"/>
      <c r="V889" s="38"/>
      <c r="W889" s="38"/>
      <c r="X889" s="38"/>
      <c r="Y889" s="38"/>
      <c r="Z889" s="38"/>
    </row>
    <row r="890" spans="6:26" ht="15" thickBot="1">
      <c r="F890" s="38"/>
      <c r="G890" s="38"/>
      <c r="H890" s="38"/>
      <c r="I890" s="38"/>
      <c r="J890" s="38"/>
      <c r="K890" s="38"/>
      <c r="L890" s="38"/>
      <c r="M890" s="38"/>
      <c r="N890" s="38"/>
      <c r="O890" s="38"/>
      <c r="P890" s="38"/>
      <c r="Q890" s="38"/>
      <c r="R890" s="38"/>
      <c r="S890" s="38"/>
      <c r="T890" s="38"/>
      <c r="U890" s="38"/>
      <c r="V890" s="38"/>
      <c r="W890" s="38"/>
      <c r="X890" s="38"/>
      <c r="Y890" s="38"/>
      <c r="Z890" s="38"/>
    </row>
    <row r="891" spans="6:26" ht="15" thickBot="1">
      <c r="F891" s="38"/>
      <c r="G891" s="38"/>
      <c r="H891" s="38"/>
      <c r="I891" s="38"/>
      <c r="J891" s="38"/>
      <c r="K891" s="38"/>
      <c r="L891" s="38"/>
      <c r="M891" s="38"/>
      <c r="N891" s="38"/>
      <c r="O891" s="38"/>
      <c r="P891" s="38"/>
      <c r="Q891" s="38"/>
      <c r="R891" s="38"/>
      <c r="S891" s="38"/>
      <c r="T891" s="38"/>
      <c r="U891" s="38"/>
      <c r="V891" s="38"/>
      <c r="W891" s="38"/>
      <c r="X891" s="38"/>
      <c r="Y891" s="38"/>
      <c r="Z891" s="38"/>
    </row>
    <row r="892" spans="6:26" ht="15" thickBot="1">
      <c r="F892" s="38"/>
      <c r="G892" s="38"/>
      <c r="H892" s="38"/>
      <c r="I892" s="38"/>
      <c r="J892" s="38"/>
      <c r="K892" s="38"/>
      <c r="L892" s="38"/>
      <c r="M892" s="38"/>
      <c r="N892" s="38"/>
      <c r="O892" s="38"/>
      <c r="P892" s="38"/>
      <c r="Q892" s="38"/>
      <c r="R892" s="38"/>
      <c r="S892" s="38"/>
      <c r="T892" s="38"/>
      <c r="U892" s="38"/>
      <c r="V892" s="38"/>
      <c r="W892" s="38"/>
      <c r="X892" s="38"/>
      <c r="Y892" s="38"/>
      <c r="Z892" s="38"/>
    </row>
    <row r="893" spans="6:26" ht="15" thickBot="1">
      <c r="F893" s="38"/>
      <c r="G893" s="38"/>
      <c r="H893" s="38"/>
      <c r="I893" s="38"/>
      <c r="J893" s="38"/>
      <c r="K893" s="38"/>
      <c r="L893" s="38"/>
      <c r="M893" s="38"/>
      <c r="N893" s="38"/>
      <c r="O893" s="38"/>
      <c r="P893" s="38"/>
      <c r="Q893" s="38"/>
      <c r="R893" s="38"/>
      <c r="S893" s="38"/>
      <c r="T893" s="38"/>
      <c r="U893" s="38"/>
      <c r="V893" s="38"/>
      <c r="W893" s="38"/>
      <c r="X893" s="38"/>
      <c r="Y893" s="38"/>
      <c r="Z893" s="38"/>
    </row>
    <row r="894" spans="6:26" ht="15" thickBot="1">
      <c r="F894" s="38"/>
      <c r="G894" s="38"/>
      <c r="H894" s="38"/>
      <c r="I894" s="38"/>
      <c r="J894" s="38"/>
      <c r="K894" s="38"/>
      <c r="L894" s="38"/>
      <c r="M894" s="38"/>
      <c r="N894" s="38"/>
      <c r="O894" s="38"/>
      <c r="P894" s="38"/>
      <c r="Q894" s="38"/>
      <c r="R894" s="38"/>
      <c r="S894" s="38"/>
      <c r="T894" s="38"/>
      <c r="U894" s="38"/>
      <c r="V894" s="38"/>
      <c r="W894" s="38"/>
      <c r="X894" s="38"/>
      <c r="Y894" s="38"/>
      <c r="Z894" s="38"/>
    </row>
    <row r="895" spans="6:26" ht="15" thickBot="1">
      <c r="F895" s="38"/>
      <c r="G895" s="38"/>
      <c r="H895" s="38"/>
      <c r="I895" s="38"/>
      <c r="J895" s="38"/>
      <c r="K895" s="38"/>
      <c r="L895" s="38"/>
      <c r="M895" s="38"/>
      <c r="N895" s="38"/>
      <c r="O895" s="38"/>
      <c r="P895" s="38"/>
      <c r="Q895" s="38"/>
      <c r="R895" s="38"/>
      <c r="S895" s="38"/>
      <c r="T895" s="38"/>
      <c r="U895" s="38"/>
      <c r="V895" s="38"/>
      <c r="W895" s="38"/>
      <c r="X895" s="38"/>
      <c r="Y895" s="38"/>
      <c r="Z895" s="38"/>
    </row>
    <row r="896" spans="6:26" ht="15" thickBot="1">
      <c r="F896" s="38"/>
      <c r="G896" s="38"/>
      <c r="H896" s="38"/>
      <c r="I896" s="38"/>
      <c r="J896" s="38"/>
      <c r="K896" s="38"/>
      <c r="L896" s="38"/>
      <c r="M896" s="38"/>
      <c r="N896" s="38"/>
      <c r="O896" s="38"/>
      <c r="P896" s="38"/>
      <c r="Q896" s="38"/>
      <c r="R896" s="38"/>
      <c r="S896" s="38"/>
      <c r="T896" s="38"/>
      <c r="U896" s="38"/>
      <c r="V896" s="38"/>
      <c r="W896" s="38"/>
      <c r="X896" s="38"/>
      <c r="Y896" s="38"/>
      <c r="Z896" s="38"/>
    </row>
    <row r="897" spans="6:26" ht="15" thickBot="1">
      <c r="F897" s="38"/>
      <c r="G897" s="38"/>
      <c r="H897" s="38"/>
      <c r="I897" s="38"/>
      <c r="J897" s="38"/>
      <c r="K897" s="38"/>
      <c r="L897" s="38"/>
      <c r="M897" s="38"/>
      <c r="N897" s="38"/>
      <c r="O897" s="38"/>
      <c r="P897" s="38"/>
      <c r="Q897" s="38"/>
      <c r="R897" s="38"/>
      <c r="S897" s="38"/>
      <c r="T897" s="38"/>
      <c r="U897" s="38"/>
      <c r="V897" s="38"/>
      <c r="W897" s="38"/>
      <c r="X897" s="38"/>
      <c r="Y897" s="38"/>
      <c r="Z897" s="38"/>
    </row>
    <row r="898" spans="6:26" ht="15" thickBot="1">
      <c r="F898" s="38"/>
      <c r="G898" s="38"/>
      <c r="H898" s="38"/>
      <c r="I898" s="38"/>
      <c r="J898" s="38"/>
      <c r="K898" s="38"/>
      <c r="L898" s="38"/>
      <c r="M898" s="38"/>
      <c r="N898" s="38"/>
      <c r="O898" s="38"/>
      <c r="P898" s="38"/>
      <c r="Q898" s="38"/>
      <c r="R898" s="38"/>
      <c r="S898" s="38"/>
      <c r="T898" s="38"/>
      <c r="U898" s="38"/>
      <c r="V898" s="38"/>
      <c r="W898" s="38"/>
      <c r="X898" s="38"/>
      <c r="Y898" s="38"/>
      <c r="Z898" s="38"/>
    </row>
    <row r="899" spans="6:26" ht="15" thickBot="1">
      <c r="F899" s="38"/>
      <c r="G899" s="38"/>
      <c r="H899" s="38"/>
      <c r="I899" s="38"/>
      <c r="J899" s="38"/>
      <c r="K899" s="38"/>
      <c r="L899" s="38"/>
      <c r="M899" s="38"/>
      <c r="N899" s="38"/>
      <c r="O899" s="38"/>
      <c r="P899" s="38"/>
      <c r="Q899" s="38"/>
      <c r="R899" s="38"/>
      <c r="S899" s="38"/>
      <c r="T899" s="38"/>
      <c r="U899" s="38"/>
      <c r="V899" s="38"/>
      <c r="W899" s="38"/>
      <c r="X899" s="38"/>
      <c r="Y899" s="38"/>
      <c r="Z899" s="38"/>
    </row>
    <row r="900" spans="6:26" ht="15" thickBot="1">
      <c r="F900" s="38"/>
      <c r="G900" s="38"/>
      <c r="H900" s="38"/>
      <c r="I900" s="38"/>
      <c r="J900" s="38"/>
      <c r="K900" s="38"/>
      <c r="L900" s="38"/>
      <c r="M900" s="38"/>
      <c r="N900" s="38"/>
      <c r="O900" s="38"/>
      <c r="P900" s="38"/>
      <c r="Q900" s="38"/>
      <c r="R900" s="38"/>
      <c r="S900" s="38"/>
      <c r="T900" s="38"/>
      <c r="U900" s="38"/>
      <c r="V900" s="38"/>
      <c r="W900" s="38"/>
      <c r="X900" s="38"/>
      <c r="Y900" s="38"/>
      <c r="Z900" s="38"/>
    </row>
    <row r="901" spans="6:26" ht="15" thickBot="1">
      <c r="F901" s="38"/>
      <c r="G901" s="38"/>
      <c r="H901" s="38"/>
      <c r="I901" s="38"/>
      <c r="J901" s="38"/>
      <c r="K901" s="38"/>
      <c r="L901" s="38"/>
      <c r="M901" s="38"/>
      <c r="N901" s="38"/>
      <c r="O901" s="38"/>
      <c r="P901" s="38"/>
      <c r="Q901" s="38"/>
      <c r="R901" s="38"/>
      <c r="S901" s="38"/>
      <c r="T901" s="38"/>
      <c r="U901" s="38"/>
      <c r="V901" s="38"/>
      <c r="W901" s="38"/>
      <c r="X901" s="38"/>
      <c r="Y901" s="38"/>
      <c r="Z901" s="38"/>
    </row>
    <row r="902" spans="6:26" ht="15" thickBot="1">
      <c r="F902" s="38"/>
      <c r="G902" s="38"/>
      <c r="H902" s="38"/>
      <c r="I902" s="38"/>
      <c r="J902" s="38"/>
      <c r="K902" s="38"/>
      <c r="L902" s="38"/>
      <c r="M902" s="38"/>
      <c r="N902" s="38"/>
      <c r="O902" s="38"/>
      <c r="P902" s="38"/>
      <c r="Q902" s="38"/>
      <c r="R902" s="38"/>
      <c r="S902" s="38"/>
      <c r="T902" s="38"/>
      <c r="U902" s="38"/>
      <c r="V902" s="38"/>
      <c r="W902" s="38"/>
      <c r="X902" s="38"/>
      <c r="Y902" s="38"/>
      <c r="Z902" s="38"/>
    </row>
    <row r="903" spans="6:26" ht="15" thickBot="1">
      <c r="F903" s="38"/>
      <c r="G903" s="38"/>
      <c r="H903" s="38"/>
      <c r="I903" s="38"/>
      <c r="J903" s="38"/>
      <c r="K903" s="38"/>
      <c r="L903" s="38"/>
      <c r="M903" s="38"/>
      <c r="N903" s="38"/>
      <c r="O903" s="38"/>
      <c r="P903" s="38"/>
      <c r="Q903" s="38"/>
      <c r="R903" s="38"/>
      <c r="S903" s="38"/>
      <c r="T903" s="38"/>
      <c r="U903" s="38"/>
      <c r="V903" s="38"/>
      <c r="W903" s="38"/>
      <c r="X903" s="38"/>
      <c r="Y903" s="38"/>
      <c r="Z903" s="38"/>
    </row>
    <row r="904" spans="6:26" ht="15" thickBot="1">
      <c r="F904" s="38"/>
      <c r="G904" s="38"/>
      <c r="H904" s="38"/>
      <c r="I904" s="38"/>
      <c r="J904" s="38"/>
      <c r="K904" s="38"/>
      <c r="L904" s="38"/>
      <c r="M904" s="38"/>
      <c r="N904" s="38"/>
      <c r="O904" s="38"/>
      <c r="P904" s="38"/>
      <c r="Q904" s="38"/>
      <c r="R904" s="38"/>
      <c r="S904" s="38"/>
      <c r="T904" s="38"/>
      <c r="U904" s="38"/>
      <c r="V904" s="38"/>
      <c r="W904" s="38"/>
      <c r="X904" s="38"/>
      <c r="Y904" s="38"/>
      <c r="Z904" s="38"/>
    </row>
    <row r="905" spans="6:26" ht="15" thickBot="1">
      <c r="F905" s="38"/>
      <c r="G905" s="38"/>
      <c r="H905" s="38"/>
      <c r="I905" s="38"/>
      <c r="J905" s="38"/>
      <c r="K905" s="38"/>
      <c r="L905" s="38"/>
      <c r="M905" s="38"/>
      <c r="N905" s="38"/>
      <c r="O905" s="38"/>
      <c r="P905" s="38"/>
      <c r="Q905" s="38"/>
      <c r="R905" s="38"/>
      <c r="S905" s="38"/>
      <c r="T905" s="38"/>
      <c r="U905" s="38"/>
      <c r="V905" s="38"/>
      <c r="W905" s="38"/>
      <c r="X905" s="38"/>
      <c r="Y905" s="38"/>
      <c r="Z905" s="38"/>
    </row>
    <row r="906" spans="6:26" ht="15" thickBot="1">
      <c r="F906" s="38"/>
      <c r="G906" s="38"/>
      <c r="H906" s="38"/>
      <c r="I906" s="38"/>
      <c r="J906" s="38"/>
      <c r="K906" s="38"/>
      <c r="L906" s="38"/>
      <c r="M906" s="38"/>
      <c r="N906" s="38"/>
      <c r="O906" s="38"/>
      <c r="P906" s="38"/>
      <c r="Q906" s="38"/>
      <c r="R906" s="38"/>
      <c r="S906" s="38"/>
      <c r="T906" s="38"/>
      <c r="U906" s="38"/>
      <c r="V906" s="38"/>
      <c r="W906" s="38"/>
      <c r="X906" s="38"/>
      <c r="Y906" s="38"/>
      <c r="Z906" s="38"/>
    </row>
    <row r="907" spans="6:26" ht="15" thickBot="1">
      <c r="F907" s="38"/>
      <c r="G907" s="38"/>
      <c r="H907" s="38"/>
      <c r="I907" s="38"/>
      <c r="J907" s="38"/>
      <c r="K907" s="38"/>
      <c r="L907" s="38"/>
      <c r="M907" s="38"/>
      <c r="N907" s="38"/>
      <c r="O907" s="38"/>
      <c r="P907" s="38"/>
      <c r="Q907" s="38"/>
      <c r="R907" s="38"/>
      <c r="S907" s="38"/>
      <c r="T907" s="38"/>
      <c r="U907" s="38"/>
      <c r="V907" s="38"/>
      <c r="W907" s="38"/>
      <c r="X907" s="38"/>
      <c r="Y907" s="38"/>
      <c r="Z907" s="38"/>
    </row>
    <row r="908" spans="6:26" ht="15" thickBot="1">
      <c r="F908" s="38"/>
      <c r="G908" s="38"/>
      <c r="H908" s="38"/>
      <c r="I908" s="38"/>
      <c r="J908" s="38"/>
      <c r="K908" s="38"/>
      <c r="L908" s="38"/>
      <c r="M908" s="38"/>
      <c r="N908" s="38"/>
      <c r="O908" s="38"/>
      <c r="P908" s="38"/>
      <c r="Q908" s="38"/>
      <c r="R908" s="38"/>
      <c r="S908" s="38"/>
      <c r="T908" s="38"/>
      <c r="U908" s="38"/>
      <c r="V908" s="38"/>
      <c r="W908" s="38"/>
      <c r="X908" s="38"/>
      <c r="Y908" s="38"/>
      <c r="Z908" s="38"/>
    </row>
    <row r="909" spans="6:26" ht="15" thickBot="1">
      <c r="F909" s="38"/>
      <c r="G909" s="38"/>
      <c r="H909" s="38"/>
      <c r="I909" s="38"/>
      <c r="J909" s="38"/>
      <c r="K909" s="38"/>
      <c r="L909" s="38"/>
      <c r="M909" s="38"/>
      <c r="N909" s="38"/>
      <c r="O909" s="38"/>
      <c r="P909" s="38"/>
      <c r="Q909" s="38"/>
      <c r="R909" s="38"/>
      <c r="S909" s="38"/>
      <c r="T909" s="38"/>
      <c r="U909" s="38"/>
      <c r="V909" s="38"/>
      <c r="W909" s="38"/>
      <c r="X909" s="38"/>
      <c r="Y909" s="38"/>
      <c r="Z909" s="38"/>
    </row>
    <row r="910" spans="6:26" ht="15" thickBot="1">
      <c r="F910" s="38"/>
      <c r="G910" s="38"/>
      <c r="H910" s="38"/>
      <c r="I910" s="38"/>
      <c r="J910" s="38"/>
      <c r="K910" s="38"/>
      <c r="L910" s="38"/>
      <c r="M910" s="38"/>
      <c r="N910" s="38"/>
      <c r="O910" s="38"/>
      <c r="P910" s="38"/>
      <c r="Q910" s="38"/>
      <c r="R910" s="38"/>
      <c r="S910" s="38"/>
      <c r="T910" s="38"/>
      <c r="U910" s="38"/>
      <c r="V910" s="38"/>
      <c r="W910" s="38"/>
      <c r="X910" s="38"/>
      <c r="Y910" s="38"/>
      <c r="Z910" s="38"/>
    </row>
    <row r="911" spans="6:26" ht="15" thickBot="1">
      <c r="F911" s="38"/>
      <c r="G911" s="38"/>
      <c r="H911" s="38"/>
      <c r="I911" s="38"/>
      <c r="J911" s="38"/>
      <c r="K911" s="38"/>
      <c r="L911" s="38"/>
      <c r="M911" s="38"/>
      <c r="N911" s="38"/>
      <c r="O911" s="38"/>
      <c r="P911" s="38"/>
      <c r="Q911" s="38"/>
      <c r="R911" s="38"/>
      <c r="S911" s="38"/>
      <c r="T911" s="38"/>
      <c r="U911" s="38"/>
      <c r="V911" s="38"/>
      <c r="W911" s="38"/>
      <c r="X911" s="38"/>
      <c r="Y911" s="38"/>
      <c r="Z911" s="38"/>
    </row>
    <row r="912" spans="6:26" ht="15" thickBot="1">
      <c r="F912" s="38"/>
      <c r="G912" s="38"/>
      <c r="H912" s="38"/>
      <c r="I912" s="38"/>
      <c r="J912" s="38"/>
      <c r="K912" s="38"/>
      <c r="L912" s="38"/>
      <c r="M912" s="38"/>
      <c r="N912" s="38"/>
      <c r="O912" s="38"/>
      <c r="P912" s="38"/>
      <c r="Q912" s="38"/>
      <c r="R912" s="38"/>
      <c r="S912" s="38"/>
      <c r="T912" s="38"/>
      <c r="U912" s="38"/>
      <c r="V912" s="38"/>
      <c r="W912" s="38"/>
      <c r="X912" s="38"/>
      <c r="Y912" s="38"/>
      <c r="Z912" s="38"/>
    </row>
    <row r="913" spans="6:26" ht="15" thickBot="1">
      <c r="F913" s="38"/>
      <c r="G913" s="38"/>
      <c r="H913" s="38"/>
      <c r="I913" s="38"/>
      <c r="J913" s="38"/>
      <c r="K913" s="38"/>
      <c r="L913" s="38"/>
      <c r="M913" s="38"/>
      <c r="N913" s="38"/>
      <c r="O913" s="38"/>
      <c r="P913" s="38"/>
      <c r="Q913" s="38"/>
      <c r="R913" s="38"/>
      <c r="S913" s="38"/>
      <c r="T913" s="38"/>
      <c r="U913" s="38"/>
      <c r="V913" s="38"/>
      <c r="W913" s="38"/>
      <c r="X913" s="38"/>
      <c r="Y913" s="38"/>
      <c r="Z913" s="38"/>
    </row>
    <row r="914" spans="6:26" ht="15" thickBot="1">
      <c r="F914" s="38"/>
      <c r="G914" s="38"/>
      <c r="H914" s="38"/>
      <c r="I914" s="38"/>
      <c r="J914" s="38"/>
      <c r="K914" s="38"/>
      <c r="L914" s="38"/>
      <c r="M914" s="38"/>
      <c r="N914" s="38"/>
      <c r="O914" s="38"/>
      <c r="P914" s="38"/>
      <c r="Q914" s="38"/>
      <c r="R914" s="38"/>
      <c r="S914" s="38"/>
      <c r="T914" s="38"/>
      <c r="U914" s="38"/>
      <c r="V914" s="38"/>
      <c r="W914" s="38"/>
      <c r="X914" s="38"/>
      <c r="Y914" s="38"/>
      <c r="Z914" s="38"/>
    </row>
    <row r="915" spans="6:26" ht="15" thickBot="1">
      <c r="F915" s="38"/>
      <c r="G915" s="38"/>
      <c r="H915" s="38"/>
      <c r="I915" s="38"/>
      <c r="J915" s="38"/>
      <c r="K915" s="38"/>
      <c r="L915" s="38"/>
      <c r="M915" s="38"/>
      <c r="N915" s="38"/>
      <c r="O915" s="38"/>
      <c r="P915" s="38"/>
      <c r="Q915" s="38"/>
      <c r="R915" s="38"/>
      <c r="S915" s="38"/>
      <c r="T915" s="38"/>
      <c r="U915" s="38"/>
      <c r="V915" s="38"/>
      <c r="W915" s="38"/>
      <c r="X915" s="38"/>
      <c r="Y915" s="38"/>
      <c r="Z915" s="38"/>
    </row>
    <row r="916" spans="6:26" ht="15" thickBot="1">
      <c r="F916" s="38"/>
      <c r="G916" s="38"/>
      <c r="H916" s="38"/>
      <c r="I916" s="38"/>
      <c r="J916" s="38"/>
      <c r="K916" s="38"/>
      <c r="L916" s="38"/>
      <c r="M916" s="38"/>
      <c r="N916" s="38"/>
      <c r="O916" s="38"/>
      <c r="P916" s="38"/>
      <c r="Q916" s="38"/>
      <c r="R916" s="38"/>
      <c r="S916" s="38"/>
      <c r="T916" s="38"/>
      <c r="U916" s="38"/>
      <c r="V916" s="38"/>
      <c r="W916" s="38"/>
      <c r="X916" s="38"/>
      <c r="Y916" s="38"/>
      <c r="Z916" s="38"/>
    </row>
    <row r="917" spans="6:26" ht="15" thickBot="1">
      <c r="F917" s="38"/>
      <c r="G917" s="38"/>
      <c r="H917" s="38"/>
      <c r="I917" s="38"/>
      <c r="J917" s="38"/>
      <c r="K917" s="38"/>
      <c r="L917" s="38"/>
      <c r="M917" s="38"/>
      <c r="N917" s="38"/>
      <c r="O917" s="38"/>
      <c r="P917" s="38"/>
      <c r="Q917" s="38"/>
      <c r="R917" s="38"/>
      <c r="S917" s="38"/>
      <c r="T917" s="38"/>
      <c r="U917" s="38"/>
      <c r="V917" s="38"/>
      <c r="W917" s="38"/>
      <c r="X917" s="38"/>
      <c r="Y917" s="38"/>
      <c r="Z917" s="38"/>
    </row>
    <row r="918" spans="6:26" ht="15" thickBot="1">
      <c r="F918" s="38"/>
      <c r="G918" s="38"/>
      <c r="H918" s="38"/>
      <c r="I918" s="38"/>
      <c r="J918" s="38"/>
      <c r="K918" s="38"/>
      <c r="L918" s="38"/>
      <c r="M918" s="38"/>
      <c r="N918" s="38"/>
      <c r="O918" s="38"/>
      <c r="P918" s="38"/>
      <c r="Q918" s="38"/>
      <c r="R918" s="38"/>
      <c r="S918" s="38"/>
      <c r="T918" s="38"/>
      <c r="U918" s="38"/>
      <c r="V918" s="38"/>
      <c r="W918" s="38"/>
      <c r="X918" s="38"/>
      <c r="Y918" s="38"/>
      <c r="Z918" s="38"/>
    </row>
    <row r="919" spans="6:26" ht="15" thickBot="1">
      <c r="F919" s="38"/>
      <c r="G919" s="38"/>
      <c r="H919" s="38"/>
      <c r="I919" s="38"/>
      <c r="J919" s="38"/>
      <c r="K919" s="38"/>
      <c r="L919" s="38"/>
      <c r="M919" s="38"/>
      <c r="N919" s="38"/>
      <c r="O919" s="38"/>
      <c r="P919" s="38"/>
      <c r="Q919" s="38"/>
      <c r="R919" s="38"/>
      <c r="S919" s="38"/>
      <c r="T919" s="38"/>
      <c r="U919" s="38"/>
      <c r="V919" s="38"/>
      <c r="W919" s="38"/>
      <c r="X919" s="38"/>
      <c r="Y919" s="38"/>
      <c r="Z919" s="38"/>
    </row>
    <row r="920" spans="6:26" ht="15" thickBot="1">
      <c r="F920" s="38"/>
      <c r="G920" s="38"/>
      <c r="H920" s="38"/>
      <c r="I920" s="38"/>
      <c r="J920" s="38"/>
      <c r="K920" s="38"/>
      <c r="L920" s="38"/>
      <c r="M920" s="38"/>
      <c r="N920" s="38"/>
      <c r="O920" s="38"/>
      <c r="P920" s="38"/>
      <c r="Q920" s="38"/>
      <c r="R920" s="38"/>
      <c r="S920" s="38"/>
      <c r="T920" s="38"/>
      <c r="U920" s="38"/>
      <c r="V920" s="38"/>
      <c r="W920" s="38"/>
      <c r="X920" s="38"/>
      <c r="Y920" s="38"/>
      <c r="Z920" s="38"/>
    </row>
    <row r="921" spans="6:26" ht="15" thickBot="1">
      <c r="F921" s="38"/>
      <c r="G921" s="38"/>
      <c r="H921" s="38"/>
      <c r="I921" s="38"/>
      <c r="J921" s="38"/>
      <c r="K921" s="38"/>
      <c r="L921" s="38"/>
      <c r="M921" s="38"/>
      <c r="N921" s="38"/>
      <c r="O921" s="38"/>
      <c r="P921" s="38"/>
      <c r="Q921" s="38"/>
      <c r="R921" s="38"/>
      <c r="S921" s="38"/>
      <c r="T921" s="38"/>
      <c r="U921" s="38"/>
      <c r="V921" s="38"/>
      <c r="W921" s="38"/>
      <c r="X921" s="38"/>
      <c r="Y921" s="38"/>
      <c r="Z921" s="38"/>
    </row>
    <row r="922" spans="6:26" ht="15" thickBot="1">
      <c r="F922" s="38"/>
      <c r="G922" s="38"/>
      <c r="H922" s="38"/>
      <c r="I922" s="38"/>
      <c r="J922" s="38"/>
      <c r="K922" s="38"/>
      <c r="L922" s="38"/>
      <c r="M922" s="38"/>
      <c r="N922" s="38"/>
      <c r="O922" s="38"/>
      <c r="P922" s="38"/>
      <c r="Q922" s="38"/>
      <c r="R922" s="38"/>
      <c r="S922" s="38"/>
      <c r="T922" s="38"/>
      <c r="U922" s="38"/>
      <c r="V922" s="38"/>
      <c r="W922" s="38"/>
      <c r="X922" s="38"/>
      <c r="Y922" s="38"/>
      <c r="Z922" s="38"/>
    </row>
    <row r="923" spans="6:26" ht="15" thickBot="1">
      <c r="F923" s="38"/>
      <c r="G923" s="38"/>
      <c r="H923" s="38"/>
      <c r="I923" s="38"/>
      <c r="J923" s="38"/>
      <c r="K923" s="38"/>
      <c r="L923" s="38"/>
      <c r="M923" s="38"/>
      <c r="N923" s="38"/>
      <c r="O923" s="38"/>
      <c r="P923" s="38"/>
      <c r="Q923" s="38"/>
      <c r="R923" s="38"/>
      <c r="S923" s="38"/>
      <c r="T923" s="38"/>
      <c r="U923" s="38"/>
      <c r="V923" s="38"/>
      <c r="W923" s="38"/>
      <c r="X923" s="38"/>
      <c r="Y923" s="38"/>
      <c r="Z923" s="38"/>
    </row>
    <row r="924" spans="6:26" ht="15" thickBot="1">
      <c r="F924" s="38"/>
      <c r="G924" s="38"/>
      <c r="H924" s="38"/>
      <c r="I924" s="38"/>
      <c r="J924" s="38"/>
      <c r="K924" s="38"/>
      <c r="L924" s="38"/>
      <c r="M924" s="38"/>
      <c r="N924" s="38"/>
      <c r="O924" s="38"/>
      <c r="P924" s="38"/>
      <c r="Q924" s="38"/>
      <c r="R924" s="38"/>
      <c r="S924" s="38"/>
      <c r="T924" s="38"/>
      <c r="U924" s="38"/>
      <c r="V924" s="38"/>
      <c r="W924" s="38"/>
      <c r="X924" s="38"/>
      <c r="Y924" s="38"/>
      <c r="Z924" s="38"/>
    </row>
    <row r="925" spans="6:26" ht="15" thickBot="1">
      <c r="F925" s="38"/>
      <c r="G925" s="38"/>
      <c r="H925" s="38"/>
      <c r="I925" s="38"/>
      <c r="J925" s="38"/>
      <c r="K925" s="38"/>
      <c r="L925" s="38"/>
      <c r="M925" s="38"/>
      <c r="N925" s="38"/>
      <c r="O925" s="38"/>
      <c r="P925" s="38"/>
      <c r="Q925" s="38"/>
      <c r="R925" s="38"/>
      <c r="S925" s="38"/>
      <c r="T925" s="38"/>
      <c r="U925" s="38"/>
      <c r="V925" s="38"/>
      <c r="W925" s="38"/>
      <c r="X925" s="38"/>
      <c r="Y925" s="38"/>
      <c r="Z925" s="38"/>
    </row>
    <row r="926" spans="6:26" ht="15" thickBot="1">
      <c r="F926" s="38"/>
      <c r="G926" s="38"/>
      <c r="H926" s="38"/>
      <c r="I926" s="38"/>
      <c r="J926" s="38"/>
      <c r="K926" s="38"/>
      <c r="L926" s="38"/>
      <c r="M926" s="38"/>
      <c r="N926" s="38"/>
      <c r="O926" s="38"/>
      <c r="P926" s="38"/>
      <c r="Q926" s="38"/>
      <c r="R926" s="38"/>
      <c r="S926" s="38"/>
      <c r="T926" s="38"/>
      <c r="U926" s="38"/>
      <c r="V926" s="38"/>
      <c r="W926" s="38"/>
      <c r="X926" s="38"/>
      <c r="Y926" s="38"/>
      <c r="Z926" s="38"/>
    </row>
    <row r="927" spans="6:26" ht="15" thickBot="1">
      <c r="F927" s="38"/>
      <c r="G927" s="38"/>
      <c r="H927" s="38"/>
      <c r="I927" s="38"/>
      <c r="J927" s="38"/>
      <c r="K927" s="38"/>
      <c r="L927" s="38"/>
      <c r="M927" s="38"/>
      <c r="N927" s="38"/>
      <c r="O927" s="38"/>
      <c r="P927" s="38"/>
      <c r="Q927" s="38"/>
      <c r="R927" s="38"/>
      <c r="S927" s="38"/>
      <c r="T927" s="38"/>
      <c r="U927" s="38"/>
      <c r="V927" s="38"/>
      <c r="W927" s="38"/>
      <c r="X927" s="38"/>
      <c r="Y927" s="38"/>
      <c r="Z927" s="38"/>
    </row>
    <row r="928" spans="6:26" ht="15" thickBot="1">
      <c r="F928" s="38"/>
      <c r="G928" s="38"/>
      <c r="H928" s="38"/>
      <c r="I928" s="38"/>
      <c r="J928" s="38"/>
      <c r="K928" s="38"/>
      <c r="L928" s="38"/>
      <c r="M928" s="38"/>
      <c r="N928" s="38"/>
      <c r="O928" s="38"/>
      <c r="P928" s="38"/>
      <c r="Q928" s="38"/>
      <c r="R928" s="38"/>
      <c r="S928" s="38"/>
      <c r="T928" s="38"/>
      <c r="U928" s="38"/>
      <c r="V928" s="38"/>
      <c r="W928" s="38"/>
      <c r="X928" s="38"/>
      <c r="Y928" s="38"/>
      <c r="Z928" s="38"/>
    </row>
    <row r="929" spans="6:26" ht="15" thickBot="1">
      <c r="F929" s="38"/>
      <c r="G929" s="38"/>
      <c r="H929" s="38"/>
      <c r="I929" s="38"/>
      <c r="J929" s="38"/>
      <c r="K929" s="38"/>
      <c r="L929" s="38"/>
      <c r="M929" s="38"/>
      <c r="N929" s="38"/>
      <c r="O929" s="38"/>
      <c r="P929" s="38"/>
      <c r="Q929" s="38"/>
      <c r="R929" s="38"/>
      <c r="S929" s="38"/>
      <c r="T929" s="38"/>
      <c r="U929" s="38"/>
      <c r="V929" s="38"/>
      <c r="W929" s="38"/>
      <c r="X929" s="38"/>
      <c r="Y929" s="38"/>
      <c r="Z929" s="38"/>
    </row>
    <row r="930" spans="6:26" ht="15" thickBot="1">
      <c r="F930" s="38"/>
      <c r="G930" s="38"/>
      <c r="H930" s="38"/>
      <c r="I930" s="38"/>
      <c r="J930" s="38"/>
      <c r="K930" s="38"/>
      <c r="L930" s="38"/>
      <c r="M930" s="38"/>
      <c r="N930" s="38"/>
      <c r="O930" s="38"/>
      <c r="P930" s="38"/>
      <c r="Q930" s="38"/>
      <c r="R930" s="38"/>
      <c r="S930" s="38"/>
      <c r="T930" s="38"/>
      <c r="U930" s="38"/>
      <c r="V930" s="38"/>
      <c r="W930" s="38"/>
      <c r="X930" s="38"/>
      <c r="Y930" s="38"/>
      <c r="Z930" s="38"/>
    </row>
    <row r="931" spans="6:26" ht="15" thickBot="1">
      <c r="F931" s="38"/>
      <c r="G931" s="38"/>
      <c r="H931" s="38"/>
      <c r="I931" s="38"/>
      <c r="J931" s="38"/>
      <c r="K931" s="38"/>
      <c r="L931" s="38"/>
      <c r="M931" s="38"/>
      <c r="N931" s="38"/>
      <c r="O931" s="38"/>
      <c r="P931" s="38"/>
      <c r="Q931" s="38"/>
      <c r="R931" s="38"/>
      <c r="S931" s="38"/>
      <c r="T931" s="38"/>
      <c r="U931" s="38"/>
      <c r="V931" s="38"/>
      <c r="W931" s="38"/>
      <c r="X931" s="38"/>
      <c r="Y931" s="38"/>
      <c r="Z931" s="38"/>
    </row>
    <row r="932" spans="6:26" ht="15" thickBot="1">
      <c r="F932" s="38"/>
      <c r="G932" s="38"/>
      <c r="H932" s="38"/>
      <c r="I932" s="38"/>
      <c r="J932" s="38"/>
      <c r="K932" s="38"/>
      <c r="L932" s="38"/>
      <c r="M932" s="38"/>
      <c r="N932" s="38"/>
      <c r="O932" s="38"/>
      <c r="P932" s="38"/>
      <c r="Q932" s="38"/>
      <c r="R932" s="38"/>
      <c r="S932" s="38"/>
      <c r="T932" s="38"/>
      <c r="U932" s="38"/>
      <c r="V932" s="38"/>
      <c r="W932" s="38"/>
      <c r="X932" s="38"/>
      <c r="Y932" s="38"/>
      <c r="Z932" s="38"/>
    </row>
    <row r="933" spans="6:26" ht="15" thickBot="1">
      <c r="F933" s="38"/>
      <c r="G933" s="38"/>
      <c r="H933" s="38"/>
      <c r="I933" s="38"/>
      <c r="J933" s="38"/>
      <c r="K933" s="38"/>
      <c r="L933" s="38"/>
      <c r="M933" s="38"/>
      <c r="N933" s="38"/>
      <c r="O933" s="38"/>
      <c r="P933" s="38"/>
      <c r="Q933" s="38"/>
      <c r="R933" s="38"/>
      <c r="S933" s="38"/>
      <c r="T933" s="38"/>
      <c r="U933" s="38"/>
      <c r="V933" s="38"/>
      <c r="W933" s="38"/>
      <c r="X933" s="38"/>
      <c r="Y933" s="38"/>
      <c r="Z933" s="38"/>
    </row>
    <row r="934" spans="6:26" ht="15" thickBot="1">
      <c r="F934" s="38"/>
      <c r="G934" s="38"/>
      <c r="H934" s="38"/>
      <c r="I934" s="38"/>
      <c r="J934" s="38"/>
      <c r="K934" s="38"/>
      <c r="L934" s="38"/>
      <c r="M934" s="38"/>
      <c r="N934" s="38"/>
      <c r="O934" s="38"/>
      <c r="P934" s="38"/>
      <c r="Q934" s="38"/>
      <c r="R934" s="38"/>
      <c r="S934" s="38"/>
      <c r="T934" s="38"/>
      <c r="U934" s="38"/>
      <c r="V934" s="38"/>
      <c r="W934" s="38"/>
      <c r="X934" s="38"/>
      <c r="Y934" s="38"/>
      <c r="Z934" s="38"/>
    </row>
    <row r="935" spans="6:26" ht="15" thickBot="1">
      <c r="F935" s="38"/>
      <c r="G935" s="38"/>
      <c r="H935" s="38"/>
      <c r="I935" s="38"/>
      <c r="J935" s="38"/>
      <c r="K935" s="38"/>
      <c r="L935" s="38"/>
      <c r="M935" s="38"/>
      <c r="N935" s="38"/>
      <c r="O935" s="38"/>
      <c r="P935" s="38"/>
      <c r="Q935" s="38"/>
      <c r="R935" s="38"/>
      <c r="S935" s="38"/>
      <c r="T935" s="38"/>
      <c r="U935" s="38"/>
      <c r="V935" s="38"/>
      <c r="W935" s="38"/>
      <c r="X935" s="38"/>
      <c r="Y935" s="38"/>
      <c r="Z935" s="38"/>
    </row>
    <row r="936" spans="6:26" ht="15" thickBot="1">
      <c r="F936" s="38"/>
      <c r="G936" s="38"/>
      <c r="H936" s="38"/>
      <c r="I936" s="38"/>
      <c r="J936" s="38"/>
      <c r="K936" s="38"/>
      <c r="L936" s="38"/>
      <c r="M936" s="38"/>
      <c r="N936" s="38"/>
      <c r="O936" s="38"/>
      <c r="P936" s="38"/>
      <c r="Q936" s="38"/>
      <c r="R936" s="38"/>
      <c r="S936" s="38"/>
      <c r="T936" s="38"/>
      <c r="U936" s="38"/>
      <c r="V936" s="38"/>
      <c r="W936" s="38"/>
      <c r="X936" s="38"/>
      <c r="Y936" s="38"/>
      <c r="Z936" s="38"/>
    </row>
    <row r="937" spans="6:26" ht="15" thickBot="1">
      <c r="F937" s="38"/>
      <c r="G937" s="38"/>
      <c r="H937" s="38"/>
      <c r="I937" s="38"/>
      <c r="J937" s="38"/>
      <c r="K937" s="38"/>
      <c r="L937" s="38"/>
      <c r="M937" s="38"/>
      <c r="N937" s="38"/>
      <c r="O937" s="38"/>
      <c r="P937" s="38"/>
      <c r="Q937" s="38"/>
      <c r="R937" s="38"/>
      <c r="S937" s="38"/>
      <c r="T937" s="38"/>
      <c r="U937" s="38"/>
      <c r="V937" s="38"/>
      <c r="W937" s="38"/>
      <c r="X937" s="38"/>
      <c r="Y937" s="38"/>
      <c r="Z937" s="38"/>
    </row>
    <row r="938" spans="6:26" ht="15" thickBot="1">
      <c r="F938" s="38"/>
      <c r="G938" s="38"/>
      <c r="H938" s="38"/>
      <c r="I938" s="38"/>
      <c r="J938" s="38"/>
      <c r="K938" s="38"/>
      <c r="L938" s="38"/>
      <c r="M938" s="38"/>
      <c r="N938" s="38"/>
      <c r="O938" s="38"/>
      <c r="P938" s="38"/>
      <c r="Q938" s="38"/>
      <c r="R938" s="38"/>
      <c r="S938" s="38"/>
      <c r="T938" s="38"/>
      <c r="U938" s="38"/>
      <c r="V938" s="38"/>
      <c r="W938" s="38"/>
      <c r="X938" s="38"/>
      <c r="Y938" s="38"/>
      <c r="Z938" s="38"/>
    </row>
    <row r="939" spans="6:26" ht="15" thickBot="1">
      <c r="F939" s="38"/>
      <c r="G939" s="38"/>
      <c r="H939" s="38"/>
      <c r="I939" s="38"/>
      <c r="J939" s="38"/>
      <c r="K939" s="38"/>
      <c r="L939" s="38"/>
      <c r="M939" s="38"/>
      <c r="N939" s="38"/>
      <c r="O939" s="38"/>
      <c r="P939" s="38"/>
      <c r="Q939" s="38"/>
      <c r="R939" s="38"/>
      <c r="S939" s="38"/>
      <c r="T939" s="38"/>
      <c r="U939" s="38"/>
      <c r="V939" s="38"/>
      <c r="W939" s="38"/>
      <c r="X939" s="38"/>
      <c r="Y939" s="38"/>
      <c r="Z939" s="38"/>
    </row>
    <row r="940" spans="6:26" ht="15" thickBot="1">
      <c r="F940" s="38"/>
      <c r="G940" s="38"/>
      <c r="H940" s="38"/>
      <c r="I940" s="38"/>
      <c r="J940" s="38"/>
      <c r="K940" s="38"/>
      <c r="L940" s="38"/>
      <c r="M940" s="38"/>
      <c r="N940" s="38"/>
      <c r="O940" s="38"/>
      <c r="P940" s="38"/>
      <c r="Q940" s="38"/>
      <c r="R940" s="38"/>
      <c r="S940" s="38"/>
      <c r="T940" s="38"/>
      <c r="U940" s="38"/>
      <c r="V940" s="38"/>
      <c r="W940" s="38"/>
      <c r="X940" s="38"/>
      <c r="Y940" s="38"/>
      <c r="Z940" s="38"/>
    </row>
    <row r="941" spans="6:26" ht="15" thickBot="1">
      <c r="F941" s="38"/>
      <c r="G941" s="38"/>
      <c r="H941" s="38"/>
      <c r="I941" s="38"/>
      <c r="J941" s="38"/>
      <c r="K941" s="38"/>
      <c r="L941" s="38"/>
      <c r="M941" s="38"/>
      <c r="N941" s="38"/>
      <c r="O941" s="38"/>
      <c r="P941" s="38"/>
      <c r="Q941" s="38"/>
      <c r="R941" s="38"/>
      <c r="S941" s="38"/>
      <c r="T941" s="38"/>
      <c r="U941" s="38"/>
      <c r="V941" s="38"/>
      <c r="W941" s="38"/>
      <c r="X941" s="38"/>
      <c r="Y941" s="38"/>
      <c r="Z941" s="38"/>
    </row>
    <row r="942" spans="6:26" ht="15" thickBot="1">
      <c r="F942" s="38"/>
      <c r="G942" s="38"/>
      <c r="H942" s="38"/>
      <c r="I942" s="38"/>
      <c r="J942" s="38"/>
      <c r="K942" s="38"/>
      <c r="L942" s="38"/>
      <c r="M942" s="38"/>
      <c r="N942" s="38"/>
      <c r="O942" s="38"/>
      <c r="P942" s="38"/>
      <c r="Q942" s="38"/>
      <c r="R942" s="38"/>
      <c r="S942" s="38"/>
      <c r="T942" s="38"/>
      <c r="U942" s="38"/>
      <c r="V942" s="38"/>
      <c r="W942" s="38"/>
      <c r="X942" s="38"/>
      <c r="Y942" s="38"/>
      <c r="Z942" s="38"/>
    </row>
    <row r="943" spans="6:26" ht="15" thickBot="1">
      <c r="F943" s="38"/>
      <c r="G943" s="38"/>
      <c r="H943" s="38"/>
      <c r="I943" s="38"/>
      <c r="J943" s="38"/>
      <c r="K943" s="38"/>
      <c r="L943" s="38"/>
      <c r="M943" s="38"/>
      <c r="N943" s="38"/>
      <c r="O943" s="38"/>
      <c r="P943" s="38"/>
      <c r="Q943" s="38"/>
      <c r="R943" s="38"/>
      <c r="S943" s="38"/>
      <c r="T943" s="38"/>
      <c r="U943" s="38"/>
      <c r="V943" s="38"/>
      <c r="W943" s="38"/>
      <c r="X943" s="38"/>
      <c r="Y943" s="38"/>
      <c r="Z943" s="38"/>
    </row>
    <row r="944" spans="6:26" ht="15" thickBot="1">
      <c r="F944" s="38"/>
      <c r="G944" s="38"/>
      <c r="H944" s="38"/>
      <c r="I944" s="38"/>
      <c r="J944" s="38"/>
      <c r="K944" s="38"/>
      <c r="L944" s="38"/>
      <c r="M944" s="38"/>
      <c r="N944" s="38"/>
      <c r="O944" s="38"/>
      <c r="P944" s="38"/>
      <c r="Q944" s="38"/>
      <c r="R944" s="38"/>
      <c r="S944" s="38"/>
      <c r="T944" s="38"/>
      <c r="U944" s="38"/>
      <c r="V944" s="38"/>
      <c r="W944" s="38"/>
      <c r="X944" s="38"/>
      <c r="Y944" s="38"/>
      <c r="Z944" s="38"/>
    </row>
    <row r="945" spans="6:26" ht="15" thickBot="1">
      <c r="F945" s="38"/>
      <c r="G945" s="38"/>
      <c r="H945" s="38"/>
      <c r="I945" s="38"/>
      <c r="J945" s="38"/>
      <c r="K945" s="38"/>
      <c r="L945" s="38"/>
      <c r="M945" s="38"/>
      <c r="N945" s="38"/>
      <c r="O945" s="38"/>
      <c r="P945" s="38"/>
      <c r="Q945" s="38"/>
      <c r="R945" s="38"/>
      <c r="S945" s="38"/>
      <c r="T945" s="38"/>
      <c r="U945" s="38"/>
      <c r="V945" s="38"/>
      <c r="W945" s="38"/>
      <c r="X945" s="38"/>
      <c r="Y945" s="38"/>
      <c r="Z945" s="38"/>
    </row>
    <row r="946" spans="6:26" ht="15" thickBot="1">
      <c r="F946" s="38"/>
      <c r="G946" s="38"/>
      <c r="H946" s="38"/>
      <c r="I946" s="38"/>
      <c r="J946" s="38"/>
      <c r="K946" s="38"/>
      <c r="L946" s="38"/>
      <c r="M946" s="38"/>
      <c r="N946" s="38"/>
      <c r="O946" s="38"/>
      <c r="P946" s="38"/>
      <c r="Q946" s="38"/>
      <c r="R946" s="38"/>
      <c r="S946" s="38"/>
      <c r="T946" s="38"/>
      <c r="U946" s="38"/>
      <c r="V946" s="38"/>
      <c r="W946" s="38"/>
      <c r="X946" s="38"/>
      <c r="Y946" s="38"/>
      <c r="Z946" s="38"/>
    </row>
    <row r="947" spans="6:26" ht="15" thickBot="1">
      <c r="F947" s="38"/>
      <c r="G947" s="38"/>
      <c r="H947" s="38"/>
      <c r="I947" s="38"/>
      <c r="J947" s="38"/>
      <c r="K947" s="38"/>
      <c r="L947" s="38"/>
      <c r="M947" s="38"/>
      <c r="N947" s="38"/>
      <c r="O947" s="38"/>
      <c r="P947" s="38"/>
      <c r="Q947" s="38"/>
      <c r="R947" s="38"/>
      <c r="S947" s="38"/>
      <c r="T947" s="38"/>
      <c r="U947" s="38"/>
      <c r="V947" s="38"/>
      <c r="W947" s="38"/>
      <c r="X947" s="38"/>
      <c r="Y947" s="38"/>
      <c r="Z947" s="38"/>
    </row>
    <row r="948" spans="6:26" ht="15" thickBot="1">
      <c r="F948" s="38"/>
      <c r="G948" s="38"/>
      <c r="H948" s="38"/>
      <c r="I948" s="38"/>
      <c r="J948" s="38"/>
      <c r="K948" s="38"/>
      <c r="L948" s="38"/>
      <c r="M948" s="38"/>
      <c r="N948" s="38"/>
      <c r="O948" s="38"/>
      <c r="P948" s="38"/>
      <c r="Q948" s="38"/>
      <c r="R948" s="38"/>
      <c r="S948" s="38"/>
      <c r="T948" s="38"/>
      <c r="U948" s="38"/>
      <c r="V948" s="38"/>
      <c r="W948" s="38"/>
      <c r="X948" s="38"/>
      <c r="Y948" s="38"/>
      <c r="Z948" s="38"/>
    </row>
    <row r="949" spans="6:26" ht="15" thickBot="1">
      <c r="F949" s="38"/>
      <c r="G949" s="38"/>
      <c r="H949" s="38"/>
      <c r="I949" s="38"/>
      <c r="J949" s="38"/>
      <c r="K949" s="38"/>
      <c r="L949" s="38"/>
      <c r="M949" s="38"/>
      <c r="N949" s="38"/>
      <c r="O949" s="38"/>
      <c r="P949" s="38"/>
      <c r="Q949" s="38"/>
      <c r="R949" s="38"/>
      <c r="S949" s="38"/>
      <c r="T949" s="38"/>
      <c r="U949" s="38"/>
      <c r="V949" s="38"/>
      <c r="W949" s="38"/>
      <c r="X949" s="38"/>
      <c r="Y949" s="38"/>
      <c r="Z949" s="38"/>
    </row>
    <row r="950" spans="6:26" ht="15" thickBot="1">
      <c r="F950" s="38"/>
      <c r="G950" s="38"/>
      <c r="H950" s="38"/>
      <c r="I950" s="38"/>
      <c r="J950" s="38"/>
      <c r="K950" s="38"/>
      <c r="L950" s="38"/>
      <c r="M950" s="38"/>
      <c r="N950" s="38"/>
      <c r="O950" s="38"/>
      <c r="P950" s="38"/>
      <c r="Q950" s="38"/>
      <c r="R950" s="38"/>
      <c r="S950" s="38"/>
      <c r="T950" s="38"/>
      <c r="U950" s="38"/>
      <c r="V950" s="38"/>
      <c r="W950" s="38"/>
      <c r="X950" s="38"/>
      <c r="Y950" s="38"/>
      <c r="Z950" s="38"/>
    </row>
    <row r="951" spans="6:26" ht="15" thickBot="1">
      <c r="F951" s="38"/>
      <c r="G951" s="38"/>
      <c r="H951" s="38"/>
      <c r="I951" s="38"/>
      <c r="J951" s="38"/>
      <c r="K951" s="38"/>
      <c r="L951" s="38"/>
      <c r="M951" s="38"/>
      <c r="N951" s="38"/>
      <c r="O951" s="38"/>
      <c r="P951" s="38"/>
      <c r="Q951" s="38"/>
      <c r="R951" s="38"/>
      <c r="S951" s="38"/>
      <c r="T951" s="38"/>
      <c r="U951" s="38"/>
      <c r="V951" s="38"/>
      <c r="W951" s="38"/>
      <c r="X951" s="38"/>
      <c r="Y951" s="38"/>
      <c r="Z951" s="38"/>
    </row>
    <row r="952" spans="6:26" ht="15" thickBot="1">
      <c r="F952" s="38"/>
      <c r="G952" s="38"/>
      <c r="H952" s="38"/>
      <c r="I952" s="38"/>
      <c r="J952" s="38"/>
      <c r="K952" s="38"/>
      <c r="L952" s="38"/>
      <c r="M952" s="38"/>
      <c r="N952" s="38"/>
      <c r="O952" s="38"/>
      <c r="P952" s="38"/>
      <c r="Q952" s="38"/>
      <c r="R952" s="38"/>
      <c r="S952" s="38"/>
      <c r="T952" s="38"/>
      <c r="U952" s="38"/>
      <c r="V952" s="38"/>
      <c r="W952" s="38"/>
      <c r="X952" s="38"/>
      <c r="Y952" s="38"/>
      <c r="Z952" s="38"/>
    </row>
    <row r="953" spans="6:26" ht="15" thickBot="1">
      <c r="F953" s="38"/>
      <c r="G953" s="38"/>
      <c r="H953" s="38"/>
      <c r="I953" s="38"/>
      <c r="J953" s="38"/>
      <c r="K953" s="38"/>
      <c r="L953" s="38"/>
      <c r="M953" s="38"/>
      <c r="N953" s="38"/>
      <c r="O953" s="38"/>
      <c r="P953" s="38"/>
      <c r="Q953" s="38"/>
      <c r="R953" s="38"/>
      <c r="S953" s="38"/>
      <c r="T953" s="38"/>
      <c r="U953" s="38"/>
      <c r="V953" s="38"/>
      <c r="W953" s="38"/>
      <c r="X953" s="38"/>
      <c r="Y953" s="38"/>
      <c r="Z953" s="38"/>
    </row>
    <row r="954" spans="6:26" ht="15" thickBot="1">
      <c r="F954" s="38"/>
      <c r="G954" s="38"/>
      <c r="H954" s="38"/>
      <c r="I954" s="38"/>
      <c r="J954" s="38"/>
      <c r="K954" s="38"/>
      <c r="L954" s="38"/>
      <c r="M954" s="38"/>
      <c r="N954" s="38"/>
      <c r="O954" s="38"/>
      <c r="P954" s="38"/>
      <c r="Q954" s="38"/>
      <c r="R954" s="38"/>
      <c r="S954" s="38"/>
      <c r="T954" s="38"/>
      <c r="U954" s="38"/>
      <c r="V954" s="38"/>
      <c r="W954" s="38"/>
      <c r="X954" s="38"/>
      <c r="Y954" s="38"/>
      <c r="Z954" s="38"/>
    </row>
    <row r="955" spans="6:26" ht="15" thickBot="1">
      <c r="F955" s="38"/>
      <c r="G955" s="38"/>
      <c r="H955" s="38"/>
      <c r="I955" s="38"/>
      <c r="J955" s="38"/>
      <c r="K955" s="38"/>
      <c r="L955" s="38"/>
      <c r="M955" s="38"/>
      <c r="N955" s="38"/>
      <c r="O955" s="38"/>
      <c r="P955" s="38"/>
      <c r="Q955" s="38"/>
      <c r="R955" s="38"/>
      <c r="S955" s="38"/>
      <c r="T955" s="38"/>
      <c r="U955" s="38"/>
      <c r="V955" s="38"/>
      <c r="W955" s="38"/>
      <c r="X955" s="38"/>
      <c r="Y955" s="38"/>
      <c r="Z955" s="38"/>
    </row>
    <row r="956" spans="6:26" ht="15" thickBot="1">
      <c r="F956" s="38"/>
      <c r="G956" s="38"/>
      <c r="H956" s="38"/>
      <c r="I956" s="38"/>
      <c r="J956" s="38"/>
      <c r="K956" s="38"/>
      <c r="L956" s="38"/>
      <c r="M956" s="38"/>
      <c r="N956" s="38"/>
      <c r="O956" s="38"/>
      <c r="P956" s="38"/>
      <c r="Q956" s="38"/>
      <c r="R956" s="38"/>
      <c r="S956" s="38"/>
      <c r="T956" s="38"/>
      <c r="U956" s="38"/>
      <c r="V956" s="38"/>
      <c r="W956" s="38"/>
      <c r="X956" s="38"/>
      <c r="Y956" s="38"/>
      <c r="Z956" s="38"/>
    </row>
    <row r="957" spans="6:26" ht="15" thickBot="1">
      <c r="F957" s="38"/>
      <c r="G957" s="38"/>
      <c r="H957" s="38"/>
      <c r="I957" s="38"/>
      <c r="J957" s="38"/>
      <c r="K957" s="38"/>
      <c r="L957" s="38"/>
      <c r="M957" s="38"/>
      <c r="N957" s="38"/>
      <c r="O957" s="38"/>
      <c r="P957" s="38"/>
      <c r="Q957" s="38"/>
      <c r="R957" s="38"/>
      <c r="S957" s="38"/>
      <c r="T957" s="38"/>
      <c r="U957" s="38"/>
      <c r="V957" s="38"/>
      <c r="W957" s="38"/>
      <c r="X957" s="38"/>
      <c r="Y957" s="38"/>
      <c r="Z957" s="38"/>
    </row>
    <row r="958" spans="6:26" ht="15" thickBot="1">
      <c r="F958" s="38"/>
      <c r="G958" s="38"/>
      <c r="H958" s="38"/>
      <c r="I958" s="38"/>
      <c r="J958" s="38"/>
      <c r="K958" s="38"/>
      <c r="L958" s="38"/>
      <c r="M958" s="38"/>
      <c r="N958" s="38"/>
      <c r="O958" s="38"/>
      <c r="P958" s="38"/>
      <c r="Q958" s="38"/>
      <c r="R958" s="38"/>
      <c r="S958" s="38"/>
      <c r="T958" s="38"/>
      <c r="U958" s="38"/>
      <c r="V958" s="38"/>
      <c r="W958" s="38"/>
      <c r="X958" s="38"/>
      <c r="Y958" s="38"/>
      <c r="Z958" s="38"/>
    </row>
    <row r="959" spans="6:26" ht="15" thickBot="1">
      <c r="F959" s="38"/>
      <c r="G959" s="38"/>
      <c r="H959" s="38"/>
      <c r="I959" s="38"/>
      <c r="J959" s="38"/>
      <c r="K959" s="38"/>
      <c r="L959" s="38"/>
      <c r="M959" s="38"/>
      <c r="N959" s="38"/>
      <c r="O959" s="38"/>
      <c r="P959" s="38"/>
      <c r="Q959" s="38"/>
      <c r="R959" s="38"/>
      <c r="S959" s="38"/>
      <c r="T959" s="38"/>
      <c r="U959" s="38"/>
      <c r="V959" s="38"/>
      <c r="W959" s="38"/>
      <c r="X959" s="38"/>
      <c r="Y959" s="38"/>
      <c r="Z959" s="38"/>
    </row>
    <row r="960" spans="6:26" ht="15" thickBot="1">
      <c r="F960" s="38"/>
      <c r="G960" s="38"/>
      <c r="H960" s="38"/>
      <c r="I960" s="38"/>
      <c r="J960" s="38"/>
      <c r="K960" s="38"/>
      <c r="L960" s="38"/>
      <c r="M960" s="38"/>
      <c r="N960" s="38"/>
      <c r="O960" s="38"/>
      <c r="P960" s="38"/>
      <c r="Q960" s="38"/>
      <c r="R960" s="38"/>
      <c r="S960" s="38"/>
      <c r="T960" s="38"/>
      <c r="U960" s="38"/>
      <c r="V960" s="38"/>
      <c r="W960" s="38"/>
      <c r="X960" s="38"/>
      <c r="Y960" s="38"/>
      <c r="Z960" s="38"/>
    </row>
    <row r="961" spans="6:26" ht="15" thickBot="1">
      <c r="F961" s="38"/>
      <c r="G961" s="38"/>
      <c r="H961" s="38"/>
      <c r="I961" s="38"/>
      <c r="J961" s="38"/>
      <c r="K961" s="38"/>
      <c r="L961" s="38"/>
      <c r="M961" s="38"/>
      <c r="N961" s="38"/>
      <c r="O961" s="38"/>
      <c r="P961" s="38"/>
      <c r="Q961" s="38"/>
      <c r="R961" s="38"/>
      <c r="S961" s="38"/>
      <c r="T961" s="38"/>
      <c r="U961" s="38"/>
      <c r="V961" s="38"/>
      <c r="W961" s="38"/>
      <c r="X961" s="38"/>
      <c r="Y961" s="38"/>
      <c r="Z961" s="38"/>
    </row>
    <row r="962" spans="6:26" ht="15" thickBot="1">
      <c r="F962" s="38"/>
      <c r="G962" s="38"/>
      <c r="H962" s="38"/>
      <c r="I962" s="38"/>
      <c r="J962" s="38"/>
      <c r="K962" s="38"/>
      <c r="L962" s="38"/>
      <c r="M962" s="38"/>
      <c r="N962" s="38"/>
      <c r="O962" s="38"/>
      <c r="P962" s="38"/>
      <c r="Q962" s="38"/>
      <c r="R962" s="38"/>
      <c r="S962" s="38"/>
      <c r="T962" s="38"/>
      <c r="U962" s="38"/>
      <c r="V962" s="38"/>
      <c r="W962" s="38"/>
      <c r="X962" s="38"/>
      <c r="Y962" s="38"/>
      <c r="Z962" s="38"/>
    </row>
    <row r="963" spans="6:26" ht="15" thickBot="1">
      <c r="F963" s="38"/>
      <c r="G963" s="38"/>
      <c r="H963" s="38"/>
      <c r="I963" s="38"/>
      <c r="J963" s="38"/>
      <c r="K963" s="38"/>
      <c r="L963" s="38"/>
      <c r="M963" s="38"/>
      <c r="N963" s="38"/>
      <c r="O963" s="38"/>
      <c r="P963" s="38"/>
      <c r="Q963" s="38"/>
      <c r="R963" s="38"/>
      <c r="S963" s="38"/>
      <c r="T963" s="38"/>
      <c r="U963" s="38"/>
      <c r="V963" s="38"/>
      <c r="W963" s="38"/>
      <c r="X963" s="38"/>
      <c r="Y963" s="38"/>
      <c r="Z963" s="38"/>
    </row>
    <row r="964" spans="6:26" ht="15" thickBot="1">
      <c r="F964" s="38"/>
      <c r="G964" s="38"/>
      <c r="H964" s="38"/>
      <c r="I964" s="38"/>
      <c r="J964" s="38"/>
      <c r="K964" s="38"/>
      <c r="L964" s="38"/>
      <c r="M964" s="38"/>
      <c r="N964" s="38"/>
      <c r="O964" s="38"/>
      <c r="P964" s="38"/>
      <c r="Q964" s="38"/>
      <c r="R964" s="38"/>
      <c r="S964" s="38"/>
      <c r="T964" s="38"/>
      <c r="U964" s="38"/>
      <c r="V964" s="38"/>
      <c r="W964" s="38"/>
      <c r="X964" s="38"/>
      <c r="Y964" s="38"/>
      <c r="Z964" s="38"/>
    </row>
    <row r="965" spans="6:26" ht="15" thickBot="1">
      <c r="F965" s="38"/>
      <c r="G965" s="38"/>
      <c r="H965" s="38"/>
      <c r="I965" s="38"/>
      <c r="J965" s="38"/>
      <c r="K965" s="38"/>
      <c r="L965" s="38"/>
      <c r="M965" s="38"/>
      <c r="N965" s="38"/>
      <c r="O965" s="38"/>
      <c r="P965" s="38"/>
      <c r="Q965" s="38"/>
      <c r="R965" s="38"/>
      <c r="S965" s="38"/>
      <c r="T965" s="38"/>
      <c r="U965" s="38"/>
      <c r="V965" s="38"/>
      <c r="W965" s="38"/>
      <c r="X965" s="38"/>
      <c r="Y965" s="38"/>
      <c r="Z965" s="38"/>
    </row>
    <row r="966" spans="6:26" ht="15" thickBot="1">
      <c r="F966" s="38"/>
      <c r="G966" s="38"/>
      <c r="H966" s="38"/>
      <c r="I966" s="38"/>
      <c r="J966" s="38"/>
      <c r="K966" s="38"/>
      <c r="L966" s="38"/>
      <c r="M966" s="38"/>
      <c r="N966" s="38"/>
      <c r="O966" s="38"/>
      <c r="P966" s="38"/>
      <c r="Q966" s="38"/>
      <c r="R966" s="38"/>
      <c r="S966" s="38"/>
      <c r="T966" s="38"/>
      <c r="U966" s="38"/>
      <c r="V966" s="38"/>
      <c r="W966" s="38"/>
      <c r="X966" s="38"/>
      <c r="Y966" s="38"/>
      <c r="Z966" s="38"/>
    </row>
    <row r="967" spans="6:26" ht="15" thickBot="1">
      <c r="F967" s="38"/>
      <c r="G967" s="38"/>
      <c r="H967" s="38"/>
      <c r="I967" s="38"/>
      <c r="J967" s="38"/>
      <c r="K967" s="38"/>
      <c r="L967" s="38"/>
      <c r="M967" s="38"/>
      <c r="N967" s="38"/>
      <c r="O967" s="38"/>
      <c r="P967" s="38"/>
      <c r="Q967" s="38"/>
      <c r="R967" s="38"/>
      <c r="S967" s="38"/>
      <c r="T967" s="38"/>
      <c r="U967" s="38"/>
      <c r="V967" s="38"/>
      <c r="W967" s="38"/>
      <c r="X967" s="38"/>
      <c r="Y967" s="38"/>
      <c r="Z967" s="38"/>
    </row>
    <row r="968" spans="6:26" ht="15" thickBot="1">
      <c r="F968" s="38"/>
      <c r="G968" s="38"/>
      <c r="H968" s="38"/>
      <c r="I968" s="38"/>
      <c r="J968" s="38"/>
      <c r="K968" s="38"/>
      <c r="L968" s="38"/>
      <c r="M968" s="38"/>
      <c r="N968" s="38"/>
      <c r="O968" s="38"/>
      <c r="P968" s="38"/>
      <c r="Q968" s="38"/>
      <c r="R968" s="38"/>
      <c r="S968" s="38"/>
      <c r="T968" s="38"/>
      <c r="U968" s="38"/>
      <c r="V968" s="38"/>
      <c r="W968" s="38"/>
      <c r="X968" s="38"/>
      <c r="Y968" s="38"/>
      <c r="Z968" s="38"/>
    </row>
    <row r="969" spans="6:26" ht="15" thickBot="1">
      <c r="F969" s="38"/>
      <c r="G969" s="38"/>
      <c r="H969" s="38"/>
      <c r="I969" s="38"/>
      <c r="J969" s="38"/>
      <c r="K969" s="38"/>
      <c r="L969" s="38"/>
      <c r="M969" s="38"/>
      <c r="N969" s="38"/>
      <c r="O969" s="38"/>
      <c r="P969" s="38"/>
      <c r="Q969" s="38"/>
      <c r="R969" s="38"/>
      <c r="S969" s="38"/>
      <c r="T969" s="38"/>
      <c r="U969" s="38"/>
      <c r="V969" s="38"/>
      <c r="W969" s="38"/>
      <c r="X969" s="38"/>
      <c r="Y969" s="38"/>
      <c r="Z969" s="38"/>
    </row>
    <row r="970" spans="6:26" ht="15" thickBot="1">
      <c r="F970" s="38"/>
      <c r="G970" s="38"/>
      <c r="H970" s="38"/>
      <c r="I970" s="38"/>
      <c r="J970" s="38"/>
      <c r="K970" s="38"/>
      <c r="L970" s="38"/>
      <c r="M970" s="38"/>
      <c r="N970" s="38"/>
      <c r="O970" s="38"/>
      <c r="P970" s="38"/>
      <c r="Q970" s="38"/>
      <c r="R970" s="38"/>
      <c r="S970" s="38"/>
      <c r="T970" s="38"/>
      <c r="U970" s="38"/>
      <c r="V970" s="38"/>
      <c r="W970" s="38"/>
      <c r="X970" s="38"/>
      <c r="Y970" s="38"/>
      <c r="Z970" s="38"/>
    </row>
    <row r="971" spans="6:26" ht="15" thickBot="1">
      <c r="F971" s="38"/>
      <c r="G971" s="38"/>
      <c r="H971" s="38"/>
      <c r="I971" s="38"/>
      <c r="J971" s="38"/>
      <c r="K971" s="38"/>
      <c r="L971" s="38"/>
      <c r="M971" s="38"/>
      <c r="N971" s="38"/>
      <c r="O971" s="38"/>
      <c r="P971" s="38"/>
      <c r="Q971" s="38"/>
      <c r="R971" s="38"/>
      <c r="S971" s="38"/>
      <c r="T971" s="38"/>
      <c r="U971" s="38"/>
      <c r="V971" s="38"/>
      <c r="W971" s="38"/>
      <c r="X971" s="38"/>
      <c r="Y971" s="38"/>
      <c r="Z971" s="38"/>
    </row>
    <row r="972" spans="6:26" ht="15" thickBot="1">
      <c r="F972" s="38"/>
      <c r="G972" s="38"/>
      <c r="H972" s="38"/>
      <c r="I972" s="38"/>
      <c r="J972" s="38"/>
      <c r="K972" s="38"/>
      <c r="L972" s="38"/>
      <c r="M972" s="38"/>
      <c r="N972" s="38"/>
      <c r="O972" s="38"/>
      <c r="P972" s="38"/>
      <c r="Q972" s="38"/>
      <c r="R972" s="38"/>
      <c r="S972" s="38"/>
      <c r="T972" s="38"/>
      <c r="U972" s="38"/>
      <c r="V972" s="38"/>
      <c r="W972" s="38"/>
      <c r="X972" s="38"/>
      <c r="Y972" s="38"/>
      <c r="Z972" s="38"/>
    </row>
    <row r="973" spans="6:26" ht="15" thickBot="1">
      <c r="F973" s="38"/>
      <c r="G973" s="38"/>
      <c r="H973" s="38"/>
      <c r="I973" s="38"/>
      <c r="J973" s="38"/>
      <c r="K973" s="38"/>
      <c r="L973" s="38"/>
      <c r="M973" s="38"/>
      <c r="N973" s="38"/>
      <c r="O973" s="38"/>
      <c r="P973" s="38"/>
      <c r="Q973" s="38"/>
      <c r="R973" s="38"/>
      <c r="S973" s="38"/>
      <c r="T973" s="38"/>
      <c r="U973" s="38"/>
      <c r="V973" s="38"/>
      <c r="W973" s="38"/>
      <c r="X973" s="38"/>
      <c r="Y973" s="38"/>
      <c r="Z973" s="38"/>
    </row>
    <row r="974" spans="6:26" ht="15" thickBot="1">
      <c r="F974" s="38"/>
      <c r="G974" s="38"/>
      <c r="H974" s="38"/>
      <c r="I974" s="38"/>
      <c r="J974" s="38"/>
      <c r="K974" s="38"/>
      <c r="L974" s="38"/>
      <c r="M974" s="38"/>
      <c r="N974" s="38"/>
      <c r="O974" s="38"/>
      <c r="P974" s="38"/>
      <c r="Q974" s="38"/>
      <c r="R974" s="38"/>
      <c r="S974" s="38"/>
      <c r="T974" s="38"/>
      <c r="U974" s="38"/>
      <c r="V974" s="38"/>
      <c r="W974" s="38"/>
      <c r="X974" s="38"/>
      <c r="Y974" s="38"/>
      <c r="Z974" s="38"/>
    </row>
    <row r="975" spans="6:26" ht="15" thickBot="1">
      <c r="F975" s="38"/>
      <c r="G975" s="38"/>
      <c r="H975" s="38"/>
      <c r="I975" s="38"/>
      <c r="J975" s="38"/>
      <c r="K975" s="38"/>
      <c r="L975" s="38"/>
      <c r="M975" s="38"/>
      <c r="N975" s="38"/>
      <c r="O975" s="38"/>
      <c r="P975" s="38"/>
      <c r="Q975" s="38"/>
      <c r="R975" s="38"/>
      <c r="S975" s="38"/>
      <c r="T975" s="38"/>
      <c r="U975" s="38"/>
      <c r="V975" s="38"/>
      <c r="W975" s="38"/>
      <c r="X975" s="38"/>
      <c r="Y975" s="38"/>
      <c r="Z975" s="38"/>
    </row>
    <row r="976" spans="6:26" ht="15" thickBot="1">
      <c r="F976" s="38"/>
      <c r="G976" s="38"/>
      <c r="H976" s="38"/>
      <c r="I976" s="38"/>
      <c r="J976" s="38"/>
      <c r="K976" s="38"/>
      <c r="L976" s="38"/>
      <c r="M976" s="38"/>
      <c r="N976" s="38"/>
      <c r="O976" s="38"/>
      <c r="P976" s="38"/>
      <c r="Q976" s="38"/>
      <c r="R976" s="38"/>
      <c r="S976" s="38"/>
      <c r="T976" s="38"/>
      <c r="U976" s="38"/>
      <c r="V976" s="38"/>
      <c r="W976" s="38"/>
      <c r="X976" s="38"/>
      <c r="Y976" s="38"/>
      <c r="Z976" s="38"/>
    </row>
    <row r="977" spans="6:26" ht="15" thickBot="1">
      <c r="F977" s="38"/>
      <c r="G977" s="38"/>
      <c r="H977" s="38"/>
      <c r="I977" s="38"/>
      <c r="J977" s="38"/>
      <c r="K977" s="38"/>
      <c r="L977" s="38"/>
      <c r="M977" s="38"/>
      <c r="N977" s="38"/>
      <c r="O977" s="38"/>
      <c r="P977" s="38"/>
      <c r="Q977" s="38"/>
      <c r="R977" s="38"/>
      <c r="S977" s="38"/>
      <c r="T977" s="38"/>
      <c r="U977" s="38"/>
      <c r="V977" s="38"/>
      <c r="W977" s="38"/>
      <c r="X977" s="38"/>
      <c r="Y977" s="38"/>
      <c r="Z977" s="38"/>
    </row>
    <row r="978" spans="6:26" ht="15" thickBot="1">
      <c r="F978" s="38"/>
      <c r="G978" s="38"/>
      <c r="H978" s="38"/>
      <c r="I978" s="38"/>
      <c r="J978" s="38"/>
      <c r="K978" s="38"/>
      <c r="L978" s="38"/>
      <c r="M978" s="38"/>
      <c r="N978" s="38"/>
      <c r="O978" s="38"/>
      <c r="P978" s="38"/>
      <c r="Q978" s="38"/>
      <c r="R978" s="38"/>
      <c r="S978" s="38"/>
      <c r="T978" s="38"/>
      <c r="U978" s="38"/>
      <c r="V978" s="38"/>
      <c r="W978" s="38"/>
      <c r="X978" s="38"/>
      <c r="Y978" s="38"/>
      <c r="Z978" s="38"/>
    </row>
    <row r="979" spans="6:26" ht="15" thickBot="1">
      <c r="F979" s="38"/>
      <c r="G979" s="38"/>
      <c r="H979" s="38"/>
      <c r="I979" s="38"/>
      <c r="J979" s="38"/>
      <c r="K979" s="38"/>
      <c r="L979" s="38"/>
      <c r="M979" s="38"/>
      <c r="N979" s="38"/>
      <c r="O979" s="38"/>
      <c r="P979" s="38"/>
      <c r="Q979" s="38"/>
      <c r="R979" s="38"/>
      <c r="S979" s="38"/>
      <c r="T979" s="38"/>
      <c r="U979" s="38"/>
      <c r="V979" s="38"/>
      <c r="W979" s="38"/>
      <c r="X979" s="38"/>
      <c r="Y979" s="38"/>
      <c r="Z979" s="38"/>
    </row>
    <row r="980" spans="6:26" ht="15" thickBot="1">
      <c r="F980" s="38"/>
      <c r="G980" s="38"/>
      <c r="H980" s="38"/>
      <c r="I980" s="38"/>
      <c r="J980" s="38"/>
      <c r="K980" s="38"/>
      <c r="L980" s="38"/>
      <c r="M980" s="38"/>
      <c r="N980" s="38"/>
      <c r="O980" s="38"/>
      <c r="P980" s="38"/>
      <c r="Q980" s="38"/>
      <c r="R980" s="38"/>
      <c r="S980" s="38"/>
      <c r="T980" s="38"/>
      <c r="U980" s="38"/>
      <c r="V980" s="38"/>
      <c r="W980" s="38"/>
      <c r="X980" s="38"/>
      <c r="Y980" s="38"/>
      <c r="Z980" s="38"/>
    </row>
    <row r="981" spans="6:26" ht="15" thickBot="1">
      <c r="F981" s="38"/>
      <c r="G981" s="38"/>
      <c r="H981" s="38"/>
      <c r="I981" s="38"/>
      <c r="J981" s="38"/>
      <c r="K981" s="38"/>
      <c r="L981" s="38"/>
      <c r="M981" s="38"/>
      <c r="N981" s="38"/>
      <c r="O981" s="38"/>
      <c r="P981" s="38"/>
      <c r="Q981" s="38"/>
      <c r="R981" s="38"/>
      <c r="S981" s="38"/>
      <c r="T981" s="38"/>
      <c r="U981" s="38"/>
      <c r="V981" s="38"/>
      <c r="W981" s="38"/>
      <c r="X981" s="38"/>
      <c r="Y981" s="38"/>
      <c r="Z981" s="38"/>
    </row>
    <row r="982" spans="6:26" ht="15" thickBot="1">
      <c r="F982" s="38"/>
      <c r="G982" s="38"/>
      <c r="H982" s="38"/>
      <c r="I982" s="38"/>
      <c r="J982" s="38"/>
      <c r="K982" s="38"/>
      <c r="L982" s="38"/>
      <c r="M982" s="38"/>
      <c r="N982" s="38"/>
      <c r="O982" s="38"/>
      <c r="P982" s="38"/>
      <c r="Q982" s="38"/>
      <c r="R982" s="38"/>
      <c r="S982" s="38"/>
      <c r="T982" s="38"/>
      <c r="U982" s="38"/>
      <c r="V982" s="38"/>
      <c r="W982" s="38"/>
      <c r="X982" s="38"/>
      <c r="Y982" s="38"/>
      <c r="Z982" s="38"/>
    </row>
    <row r="983" spans="6:26" ht="15" thickBot="1">
      <c r="F983" s="38"/>
      <c r="G983" s="38"/>
      <c r="H983" s="38"/>
      <c r="I983" s="38"/>
      <c r="J983" s="38"/>
      <c r="K983" s="38"/>
      <c r="L983" s="38"/>
      <c r="M983" s="38"/>
      <c r="N983" s="38"/>
      <c r="O983" s="38"/>
      <c r="P983" s="38"/>
      <c r="Q983" s="38"/>
      <c r="R983" s="38"/>
      <c r="S983" s="38"/>
      <c r="T983" s="38"/>
      <c r="U983" s="38"/>
      <c r="V983" s="38"/>
      <c r="W983" s="38"/>
      <c r="X983" s="38"/>
      <c r="Y983" s="38"/>
      <c r="Z983" s="38"/>
    </row>
    <row r="984" spans="6:26" ht="15" thickBot="1">
      <c r="F984" s="38"/>
      <c r="G984" s="38"/>
      <c r="H984" s="38"/>
      <c r="I984" s="38"/>
      <c r="J984" s="38"/>
      <c r="K984" s="38"/>
      <c r="L984" s="38"/>
      <c r="M984" s="38"/>
      <c r="N984" s="38"/>
      <c r="O984" s="38"/>
      <c r="P984" s="38"/>
      <c r="Q984" s="38"/>
      <c r="R984" s="38"/>
      <c r="S984" s="38"/>
      <c r="T984" s="38"/>
      <c r="U984" s="38"/>
      <c r="V984" s="38"/>
      <c r="W984" s="38"/>
      <c r="X984" s="38"/>
      <c r="Y984" s="38"/>
      <c r="Z984" s="38"/>
    </row>
    <row r="985" spans="6:26" ht="15" thickBot="1">
      <c r="F985" s="38"/>
      <c r="G985" s="38"/>
      <c r="H985" s="38"/>
      <c r="I985" s="38"/>
      <c r="J985" s="38"/>
      <c r="K985" s="38"/>
      <c r="L985" s="38"/>
      <c r="M985" s="38"/>
      <c r="N985" s="38"/>
      <c r="O985" s="38"/>
      <c r="P985" s="38"/>
      <c r="Q985" s="38"/>
      <c r="R985" s="38"/>
      <c r="S985" s="38"/>
      <c r="T985" s="38"/>
      <c r="U985" s="38"/>
      <c r="V985" s="38"/>
      <c r="W985" s="38"/>
      <c r="X985" s="38"/>
      <c r="Y985" s="38"/>
      <c r="Z985" s="38"/>
    </row>
    <row r="986" spans="6:26" ht="15" thickBot="1">
      <c r="F986" s="38"/>
      <c r="G986" s="38"/>
      <c r="H986" s="38"/>
      <c r="I986" s="38"/>
      <c r="J986" s="38"/>
      <c r="K986" s="38"/>
      <c r="L986" s="38"/>
      <c r="M986" s="38"/>
      <c r="N986" s="38"/>
      <c r="O986" s="38"/>
      <c r="P986" s="38"/>
      <c r="Q986" s="38"/>
      <c r="R986" s="38"/>
      <c r="S986" s="38"/>
      <c r="T986" s="38"/>
      <c r="U986" s="38"/>
      <c r="V986" s="38"/>
      <c r="W986" s="38"/>
      <c r="X986" s="38"/>
      <c r="Y986" s="38"/>
      <c r="Z986" s="38"/>
    </row>
    <row r="987" spans="6:26" ht="15" thickBot="1">
      <c r="F987" s="38"/>
      <c r="G987" s="38"/>
      <c r="H987" s="38"/>
      <c r="I987" s="38"/>
      <c r="J987" s="38"/>
      <c r="K987" s="38"/>
      <c r="L987" s="38"/>
      <c r="M987" s="38"/>
      <c r="N987" s="38"/>
      <c r="O987" s="38"/>
      <c r="P987" s="38"/>
      <c r="Q987" s="38"/>
      <c r="R987" s="38"/>
      <c r="S987" s="38"/>
      <c r="T987" s="38"/>
      <c r="U987" s="38"/>
      <c r="V987" s="38"/>
      <c r="W987" s="38"/>
      <c r="X987" s="38"/>
      <c r="Y987" s="38"/>
      <c r="Z987" s="38"/>
    </row>
    <row r="988" spans="6:26" ht="15" thickBot="1">
      <c r="F988" s="38"/>
      <c r="G988" s="38"/>
      <c r="H988" s="38"/>
      <c r="I988" s="38"/>
      <c r="J988" s="38"/>
      <c r="K988" s="38"/>
      <c r="L988" s="38"/>
      <c r="M988" s="38"/>
      <c r="N988" s="38"/>
      <c r="O988" s="38"/>
      <c r="P988" s="38"/>
      <c r="Q988" s="38"/>
      <c r="R988" s="38"/>
      <c r="S988" s="38"/>
      <c r="T988" s="38"/>
      <c r="U988" s="38"/>
      <c r="V988" s="38"/>
      <c r="W988" s="38"/>
      <c r="X988" s="38"/>
      <c r="Y988" s="38"/>
      <c r="Z988" s="38"/>
    </row>
    <row r="989" spans="6:26" ht="15" thickBot="1">
      <c r="F989" s="38"/>
      <c r="G989" s="38"/>
      <c r="H989" s="38"/>
      <c r="I989" s="38"/>
      <c r="J989" s="38"/>
      <c r="K989" s="38"/>
      <c r="L989" s="38"/>
      <c r="M989" s="38"/>
      <c r="N989" s="38"/>
      <c r="O989" s="38"/>
      <c r="P989" s="38"/>
      <c r="Q989" s="38"/>
      <c r="R989" s="38"/>
      <c r="S989" s="38"/>
      <c r="T989" s="38"/>
      <c r="U989" s="38"/>
      <c r="V989" s="38"/>
      <c r="W989" s="38"/>
      <c r="X989" s="38"/>
      <c r="Y989" s="38"/>
      <c r="Z989" s="38"/>
    </row>
    <row r="990" spans="6:26" ht="15" thickBot="1">
      <c r="F990" s="38"/>
      <c r="G990" s="38"/>
      <c r="H990" s="38"/>
      <c r="I990" s="38"/>
      <c r="J990" s="38"/>
      <c r="K990" s="38"/>
      <c r="L990" s="38"/>
      <c r="M990" s="38"/>
      <c r="N990" s="38"/>
      <c r="O990" s="38"/>
      <c r="P990" s="38"/>
      <c r="Q990" s="38"/>
      <c r="R990" s="38"/>
      <c r="S990" s="38"/>
      <c r="T990" s="38"/>
      <c r="U990" s="38"/>
      <c r="V990" s="38"/>
      <c r="W990" s="38"/>
      <c r="X990" s="38"/>
      <c r="Y990" s="38"/>
      <c r="Z990" s="38"/>
    </row>
    <row r="991" spans="6:26" ht="15" thickBot="1">
      <c r="F991" s="38"/>
      <c r="G991" s="38"/>
      <c r="H991" s="38"/>
      <c r="I991" s="38"/>
      <c r="J991" s="38"/>
      <c r="K991" s="38"/>
      <c r="L991" s="38"/>
      <c r="M991" s="38"/>
      <c r="N991" s="38"/>
      <c r="O991" s="38"/>
      <c r="P991" s="38"/>
      <c r="Q991" s="38"/>
      <c r="R991" s="38"/>
      <c r="S991" s="38"/>
      <c r="T991" s="38"/>
      <c r="U991" s="38"/>
      <c r="V991" s="38"/>
      <c r="W991" s="38"/>
      <c r="X991" s="38"/>
      <c r="Y991" s="38"/>
      <c r="Z991" s="38"/>
    </row>
    <row r="992" spans="6:26" ht="15" thickBot="1">
      <c r="F992" s="38"/>
      <c r="G992" s="38"/>
      <c r="H992" s="38"/>
      <c r="I992" s="38"/>
      <c r="J992" s="38"/>
      <c r="K992" s="38"/>
      <c r="L992" s="38"/>
      <c r="M992" s="38"/>
      <c r="N992" s="38"/>
      <c r="O992" s="38"/>
      <c r="P992" s="38"/>
      <c r="Q992" s="38"/>
      <c r="R992" s="38"/>
      <c r="S992" s="38"/>
      <c r="T992" s="38"/>
      <c r="U992" s="38"/>
      <c r="V992" s="38"/>
      <c r="W992" s="38"/>
      <c r="X992" s="38"/>
      <c r="Y992" s="38"/>
      <c r="Z992" s="38"/>
    </row>
    <row r="993" spans="6:26" ht="15" thickBot="1">
      <c r="F993" s="38"/>
      <c r="G993" s="38"/>
      <c r="H993" s="38"/>
      <c r="I993" s="38"/>
      <c r="J993" s="38"/>
      <c r="K993" s="38"/>
      <c r="L993" s="38"/>
      <c r="M993" s="38"/>
      <c r="N993" s="38"/>
      <c r="O993" s="38"/>
      <c r="P993" s="38"/>
      <c r="Q993" s="38"/>
      <c r="R993" s="38"/>
      <c r="S993" s="38"/>
      <c r="T993" s="38"/>
      <c r="U993" s="38"/>
      <c r="V993" s="38"/>
      <c r="W993" s="38"/>
      <c r="X993" s="38"/>
      <c r="Y993" s="38"/>
      <c r="Z993" s="38"/>
    </row>
    <row r="994" spans="6:26" ht="15" thickBot="1">
      <c r="F994" s="38"/>
      <c r="G994" s="38"/>
      <c r="H994" s="38"/>
      <c r="I994" s="38"/>
      <c r="J994" s="38"/>
      <c r="K994" s="38"/>
      <c r="L994" s="38"/>
      <c r="M994" s="38"/>
      <c r="N994" s="38"/>
      <c r="O994" s="38"/>
      <c r="P994" s="38"/>
      <c r="Q994" s="38"/>
      <c r="R994" s="38"/>
      <c r="S994" s="38"/>
      <c r="T994" s="38"/>
      <c r="U994" s="38"/>
      <c r="V994" s="38"/>
      <c r="W994" s="38"/>
      <c r="X994" s="38"/>
      <c r="Y994" s="38"/>
      <c r="Z994" s="38"/>
    </row>
    <row r="995" spans="6:26" ht="15" thickBot="1">
      <c r="F995" s="38"/>
      <c r="G995" s="38"/>
      <c r="H995" s="38"/>
      <c r="I995" s="38"/>
      <c r="J995" s="38"/>
      <c r="K995" s="38"/>
      <c r="L995" s="38"/>
      <c r="M995" s="38"/>
      <c r="N995" s="38"/>
      <c r="O995" s="38"/>
      <c r="P995" s="38"/>
      <c r="Q995" s="38"/>
      <c r="R995" s="38"/>
      <c r="S995" s="38"/>
      <c r="T995" s="38"/>
      <c r="U995" s="38"/>
      <c r="V995" s="38"/>
      <c r="W995" s="38"/>
      <c r="X995" s="38"/>
      <c r="Y995" s="38"/>
      <c r="Z995" s="38"/>
    </row>
    <row r="996" spans="6:26" ht="15" thickBot="1">
      <c r="F996" s="38"/>
      <c r="G996" s="38"/>
      <c r="H996" s="38"/>
      <c r="I996" s="38"/>
      <c r="J996" s="38"/>
      <c r="K996" s="38"/>
      <c r="L996" s="38"/>
      <c r="M996" s="38"/>
      <c r="N996" s="38"/>
      <c r="O996" s="38"/>
      <c r="P996" s="38"/>
      <c r="Q996" s="38"/>
      <c r="R996" s="38"/>
      <c r="S996" s="38"/>
      <c r="T996" s="38"/>
      <c r="U996" s="38"/>
      <c r="V996" s="38"/>
      <c r="W996" s="38"/>
      <c r="X996" s="38"/>
      <c r="Y996" s="38"/>
      <c r="Z996" s="38"/>
    </row>
    <row r="997" spans="6:26" ht="15" thickBot="1">
      <c r="F997" s="38"/>
      <c r="G997" s="38"/>
      <c r="H997" s="38"/>
      <c r="I997" s="38"/>
      <c r="J997" s="38"/>
      <c r="K997" s="38"/>
      <c r="L997" s="38"/>
      <c r="M997" s="38"/>
      <c r="N997" s="38"/>
      <c r="O997" s="38"/>
      <c r="P997" s="38"/>
      <c r="Q997" s="38"/>
      <c r="R997" s="38"/>
      <c r="S997" s="38"/>
      <c r="T997" s="38"/>
      <c r="U997" s="38"/>
      <c r="V997" s="38"/>
      <c r="W997" s="38"/>
      <c r="X997" s="38"/>
      <c r="Y997" s="38"/>
      <c r="Z997" s="38"/>
    </row>
    <row r="998" spans="6:26" ht="15" thickBot="1">
      <c r="F998" s="38"/>
      <c r="G998" s="38"/>
      <c r="H998" s="38"/>
      <c r="I998" s="38"/>
      <c r="J998" s="38"/>
      <c r="K998" s="38"/>
      <c r="L998" s="38"/>
      <c r="M998" s="38"/>
      <c r="N998" s="38"/>
      <c r="O998" s="38"/>
      <c r="P998" s="38"/>
      <c r="Q998" s="38"/>
      <c r="R998" s="38"/>
      <c r="S998" s="38"/>
      <c r="T998" s="38"/>
      <c r="U998" s="38"/>
      <c r="V998" s="38"/>
      <c r="W998" s="38"/>
      <c r="X998" s="38"/>
      <c r="Y998" s="38"/>
      <c r="Z998" s="38"/>
    </row>
    <row r="999" spans="6:26" ht="15" thickBot="1">
      <c r="F999" s="38"/>
      <c r="G999" s="38"/>
      <c r="H999" s="38"/>
      <c r="I999" s="38"/>
      <c r="J999" s="38"/>
      <c r="K999" s="38"/>
      <c r="L999" s="38"/>
      <c r="M999" s="38"/>
      <c r="N999" s="38"/>
      <c r="O999" s="38"/>
      <c r="P999" s="38"/>
      <c r="Q999" s="38"/>
      <c r="R999" s="38"/>
      <c r="S999" s="38"/>
      <c r="T999" s="38"/>
      <c r="U999" s="38"/>
      <c r="V999" s="38"/>
      <c r="W999" s="38"/>
      <c r="X999" s="38"/>
      <c r="Y999" s="38"/>
      <c r="Z999" s="38"/>
    </row>
    <row r="1000" spans="6:26" ht="15" thickBot="1">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8EF36010BF4F4DAFDC93EFD6B63DA1" ma:contentTypeVersion="9" ma:contentTypeDescription="Een nieuw document maken." ma:contentTypeScope="" ma:versionID="f7e34094d89340a4da55ee922bb2e53f">
  <xsd:schema xmlns:xsd="http://www.w3.org/2001/XMLSchema" xmlns:xs="http://www.w3.org/2001/XMLSchema" xmlns:p="http://schemas.microsoft.com/office/2006/metadata/properties" xmlns:ns2="798ef58d-3ccc-47a7-926f-dfa808e03836" targetNamespace="http://schemas.microsoft.com/office/2006/metadata/properties" ma:root="true" ma:fieldsID="17c3148c8c53c655da00ba243bda58ab" ns2:_="">
    <xsd:import namespace="798ef58d-3ccc-47a7-926f-dfa808e0383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ef58d-3ccc-47a7-926f-dfa808e038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5ec99919-4982-4388-8a64-83a11d2ca210"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8ef58d-3ccc-47a7-926f-dfa808e0383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CB7767-931E-477A-9402-F5A32AFACA5E}"/>
</file>

<file path=customXml/itemProps2.xml><?xml version="1.0" encoding="utf-8"?>
<ds:datastoreItem xmlns:ds="http://schemas.openxmlformats.org/officeDocument/2006/customXml" ds:itemID="{234D7E51-A1F1-4EF8-836E-249FD2DF01EC}"/>
</file>

<file path=customXml/itemProps3.xml><?xml version="1.0" encoding="utf-8"?>
<ds:datastoreItem xmlns:ds="http://schemas.openxmlformats.org/officeDocument/2006/customXml" ds:itemID="{920800C7-A6C8-4FF5-8D3A-AFCF055976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de Bondt</dc:creator>
  <cp:keywords/>
  <dc:description/>
  <cp:lastModifiedBy>Bondt, Sharon de</cp:lastModifiedBy>
  <cp:revision/>
  <dcterms:created xsi:type="dcterms:W3CDTF">2026-01-13T08:46:13Z</dcterms:created>
  <dcterms:modified xsi:type="dcterms:W3CDTF">2026-04-09T21:24:46Z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0x010100838EF36010BF4F4DAFDC93EFD6B63DA1</vt:lpwstr>
  </property>
  <property fmtid="{D5CDD505-2E9C-101B-9397-08002B2CF9AE}" pid="3" name="MediaServiceImageTags">
    <vt:lpwstr/>
  </property>
</Properties>
</file>